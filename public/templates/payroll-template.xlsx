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1200" windowWidth="61080" windowHeight="26780"/>
  </bookViews>
  <sheets>
    <sheet sheetId="3" name="노임대장" state="visible" r:id="rId4"/>
  </sheets>
  <definedNames>
    <definedName name="_xlnm.Print_Area" localSheetId="0">'노임대장'!$A1:$AO61</definedName>
  </definedNames>
  <calcPr calcId="171027" fullCalcOnLoad="1"/>
</workbook>
</file>

<file path=xl/comments3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charset val="129"/>
            <color indexed="81"/>
            <family val="3"/>
            <sz val="9"/>
            <rFont val="돋움"/>
          </rPr>
          <t>하이픈</t>
        </r>
        <r>
          <rPr>
            <color indexed="81"/>
            <family val="2"/>
            <sz val="9"/>
            <rFont val="Tahoma"/>
          </rPr>
          <t xml:space="preserve">(-) </t>
        </r>
        <r>
          <rPr>
            <charset val="129"/>
            <color indexed="81"/>
            <family val="3"/>
            <sz val="9"/>
            <rFont val="돋움"/>
          </rPr>
          <t>포함하여</t>
        </r>
        <r>
          <rPr>
            <color indexed="81"/>
            <family val="2"/>
            <sz val="9"/>
            <rFont val="Tahoma"/>
          </rPr>
          <t xml:space="preserve"> </t>
        </r>
        <r>
          <rPr>
            <charset val="129"/>
            <color indexed="81"/>
            <family val="3"/>
            <sz val="9"/>
            <rFont val="돋움"/>
          </rPr>
          <t>입력</t>
        </r>
      </text>
    </comment>
  </commentList>
</comments>
</file>

<file path=xl/sharedStrings.xml><?xml version="1.0" encoding="utf-8"?>
<sst xmlns="http://schemas.openxmlformats.org/spreadsheetml/2006/main" count="38" uniqueCount="38">
  <si>
    <t xml:space="preserve">일용노무비지급명세서
    (2026.04 월분)</t>
  </si>
  <si>
    <t>기간</t>
  </si>
  <si>
    <t xml:space="preserve">2024년 04월 01일 부터
2024년 04월 30일 까지</t>
  </si>
  <si>
    <t>상  호</t>
  </si>
  <si>
    <t>현장명</t>
  </si>
  <si>
    <t>책임자</t>
  </si>
  <si>
    <t xml:space="preserve">관리
번호</t>
  </si>
  <si>
    <t>연금 &amp; 건강</t>
  </si>
  <si>
    <t>퇴직공제부금</t>
  </si>
  <si>
    <t>원수급인관리번호</t>
  </si>
  <si>
    <t>하수급인관리번호</t>
  </si>
  <si>
    <t>번호</t>
  </si>
  <si>
    <t>검증</t>
  </si>
  <si>
    <t>고용연금제외대상</t>
  </si>
  <si>
    <t>공종</t>
  </si>
  <si>
    <t>성명</t>
  </si>
  <si>
    <t>주민등록번호</t>
  </si>
  <si>
    <t>주   소</t>
  </si>
  <si>
    <t>은행명/예금주</t>
  </si>
  <si>
    <t>계좌번호</t>
  </si>
  <si>
    <t>예금주</t>
  </si>
  <si>
    <t>연락처</t>
  </si>
  <si>
    <t>출   역   현   황</t>
  </si>
  <si>
    <t>일당</t>
  </si>
  <si>
    <t>임금총액</t>
  </si>
  <si>
    <t>소득세</t>
  </si>
  <si>
    <t>주민세</t>
  </si>
  <si>
    <t>고용보험</t>
  </si>
  <si>
    <t>연금보험</t>
  </si>
  <si>
    <t>건강보험</t>
  </si>
  <si>
    <t>장기요양</t>
  </si>
  <si>
    <t>공제합계</t>
  </si>
  <si>
    <t>지급</t>
  </si>
  <si>
    <t>잔여금액</t>
  </si>
  <si>
    <t>비고</t>
  </si>
  <si>
    <t>공수</t>
  </si>
  <si>
    <t>일수</t>
  </si>
  <si>
    <t>합 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</si>
</sst>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_-;-* #,##0_-;_-* &quot;-&quot;_-;_-@_-"/>
    <numFmt numFmtId="165" formatCode="000000-0000000"/>
    <numFmt numFmtId="166" formatCode="0.0_);[Red](0.0)"/>
    <numFmt numFmtId="167" formatCode="0.0"/>
    <numFmt numFmtId="168" formatCode="0.0_ "/>
    <numFmt numFmtId="169" formatCode="mm&quot;월&quot; dd&quot;일&quot;"/>
  </numFmts>
  <fonts count="16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family val="3"/>
      <sz val="14"/>
      <name val="굴림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3"/>
      <sz val="11"/>
      <name val="굴림"/>
    </font>
    <font>
      <charset val="129"/>
      <family val="3"/>
      <sz val="11"/>
      <name val="굴림"/>
    </font>
    <font>
      <charset val="129"/>
      <color theme="1"/>
      <family val="3"/>
      <scheme val="minor"/>
      <sz val="10"/>
      <name val="맑은 고딕"/>
    </font>
    <font>
      <charset val="129"/>
      <color theme="1"/>
      <family val="3"/>
      <sz val="10"/>
      <name val="굴림"/>
    </font>
    <font>
      <color theme="1"/>
      <family val="2"/>
      <scheme val="major"/>
      <sz val="10"/>
      <name val="맑은 고딕"/>
    </font>
    <font>
      <charset val="129"/>
      <color theme="7"/>
      <family val="2"/>
      <scheme val="minor"/>
      <sz val="11"/>
      <name val="맑은 고딕"/>
    </font>
    <font>
      <charset val="129"/>
      <family val="3"/>
      <scheme val="minor"/>
      <sz val="11"/>
      <name val="맑은 고딕"/>
    </font>
    <font>
      <charset val="129"/>
      <family val="3"/>
      <sz val="8"/>
      <name val="굴림"/>
    </font>
    <font>
      <charset val="129"/>
      <family val="3"/>
      <scheme val="minor"/>
      <sz val="8"/>
      <name val="맑은 고딕"/>
    </font>
    <font>
      <charset val="129"/>
      <color rgb="FF0000CC"/>
      <family val="3"/>
      <sz val="8"/>
      <name val="굴림"/>
    </font>
    <font>
      <b/>
      <charset val="129"/>
      <color theme="1"/>
      <family val="3"/>
      <sz val="11"/>
      <name val="굴림"/>
    </font>
  </fonts>
  <fills count="7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8" tint="0.7999816888943144"/>
        <bgColor indexed="64"/>
      </patternFill>
    </fill>
  </fills>
  <borders count="58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/>
      <top style="medium">
        <color indexed="64"/>
      </top>
      <bottom style="thin"/>
      <diagonal/>
    </border>
    <border>
      <left style="thin"/>
      <right style="thin"/>
      <top style="medium">
        <color indexed="64"/>
      </top>
      <bottom/>
      <diagonal/>
    </border>
    <border>
      <left style="thin"/>
      <right style="thin"/>
      <top style="medium">
        <color indexed="64"/>
      </top>
      <bottom style="thin"/>
      <diagonal/>
    </border>
    <border>
      <left style="thin"/>
      <right/>
      <top style="medium">
        <color indexed="64"/>
      </top>
      <bottom style="thin"/>
      <diagonal/>
    </border>
    <border>
      <left style="medium">
        <color indexed="64"/>
      </left>
      <right style="thin"/>
      <top style="medium">
        <color indexed="64"/>
      </top>
      <bottom/>
      <diagonal/>
    </border>
    <border>
      <left style="thin"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/>
      <diagonal/>
    </border>
    <border>
      <left/>
      <right style="medium">
        <color indexed="64"/>
      </right>
      <top style="medium">
        <color indexed="64"/>
      </top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thin"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/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medium">
        <color indexed="64"/>
      </bottom>
      <diagonal/>
    </border>
    <border>
      <left style="thin"/>
      <right style="thin"/>
      <top/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 style="medium">
        <color indexed="64"/>
      </left>
      <right style="thin"/>
      <top/>
      <bottom style="medium">
        <color indexed="64"/>
      </bottom>
      <diagonal/>
    </border>
    <border>
      <left style="thin"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/>
      <right style="medium">
        <color indexed="64"/>
      </right>
      <top style="thin"/>
      <bottom style="medium">
        <color indexed="64"/>
      </bottom>
      <diagonal/>
    </border>
    <border>
      <left style="medium">
        <color indexed="64"/>
      </left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indexed="64"/>
      </right>
      <top style="thin"/>
      <bottom/>
      <diagonal/>
    </border>
    <border>
      <left style="hair">
        <color indexed="64"/>
      </left>
      <right style="hair">
        <color indexed="64"/>
      </right>
      <top style="thin"/>
      <bottom/>
      <diagonal/>
    </border>
    <border>
      <left style="hair">
        <color indexed="64"/>
      </left>
      <right style="medium">
        <color indexed="64"/>
      </right>
      <top style="thin"/>
      <bottom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/>
      <right style="medium">
        <color indexed="64"/>
      </right>
      <top/>
      <bottom style="thin"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/>
      <top/>
      <bottom style="thin"/>
      <diagonal/>
    </border>
    <border>
      <left style="medium">
        <color indexed="64"/>
      </left>
      <right style="hair">
        <color indexed="64"/>
      </right>
      <top/>
      <bottom style="thin"/>
      <diagonal/>
    </border>
    <border>
      <left style="hair">
        <color indexed="64"/>
      </left>
      <right style="hair">
        <color indexed="64"/>
      </right>
      <top/>
      <bottom style="thin"/>
      <diagonal/>
    </border>
    <border>
      <left style="hair">
        <color indexed="64"/>
      </left>
      <right style="medium">
        <color indexed="64"/>
      </right>
      <top/>
      <bottom style="thin"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/>
      <top style="thin"/>
      <bottom style="thin"/>
      <diagonal/>
    </border>
    <border>
      <left style="thin"/>
      <right style="thin">
        <color rgb="FF000000"/>
      </right>
      <top style="hair">
        <color rgb="FF000000"/>
      </top>
      <bottom style="thin"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/>
      <top style="medium">
        <color indexed="64"/>
      </top>
      <bottom style="medium">
        <color indexed="64"/>
      </bottom>
      <diagonal/>
    </border>
    <border>
      <left style="thin"/>
      <right style="thin"/>
      <top style="medium">
        <color indexed="64"/>
      </top>
      <bottom style="medium">
        <color indexed="64"/>
      </bottom>
      <diagonal/>
    </border>
    <border>
      <left style="thin"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164" fontId="1" fillId="0" borderId="4" xfId="0" applyNumberFormat="1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165" fontId="5" fillId="3" borderId="18" xfId="0" applyNumberFormat="1" applyFont="1" applyFill="1" applyBorder="1" applyAlignment="1">
      <alignment horizontal="center" vertical="center" shrinkToFit="1"/>
    </xf>
    <xf numFmtId="0" fontId="5" fillId="3" borderId="31" xfId="0" applyFont="1" applyFill="1" applyBorder="1" applyAlignment="1">
      <alignment horizontal="center" vertical="center" shrinkToFit="1"/>
    </xf>
    <xf numFmtId="0" fontId="5" fillId="3" borderId="31" xfId="0" applyFont="1" applyFill="1" applyBorder="1" applyAlignment="1">
      <alignment horizontal="center" vertical="center"/>
    </xf>
    <xf numFmtId="0" fontId="6" fillId="3" borderId="7" xfId="0" applyFont="1" applyFill="1" applyBorder="1" applyAlignment="1" applyProtection="1">
      <alignment horizontal="center" vertical="center" shrinkToFit="1"/>
      <protection locked="0"/>
    </xf>
    <xf numFmtId="165" fontId="6" fillId="3" borderId="7" xfId="0" applyNumberFormat="1" applyFont="1" applyFill="1" applyBorder="1" applyAlignment="1" applyProtection="1">
      <alignment horizontal="center" vertical="center" shrinkToFit="1"/>
      <protection locked="0"/>
    </xf>
    <xf numFmtId="0" fontId="6" fillId="3" borderId="7" xfId="0" applyFont="1" applyFill="1" applyBorder="1" applyAlignment="1" applyProtection="1">
      <alignment horizontal="left" vertical="center" shrinkToFit="1"/>
      <protection locked="0"/>
    </xf>
    <xf numFmtId="0" fontId="7" fillId="0" borderId="4" xfId="0" applyFont="1" applyBorder="1" applyAlignment="1">
      <alignment horizontal="center" vertical="center"/>
    </xf>
    <xf numFmtId="164" fontId="8" fillId="3" borderId="19" xfId="0" applyNumberFormat="1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166" fontId="9" fillId="4" borderId="33" xfId="0" applyNumberFormat="1" applyFont="1" applyFill="1" applyBorder="1" applyAlignment="1">
      <alignment vertical="center"/>
    </xf>
    <xf numFmtId="0" fontId="9" fillId="5" borderId="33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 shrinkToFit="1"/>
    </xf>
    <xf numFmtId="164" fontId="5" fillId="3" borderId="32" xfId="0" applyNumberFormat="1" applyFont="1" applyFill="1" applyBorder="1" applyAlignment="1">
      <alignment horizontal="center" vertical="center" shrinkToFit="1"/>
    </xf>
    <xf numFmtId="164" fontId="5" fillId="3" borderId="34" xfId="0" applyNumberFormat="1" applyFont="1" applyFill="1" applyBorder="1" applyAlignment="1">
      <alignment horizontal="center" vertical="center" shrinkToFit="1"/>
    </xf>
    <xf numFmtId="164" fontId="5" fillId="3" borderId="35" xfId="0" applyNumberFormat="1" applyFont="1" applyFill="1" applyBorder="1" applyAlignment="1">
      <alignment horizontal="center" vertical="center" shrinkToFit="1"/>
    </xf>
    <xf numFmtId="164" fontId="5" fillId="0" borderId="35" xfId="0" applyNumberFormat="1" applyFont="1" applyBorder="1" applyAlignment="1">
      <alignment horizontal="center" vertical="center" shrinkToFit="1"/>
    </xf>
    <xf numFmtId="164" fontId="5" fillId="0" borderId="36" xfId="0" applyNumberFormat="1" applyFont="1" applyBorder="1" applyAlignment="1">
      <alignment horizontal="center" vertical="center" shrinkToFit="1"/>
    </xf>
    <xf numFmtId="164" fontId="5" fillId="3" borderId="37" xfId="0" applyNumberFormat="1" applyFont="1" applyFill="1" applyBorder="1" applyAlignment="1">
      <alignment horizontal="center" vertical="center" shrinkToFit="1"/>
    </xf>
    <xf numFmtId="164" fontId="5" fillId="3" borderId="38" xfId="0" applyNumberFormat="1" applyFont="1" applyFill="1" applyBorder="1" applyAlignment="1">
      <alignment horizontal="center" vertical="center" shrinkToFit="1"/>
    </xf>
    <xf numFmtId="167" fontId="10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165" fontId="5" fillId="3" borderId="31" xfId="0" applyNumberFormat="1" applyFont="1" applyFill="1" applyBorder="1" applyAlignment="1">
      <alignment horizontal="center" vertical="center" shrinkToFit="1"/>
    </xf>
    <xf numFmtId="0" fontId="5" fillId="3" borderId="4" xfId="0" applyFont="1" applyFill="1" applyBorder="1" applyAlignment="1">
      <alignment horizontal="center" vertical="center" shrinkToFit="1"/>
    </xf>
    <xf numFmtId="0" fontId="5" fillId="3" borderId="4" xfId="0" applyFont="1" applyFill="1" applyBorder="1" applyAlignment="1">
      <alignment horizontal="center" vertical="center"/>
    </xf>
    <xf numFmtId="0" fontId="6" fillId="3" borderId="31" xfId="0" applyFont="1" applyFill="1" applyBorder="1" applyAlignment="1" applyProtection="1">
      <alignment horizontal="center" vertical="center" shrinkToFit="1"/>
      <protection locked="0"/>
    </xf>
    <xf numFmtId="165" fontId="6" fillId="3" borderId="31" xfId="0" applyNumberFormat="1" applyFont="1" applyFill="1" applyBorder="1" applyAlignment="1" applyProtection="1">
      <alignment horizontal="center" vertical="center" shrinkToFit="1"/>
      <protection locked="0"/>
    </xf>
    <xf numFmtId="0" fontId="6" fillId="3" borderId="31" xfId="0" applyFont="1" applyFill="1" applyBorder="1" applyAlignment="1" applyProtection="1">
      <alignment horizontal="left" vertical="center" shrinkToFit="1"/>
      <protection locked="0"/>
    </xf>
    <xf numFmtId="164" fontId="5" fillId="3" borderId="19" xfId="0" applyNumberFormat="1" applyFont="1" applyFill="1" applyBorder="1" applyAlignment="1">
      <alignment horizontal="center" vertical="center" wrapText="1"/>
    </xf>
    <xf numFmtId="166" fontId="9" fillId="4" borderId="39" xfId="0" applyNumberFormat="1" applyFont="1" applyFill="1" applyBorder="1" applyAlignment="1">
      <alignment vertical="center"/>
    </xf>
    <xf numFmtId="168" fontId="9" fillId="4" borderId="39" xfId="0" applyNumberFormat="1" applyFont="1" applyFill="1" applyBorder="1" applyAlignment="1">
      <alignment vertical="center" shrinkToFit="1"/>
    </xf>
    <xf numFmtId="0" fontId="5" fillId="3" borderId="40" xfId="0" applyFont="1" applyFill="1" applyBorder="1" applyAlignment="1">
      <alignment horizontal="center" vertical="center"/>
    </xf>
    <xf numFmtId="164" fontId="5" fillId="3" borderId="31" xfId="0" applyNumberFormat="1" applyFont="1" applyFill="1" applyBorder="1" applyAlignment="1">
      <alignment horizontal="center" vertical="center" shrinkToFit="1"/>
    </xf>
    <xf numFmtId="164" fontId="5" fillId="3" borderId="19" xfId="0" applyNumberFormat="1" applyFont="1" applyFill="1" applyBorder="1" applyAlignment="1">
      <alignment horizontal="center" vertical="center" shrinkToFit="1"/>
    </xf>
    <xf numFmtId="164" fontId="5" fillId="3" borderId="41" xfId="0" applyNumberFormat="1" applyFont="1" applyFill="1" applyBorder="1" applyAlignment="1">
      <alignment horizontal="center" vertical="center" shrinkToFit="1"/>
    </xf>
    <xf numFmtId="164" fontId="5" fillId="3" borderId="42" xfId="0" applyNumberFormat="1" applyFont="1" applyFill="1" applyBorder="1" applyAlignment="1">
      <alignment horizontal="center" vertical="center" shrinkToFit="1"/>
    </xf>
    <xf numFmtId="164" fontId="5" fillId="0" borderId="42" xfId="0" applyNumberFormat="1" applyFont="1" applyBorder="1" applyAlignment="1">
      <alignment horizontal="center" vertical="center" shrinkToFit="1"/>
    </xf>
    <xf numFmtId="164" fontId="5" fillId="0" borderId="43" xfId="0" applyNumberFormat="1" applyFont="1" applyBorder="1" applyAlignment="1">
      <alignment horizontal="center" vertical="center" shrinkToFit="1"/>
    </xf>
    <xf numFmtId="164" fontId="5" fillId="3" borderId="21" xfId="0" applyNumberFormat="1" applyFont="1" applyFill="1" applyBorder="1" applyAlignment="1">
      <alignment horizontal="center" vertical="center" shrinkToFit="1"/>
    </xf>
    <xf numFmtId="164" fontId="5" fillId="3" borderId="22" xfId="0" applyNumberFormat="1" applyFont="1" applyFill="1" applyBorder="1" applyAlignment="1">
      <alignment horizontal="center" vertical="center" shrinkToFit="1"/>
    </xf>
    <xf numFmtId="166" fontId="9" fillId="4" borderId="44" xfId="0" applyNumberFormat="1" applyFont="1" applyFill="1" applyBorder="1" applyAlignment="1">
      <alignment vertical="center"/>
    </xf>
    <xf numFmtId="0" fontId="9" fillId="5" borderId="44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9" fontId="5" fillId="3" borderId="22" xfId="0" applyNumberFormat="1" applyFont="1" applyFill="1" applyBorder="1" applyAlignment="1">
      <alignment horizontal="center" vertical="center" shrinkToFit="1"/>
    </xf>
    <xf numFmtId="0" fontId="6" fillId="3" borderId="4" xfId="0" applyFont="1" applyFill="1" applyBorder="1" applyAlignment="1" applyProtection="1">
      <alignment horizontal="center" vertical="center" shrinkToFit="1"/>
      <protection locked="0"/>
    </xf>
    <xf numFmtId="165" fontId="6" fillId="3" borderId="4" xfId="0" applyNumberFormat="1" applyFont="1" applyFill="1" applyBorder="1" applyAlignment="1" applyProtection="1">
      <alignment horizontal="center" vertical="center" shrinkToFit="1"/>
      <protection locked="0"/>
    </xf>
    <xf numFmtId="0" fontId="6" fillId="3" borderId="4" xfId="0" applyFont="1" applyFill="1" applyBorder="1" applyAlignment="1" applyProtection="1">
      <alignment horizontal="left" vertical="center" wrapText="1" shrinkToFit="1"/>
      <protection locked="0"/>
    </xf>
    <xf numFmtId="0" fontId="6" fillId="3" borderId="4" xfId="0" applyFont="1" applyFill="1" applyBorder="1" applyAlignment="1" applyProtection="1">
      <alignment horizontal="left" vertical="center" shrinkToFit="1"/>
      <protection locked="0"/>
    </xf>
    <xf numFmtId="164" fontId="5" fillId="3" borderId="4" xfId="0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/>
    </xf>
    <xf numFmtId="0" fontId="6" fillId="3" borderId="7" xfId="0" applyFont="1" applyFill="1" applyBorder="1" applyAlignment="1" applyProtection="1">
      <alignment horizontal="left" vertical="center" wrapText="1" shrinkToFit="1"/>
      <protection locked="0"/>
    </xf>
    <xf numFmtId="164" fontId="5" fillId="0" borderId="32" xfId="0" applyNumberFormat="1" applyFont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/>
    </xf>
    <xf numFmtId="0" fontId="6" fillId="3" borderId="31" xfId="0" applyFont="1" applyFill="1" applyBorder="1" applyAlignment="1" applyProtection="1">
      <alignment horizontal="left" vertical="center" wrapText="1" shrinkToFit="1"/>
      <protection locked="0"/>
    </xf>
    <xf numFmtId="164" fontId="5" fillId="0" borderId="19" xfId="0" applyNumberFormat="1" applyFont="1" applyBorder="1" applyAlignment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 shrinkToFit="1"/>
      <protection locked="0"/>
    </xf>
    <xf numFmtId="0" fontId="6" fillId="3" borderId="31" xfId="0" applyFont="1" applyFill="1" applyBorder="1" applyAlignment="1" applyProtection="1">
      <alignment horizontal="center" vertical="center" wrapText="1" shrinkToFit="1"/>
      <protection locked="0"/>
    </xf>
    <xf numFmtId="0" fontId="5" fillId="0" borderId="3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4" fontId="5" fillId="3" borderId="3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left" vertical="center" shrinkToFit="1"/>
      <protection locked="0"/>
    </xf>
    <xf numFmtId="0" fontId="6" fillId="3" borderId="40" xfId="0" applyFont="1" applyFill="1" applyBorder="1" applyAlignment="1" applyProtection="1">
      <alignment horizontal="left" vertical="center" shrinkToFi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shrinkToFit="1"/>
    </xf>
    <xf numFmtId="0" fontId="6" fillId="3" borderId="31" xfId="0" applyFont="1" applyFill="1" applyBorder="1" applyAlignment="1">
      <alignment horizontal="center" vertical="center" shrinkToFit="1"/>
    </xf>
    <xf numFmtId="0" fontId="6" fillId="3" borderId="7" xfId="0" applyFont="1" applyFill="1" applyBorder="1" applyAlignment="1">
      <alignment horizontal="center" vertical="center" wrapText="1" shrinkToFit="1"/>
    </xf>
    <xf numFmtId="0" fontId="6" fillId="3" borderId="4" xfId="0" applyFont="1" applyFill="1" applyBorder="1" applyAlignment="1">
      <alignment horizontal="left" vertical="center" wrapText="1" shrinkToFit="1"/>
    </xf>
    <xf numFmtId="0" fontId="12" fillId="3" borderId="7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 shrinkToFit="1"/>
    </xf>
    <xf numFmtId="0" fontId="6" fillId="3" borderId="18" xfId="0" applyFont="1" applyFill="1" applyBorder="1" applyAlignment="1">
      <alignment horizontal="center" vertical="center" wrapText="1" shrinkToFit="1"/>
    </xf>
    <xf numFmtId="0" fontId="12" fillId="3" borderId="31" xfId="0" applyFont="1" applyFill="1" applyBorder="1" applyAlignment="1">
      <alignment horizontal="center" vertical="center" shrinkToFit="1"/>
    </xf>
    <xf numFmtId="0" fontId="6" fillId="3" borderId="45" xfId="0" applyFont="1" applyFill="1" applyBorder="1" applyAlignment="1">
      <alignment horizontal="center" vertical="center" shrinkToFit="1"/>
    </xf>
    <xf numFmtId="49" fontId="5" fillId="3" borderId="7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 wrapText="1" shrinkToFit="1"/>
    </xf>
    <xf numFmtId="164" fontId="5" fillId="3" borderId="3" xfId="0" applyNumberFormat="1" applyFont="1" applyFill="1" applyBorder="1" applyAlignment="1">
      <alignment vertical="center"/>
    </xf>
    <xf numFmtId="49" fontId="5" fillId="3" borderId="31" xfId="0" applyNumberFormat="1" applyFont="1" applyFill="1" applyBorder="1" applyAlignment="1">
      <alignment horizontal="center" vertical="center"/>
    </xf>
    <xf numFmtId="165" fontId="5" fillId="3" borderId="31" xfId="0" applyNumberFormat="1" applyFont="1" applyFill="1" applyBorder="1" applyAlignment="1">
      <alignment horizontal="center" vertical="center" wrapText="1" shrinkToFit="1"/>
    </xf>
    <xf numFmtId="164" fontId="5" fillId="3" borderId="40" xfId="0" applyNumberFormat="1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shrinkToFit="1"/>
    </xf>
    <xf numFmtId="0" fontId="14" fillId="3" borderId="31" xfId="0" applyFont="1" applyFill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vertical="center"/>
    </xf>
    <xf numFmtId="164" fontId="5" fillId="3" borderId="46" xfId="0" applyNumberFormat="1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vertical="center"/>
    </xf>
    <xf numFmtId="166" fontId="9" fillId="4" borderId="47" xfId="0" applyNumberFormat="1" applyFont="1" applyFill="1" applyBorder="1" applyAlignment="1">
      <alignment vertical="center"/>
    </xf>
    <xf numFmtId="166" fontId="9" fillId="4" borderId="48" xfId="0" applyNumberFormat="1" applyFont="1" applyFill="1" applyBorder="1" applyAlignment="1">
      <alignment vertical="center"/>
    </xf>
    <xf numFmtId="168" fontId="9" fillId="4" borderId="48" xfId="0" applyNumberFormat="1" applyFont="1" applyFill="1" applyBorder="1" applyAlignment="1">
      <alignment vertical="center" shrinkToFit="1"/>
    </xf>
    <xf numFmtId="49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vertical="center"/>
    </xf>
    <xf numFmtId="164" fontId="5" fillId="0" borderId="31" xfId="0" applyNumberFormat="1" applyFont="1" applyBorder="1" applyAlignment="1">
      <alignment vertical="center"/>
    </xf>
    <xf numFmtId="164" fontId="5" fillId="3" borderId="8" xfId="0" applyNumberFormat="1" applyFont="1" applyFill="1" applyBorder="1" applyAlignment="1">
      <alignment horizontal="center" vertical="center" wrapText="1"/>
    </xf>
    <xf numFmtId="166" fontId="9" fillId="4" borderId="49" xfId="0" applyNumberFormat="1" applyFont="1" applyFill="1" applyBorder="1" applyAlignment="1">
      <alignment vertical="center"/>
    </xf>
    <xf numFmtId="168" fontId="9" fillId="4" borderId="49" xfId="0" applyNumberFormat="1" applyFont="1" applyFill="1" applyBorder="1" applyAlignment="1">
      <alignment vertical="center" shrinkToFit="1"/>
    </xf>
    <xf numFmtId="0" fontId="15" fillId="6" borderId="50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/>
    </xf>
    <xf numFmtId="0" fontId="15" fillId="6" borderId="52" xfId="0" applyFont="1" applyFill="1" applyBorder="1" applyAlignment="1">
      <alignment horizontal="center" vertical="center"/>
    </xf>
    <xf numFmtId="0" fontId="15" fillId="6" borderId="53" xfId="0" applyFont="1" applyFill="1" applyBorder="1" applyAlignment="1">
      <alignment vertical="center"/>
    </xf>
    <xf numFmtId="0" fontId="15" fillId="6" borderId="53" xfId="0" applyFont="1" applyFill="1" applyBorder="1" applyAlignment="1">
      <alignment horizontal="center" vertical="center"/>
    </xf>
    <xf numFmtId="0" fontId="15" fillId="6" borderId="53" xfId="0" applyFont="1" applyFill="1" applyBorder="1" applyAlignment="1">
      <alignment horizontal="center" vertical="center" shrinkToFit="1"/>
    </xf>
    <xf numFmtId="164" fontId="15" fillId="6" borderId="54" xfId="0" applyNumberFormat="1" applyFont="1" applyFill="1" applyBorder="1" applyAlignment="1">
      <alignment vertical="center" shrinkToFit="1"/>
    </xf>
    <xf numFmtId="164" fontId="15" fillId="6" borderId="55" xfId="0" applyNumberFormat="1" applyFont="1" applyFill="1" applyBorder="1" applyAlignment="1">
      <alignment vertical="center" shrinkToFit="1"/>
    </xf>
    <xf numFmtId="164" fontId="15" fillId="6" borderId="53" xfId="0" applyNumberFormat="1" applyFont="1" applyFill="1" applyBorder="1" applyAlignment="1">
      <alignment vertical="center" shrinkToFit="1"/>
    </xf>
    <xf numFmtId="164" fontId="15" fillId="6" borderId="56" xfId="0" applyNumberFormat="1" applyFont="1" applyFill="1" applyBorder="1" applyAlignment="1">
      <alignment vertical="center" shrinkToFit="1"/>
    </xf>
    <xf numFmtId="164" fontId="15" fillId="6" borderId="57" xfId="0" applyNumberFormat="1" applyFont="1" applyFill="1" applyBorder="1" applyAlignment="1">
      <alignment vertical="center" shrinkToFi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4"/>
  <sheetViews>
    <sheetView workbookViewId="0" zoomScale="126" zoomScaleNormal="126">
      <pane ySplit="8" topLeftCell="A9" activePane="bottomLeft" state="frozen"/>
      <selection pane="bottomLeft" activeCell="V15" sqref="V15"/>
    </sheetView>
  </sheetViews>
  <sheetFormatPr defaultRowHeight="16.5" outlineLevelRow="0" outlineLevelCol="0" x14ac:dyDescent="0" defaultColWidth="8.83203125" customHeight="1"/>
  <cols>
    <col min="1" max="1" width="3.6640625" customWidth="1"/>
    <col min="2" max="2" width="6.6640625" customWidth="1"/>
    <col min="3" max="3" width="7.1640625" customWidth="1"/>
    <col min="4" max="4" width="5.33203125" customWidth="1"/>
    <col min="5" max="5" width="9.6640625" customWidth="1"/>
    <col min="6" max="6" width="19.5" style="1" customWidth="1"/>
    <col min="7" max="7" width="24.1640625" customWidth="1"/>
    <col min="8" max="8" width="7.1640625" customWidth="1"/>
    <col min="9" max="9" width="16.33203125" customWidth="1"/>
    <col min="10" max="11" width="11.1640625" customWidth="1"/>
    <col min="12" max="27" width="3.6640625" customWidth="1"/>
    <col min="28" max="28" width="4.1640625" customWidth="1"/>
    <col min="29" max="29" width="4.1640625" hidden="1" customWidth="1"/>
    <col min="30" max="30" width="10.6640625" customWidth="1"/>
    <col min="31" max="31" width="13.6640625" customWidth="1"/>
    <col min="32" max="33" width="9.1640625" customWidth="1"/>
    <col min="34" max="34" width="8.1640625" customWidth="1"/>
    <col min="35" max="38" width="9.1640625" customWidth="1"/>
    <col min="39" max="40" width="11.1640625" customWidth="1"/>
    <col min="41" max="41" width="12.83203125" customWidth="1"/>
    <col min="58" max="58" width="16.5" customWidth="1"/>
    <col min="60" max="60" width="11.6640625" customWidth="1"/>
  </cols>
  <sheetData>
    <row r="1" ht="16.5" customHeight="1" spans="1:41" x14ac:dyDescent="0.25">
      <c r="A1" s="2" t="s">
        <v>0</v>
      </c>
      <c r="B1" s="3"/>
      <c r="C1" s="3"/>
      <c r="D1" s="3"/>
      <c r="E1" s="3"/>
      <c r="F1" s="3"/>
      <c r="G1" s="3"/>
      <c r="H1" s="3"/>
      <c r="I1" s="4"/>
      <c r="J1" s="4"/>
      <c r="K1" s="4"/>
      <c r="L1" s="5" t="s">
        <v>1</v>
      </c>
      <c r="M1" s="5"/>
      <c r="N1" s="6"/>
      <c r="O1" s="6" t="s">
        <v>2</v>
      </c>
      <c r="P1" s="5"/>
      <c r="Q1" s="5"/>
      <c r="R1" s="5"/>
      <c r="S1" s="5"/>
      <c r="T1" s="5"/>
      <c r="U1" s="5"/>
      <c r="V1" s="5"/>
      <c r="W1" s="5" t="s">
        <v>3</v>
      </c>
      <c r="X1" s="5"/>
      <c r="Y1" s="5"/>
      <c r="Z1" s="5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ht="16.5" customHeight="1" spans="1:41" x14ac:dyDescent="0.25">
      <c r="A2" s="8"/>
      <c r="B2" s="9"/>
      <c r="C2" s="9"/>
      <c r="D2" s="9"/>
      <c r="E2" s="9"/>
      <c r="F2" s="9"/>
      <c r="G2" s="9"/>
      <c r="H2" s="9"/>
      <c r="I2" s="10"/>
      <c r="J2" s="10"/>
      <c r="K2" s="1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 t="s">
        <v>4</v>
      </c>
      <c r="X2" s="5"/>
      <c r="Y2" s="5"/>
      <c r="Z2" s="5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16.5" customHeight="1" spans="1:41" x14ac:dyDescent="0.25">
      <c r="A3" s="8"/>
      <c r="B3" s="9"/>
      <c r="C3" s="9"/>
      <c r="D3" s="9"/>
      <c r="E3" s="9"/>
      <c r="F3" s="9"/>
      <c r="G3" s="9"/>
      <c r="H3" s="9"/>
      <c r="I3" s="10"/>
      <c r="J3" s="10"/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 t="s">
        <v>5</v>
      </c>
      <c r="X3" s="5"/>
      <c r="Y3" s="5"/>
      <c r="Z3" s="5"/>
      <c r="AA3" s="11">
        <f>AE73</f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16.5" customHeight="1" spans="1:41" x14ac:dyDescent="0.25">
      <c r="A4" s="8"/>
      <c r="B4" s="9"/>
      <c r="C4" s="9"/>
      <c r="D4" s="9"/>
      <c r="E4" s="9"/>
      <c r="F4" s="9"/>
      <c r="G4" s="9"/>
      <c r="H4" s="9"/>
      <c r="I4" s="10"/>
      <c r="J4" s="10"/>
      <c r="K4" s="10"/>
      <c r="L4" s="5" t="s">
        <v>6</v>
      </c>
      <c r="M4" s="5"/>
      <c r="N4" s="5"/>
      <c r="O4" s="5" t="s">
        <v>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 t="s">
        <v>8</v>
      </c>
      <c r="AF4" s="5"/>
      <c r="AG4" s="5"/>
      <c r="AH4" s="5"/>
      <c r="AI4" s="5"/>
      <c r="AJ4" s="5"/>
      <c r="AK4" s="5"/>
      <c r="AL4" s="5"/>
      <c r="AM4" s="5"/>
      <c r="AN4" s="5"/>
      <c r="AO4" s="5"/>
    </row>
    <row r="5" ht="16.5" customHeight="1" spans="1:41" x14ac:dyDescent="0.25">
      <c r="A5" s="8"/>
      <c r="B5" s="9"/>
      <c r="C5" s="9"/>
      <c r="D5" s="9"/>
      <c r="E5" s="9"/>
      <c r="F5" s="9"/>
      <c r="G5" s="9"/>
      <c r="H5" s="9"/>
      <c r="I5" s="10"/>
      <c r="J5" s="10"/>
      <c r="K5" s="10"/>
      <c r="L5" s="12"/>
      <c r="M5" s="12"/>
      <c r="N5" s="12"/>
      <c r="O5" s="12" t="s">
        <v>9</v>
      </c>
      <c r="P5" s="12"/>
      <c r="Q5" s="12"/>
      <c r="R5" s="12"/>
      <c r="S5" s="12"/>
      <c r="T5" s="12"/>
      <c r="U5" s="12"/>
      <c r="V5" s="12"/>
      <c r="W5" s="13"/>
      <c r="X5" s="13"/>
      <c r="Y5" s="13"/>
      <c r="Z5" s="13"/>
      <c r="AA5" s="13"/>
      <c r="AB5" s="13"/>
      <c r="AC5" s="13"/>
      <c r="AD5" s="13"/>
      <c r="AE5" s="13" t="s">
        <v>10</v>
      </c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ht="16.5" customHeight="1" spans="1:41" x14ac:dyDescent="0.25">
      <c r="A6" s="14" t="s">
        <v>11</v>
      </c>
      <c r="B6" s="15" t="s">
        <v>12</v>
      </c>
      <c r="C6" s="16" t="s">
        <v>13</v>
      </c>
      <c r="D6" s="17" t="s">
        <v>14</v>
      </c>
      <c r="E6" s="17" t="s">
        <v>15</v>
      </c>
      <c r="F6" s="15" t="s">
        <v>16</v>
      </c>
      <c r="G6" s="15" t="s">
        <v>17</v>
      </c>
      <c r="H6" s="18" t="s">
        <v>18</v>
      </c>
      <c r="I6" s="17" t="s">
        <v>19</v>
      </c>
      <c r="J6" s="17" t="s">
        <v>20</v>
      </c>
      <c r="K6" s="17" t="s">
        <v>21</v>
      </c>
      <c r="L6" s="17" t="s">
        <v>22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 t="s">
        <v>23</v>
      </c>
      <c r="AE6" s="19" t="s">
        <v>24</v>
      </c>
      <c r="AF6" s="20" t="s">
        <v>25</v>
      </c>
      <c r="AG6" s="15" t="s">
        <v>26</v>
      </c>
      <c r="AH6" s="15" t="s">
        <v>27</v>
      </c>
      <c r="AI6" s="15" t="s">
        <v>28</v>
      </c>
      <c r="AJ6" s="15" t="s">
        <v>29</v>
      </c>
      <c r="AK6" s="21" t="s">
        <v>30</v>
      </c>
      <c r="AL6" s="22" t="s">
        <v>31</v>
      </c>
      <c r="AM6" s="23" t="s">
        <v>32</v>
      </c>
      <c r="AN6" s="23" t="s">
        <v>33</v>
      </c>
      <c r="AO6" s="23" t="s">
        <v>34</v>
      </c>
    </row>
    <row r="7" ht="17" customHeight="1" spans="1:56" x14ac:dyDescent="0.25">
      <c r="A7" s="24"/>
      <c r="B7" s="25"/>
      <c r="C7" s="26"/>
      <c r="D7" s="27"/>
      <c r="E7" s="27"/>
      <c r="F7" s="25"/>
      <c r="G7" s="25"/>
      <c r="H7" s="28"/>
      <c r="I7" s="27"/>
      <c r="J7" s="27"/>
      <c r="K7" s="27"/>
      <c r="L7" s="27">
        <v>1</v>
      </c>
      <c r="M7" s="27">
        <v>2</v>
      </c>
      <c r="N7" s="27">
        <v>3</v>
      </c>
      <c r="O7" s="27">
        <v>4</v>
      </c>
      <c r="P7" s="27">
        <v>5</v>
      </c>
      <c r="Q7" s="27">
        <v>6</v>
      </c>
      <c r="R7" s="27">
        <v>7</v>
      </c>
      <c r="S7" s="27">
        <v>8</v>
      </c>
      <c r="T7" s="27">
        <v>9</v>
      </c>
      <c r="U7" s="27">
        <v>10</v>
      </c>
      <c r="V7" s="27">
        <v>11</v>
      </c>
      <c r="W7" s="27">
        <v>12</v>
      </c>
      <c r="X7" s="27">
        <v>13</v>
      </c>
      <c r="Y7" s="27">
        <v>14</v>
      </c>
      <c r="Z7" s="27">
        <v>15</v>
      </c>
      <c r="AA7" s="27"/>
      <c r="AB7" s="29" t="s">
        <v>35</v>
      </c>
      <c r="AC7" s="29" t="s">
        <v>36</v>
      </c>
      <c r="AD7" s="27"/>
      <c r="AE7" s="30"/>
      <c r="AF7" s="31"/>
      <c r="AG7" s="25"/>
      <c r="AH7" s="25"/>
      <c r="AI7" s="25"/>
      <c r="AJ7" s="25"/>
      <c r="AK7" s="32"/>
      <c r="AL7" s="33"/>
      <c r="AM7" s="34"/>
      <c r="AN7" s="34"/>
      <c r="AO7" s="34"/>
      <c r="AP7">
        <v>1</v>
      </c>
      <c r="AQ7">
        <v>2</v>
      </c>
      <c r="AR7">
        <v>3</v>
      </c>
      <c r="AS7">
        <v>4</v>
      </c>
      <c r="AT7">
        <v>5</v>
      </c>
      <c r="AU7">
        <v>6</v>
      </c>
      <c r="AV7">
        <v>7</v>
      </c>
      <c r="AW7">
        <v>8</v>
      </c>
      <c r="AX7">
        <v>9</v>
      </c>
      <c r="AY7">
        <v>10</v>
      </c>
      <c r="AZ7">
        <v>11</v>
      </c>
      <c r="BA7">
        <v>12</v>
      </c>
      <c r="BB7">
        <v>13</v>
      </c>
      <c r="BC7">
        <v>14</v>
      </c>
      <c r="BD7">
        <v>15</v>
      </c>
    </row>
    <row r="8" ht="17.25" customHeight="1" spans="1:57" x14ac:dyDescent="0.25">
      <c r="A8" s="35"/>
      <c r="B8" s="36"/>
      <c r="C8" s="37"/>
      <c r="D8" s="38"/>
      <c r="E8" s="38"/>
      <c r="F8" s="36"/>
      <c r="G8" s="36"/>
      <c r="H8" s="39"/>
      <c r="I8" s="38"/>
      <c r="J8" s="38"/>
      <c r="K8" s="38"/>
      <c r="L8" s="38">
        <v>16</v>
      </c>
      <c r="M8" s="38">
        <v>17</v>
      </c>
      <c r="N8" s="38">
        <v>18</v>
      </c>
      <c r="O8" s="38">
        <v>19</v>
      </c>
      <c r="P8" s="38">
        <v>20</v>
      </c>
      <c r="Q8" s="38">
        <v>21</v>
      </c>
      <c r="R8" s="38">
        <v>22</v>
      </c>
      <c r="S8" s="38">
        <v>23</v>
      </c>
      <c r="T8" s="38">
        <v>24</v>
      </c>
      <c r="U8" s="38">
        <v>25</v>
      </c>
      <c r="V8" s="38">
        <v>26</v>
      </c>
      <c r="W8" s="38">
        <v>27</v>
      </c>
      <c r="X8" s="38">
        <v>28</v>
      </c>
      <c r="Y8" s="38">
        <v>29</v>
      </c>
      <c r="Z8" s="38">
        <v>30</v>
      </c>
      <c r="AA8" s="38"/>
      <c r="AB8" s="36"/>
      <c r="AC8" s="36"/>
      <c r="AD8" s="38"/>
      <c r="AE8" s="40"/>
      <c r="AF8" s="41"/>
      <c r="AG8" s="36"/>
      <c r="AH8" s="36"/>
      <c r="AI8" s="36"/>
      <c r="AJ8" s="36"/>
      <c r="AK8" s="42"/>
      <c r="AL8" s="43"/>
      <c r="AM8" s="44"/>
      <c r="AN8" s="44"/>
      <c r="AO8" s="44"/>
      <c r="AP8">
        <v>16</v>
      </c>
      <c r="AQ8">
        <v>17</v>
      </c>
      <c r="AR8">
        <v>18</v>
      </c>
      <c r="AS8">
        <v>19</v>
      </c>
      <c r="AT8">
        <v>20</v>
      </c>
      <c r="AU8">
        <v>21</v>
      </c>
      <c r="AV8">
        <v>22</v>
      </c>
      <c r="AW8">
        <v>23</v>
      </c>
      <c r="AX8">
        <v>24</v>
      </c>
      <c r="AY8">
        <v>25</v>
      </c>
      <c r="AZ8">
        <v>26</v>
      </c>
      <c r="BA8">
        <v>27</v>
      </c>
      <c r="BB8">
        <v>28</v>
      </c>
      <c r="BC8">
        <v>29</v>
      </c>
      <c r="BD8">
        <v>30</v>
      </c>
      <c r="BE8">
        <v>31</v>
      </c>
    </row>
    <row r="9" ht="17" customHeight="1" spans="1:60" x14ac:dyDescent="0.25">
      <c r="A9" s="45">
        <v>1</v>
      </c>
      <c r="B9" s="46">
        <f>BG9</f>
      </c>
      <c r="C9" s="47">
        <f>BF9</f>
      </c>
      <c r="D9" s="48"/>
      <c r="E9" s="49"/>
      <c r="F9" s="50"/>
      <c r="G9" s="51"/>
      <c r="H9" s="49"/>
      <c r="I9" s="52"/>
      <c r="J9" s="53"/>
      <c r="K9" s="5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  <c r="AB9" s="57">
        <f>SUM(L9:AA10)</f>
      </c>
      <c r="AC9" s="58">
        <f>COUNT(L9:AA10)</f>
      </c>
      <c r="AD9" s="59"/>
      <c r="AE9" s="60">
        <f>AB9*AD9</f>
      </c>
      <c r="AF9" s="61">
        <f t="shared" ref="AF9" si="0">IF(SUM(AP9:BE10)&gt;=1000,ROUNDDOWN((SUM(AP9:BE10)),-1),0)</f>
      </c>
      <c r="AG9" s="62">
        <f t="shared" ref="AG9:AG43" si="1">ROUNDDOWN(AF9*10%,-1)</f>
      </c>
      <c r="AH9" s="62">
        <f>IFERROR(IF(OR(C9="외국인 고용 연금 제외",C9="외국인 고용 제외",C9="고용 연금 제외"),0,ROUNDDOWN(AE9*0.9%,-1)),"")</f>
      </c>
      <c r="AI9" s="63">
        <f>IFERROR(IF(OR(C9="외국인 고용 연금 제외",C9="고용 연금 제외",C9="연금 제외"),0,
   IF(OR(AC9&gt;=8,AE9&gt;=2200000),
    IF(AE9&gt;=5900000,ROUNDDOWN(5900000*4.5%,-1),
     IF(AE9&lt;=370000,ROUNDDOWN(370000*4.5%,-1),ROUNDDOWN(ROUNDDOWN(AE9,-3)*4.5%,-1))),0)),"")</f>
      </c>
      <c r="AJ9" s="62">
        <f t="shared" ref="AJ9:AJ43" si="2">IF(AC9&gt;=8,IF(AE9&gt;=104536481,ROUNDDOWN(104536481*3.545%,-1),IF(AE9&lt;=279256,ROUNDDOWN(279256*3.545%,-1),ROUNDDOWN(AE9*3.545%,-1))),0)</f>
      </c>
      <c r="AK9" s="64">
        <f>ROUNDDOWN(AJ9*12.95%,-1)</f>
      </c>
      <c r="AL9" s="65">
        <f>SUM(AF9:AK10)</f>
      </c>
      <c r="AM9" s="66"/>
      <c r="AN9" s="66">
        <f>IFERROR(AE9-AL9-AM9,"")</f>
      </c>
      <c r="AO9" s="66"/>
      <c r="AP9" s="67">
        <f>ROUNDDOWN(IF(AD9*L9&gt;=150000,(((AD9*L9)-150000)*2.7%),0),-1)</f>
      </c>
      <c r="AQ9" s="68">
        <f>ROUNDDOWN(IF(AD9*M9&gt;=150000,(((AD9*M9)-150000)*2.7%),0),-1)</f>
      </c>
      <c r="AR9" s="68">
        <f>ROUNDDOWN(IF(AD9*N9&gt;=150000,(((AD9*N9)-150000)*2.7%),0),-1)</f>
      </c>
      <c r="AS9" s="68">
        <f>ROUNDDOWN(IF(AD9*O9&gt;=150000,(((AD9*O9)-150000)*2.7%),0),-1)</f>
      </c>
      <c r="AT9" s="68">
        <f>ROUNDDOWN(IF(AD9*P9&gt;=150000,(((AD9*P9)-150000)*2.7%),0),-1)</f>
      </c>
      <c r="AU9" s="68">
        <f>ROUNDDOWN(IF(AD9*Q9&gt;=150000,(((AD9*Q9)-150000)*2.7%),0),-1)</f>
      </c>
      <c r="AV9" s="68">
        <f>ROUNDDOWN(IF(AD9*R9&gt;=150000,(((AD9*R9)-150000)*2.7%),0),-1)</f>
      </c>
      <c r="AW9" s="68">
        <f>ROUNDDOWN(IF(AD9*S9&gt;=150000,(((AD9*S9)-150000)*2.7%),0),-1)</f>
      </c>
      <c r="AX9" s="68">
        <f>ROUNDDOWN(IF(AD9*T9&gt;=150000,(((AD9*T9)-150000)*2.7%),0),-1)</f>
      </c>
      <c r="AY9" s="68">
        <f>ROUNDDOWN(IF(AD9*U9&gt;=150000,(((AD9*U9)-150000)*2.7%),0),-1)</f>
      </c>
      <c r="AZ9" s="68">
        <f>ROUNDDOWN(IF(AD9*V9&gt;=150000,(((AD9*V9)-150000)*2.7%),0),-1)</f>
      </c>
      <c r="BA9" s="68">
        <f>ROUNDDOWN(IF(AD9*W9&gt;=150000,(((AD9*W9)-150000)*2.7%),0),-1)</f>
      </c>
      <c r="BB9" s="68">
        <f>ROUNDDOWN(IF(AD9*X9&gt;=150000,(((AD9*X9)-150000)*2.7%),0),-1)</f>
      </c>
      <c r="BC9" s="68">
        <f>ROUNDDOWN(IF(AD9*Y9&gt;=150000,(((AD9*Y9)-150000)*2.7%),0),-1)</f>
      </c>
      <c r="BD9" s="68">
        <f>ROUNDDOWN(IF(AD9*Z9&gt;=150000,(((AD9*Z9)-150000)*2.7%),0),-1)</f>
      </c>
      <c r="BE9" s="68"/>
      <c r="BF9" s="69">
        <f>IF(AND(BH9&gt;=60,OR(MID(F9,8,1)="0",MID(F9,8,1)="0",MID(F9,8,1)="0",MID(F9,8,1)="0")),"외국인 고용 연금 제외",
  IF(OR(MID(F9,8,1)="0",MID(F9,8,1)="0",MID(F9,8,1)="0",MID(F9,8,1)="0"),"외국인 고용 제외",
  IF(BH9&gt;=65,"고용 연금 제외",
  IF(BH9&gt;=60,"연금 제외","정상"))))</f>
      </c>
      <c r="BG9" s="69">
        <f>IF(OR(MID(F9,8,1)="5",MID(F9,8,1)="6",MID(F9,8,1)="7",MID(F9,8,1)="8"),
  IF(RIGHT(F9,1)=RIGHT(13-MOD(SUM(MID(F9,1,1)*2,
MID(F9,2,1)*3,
MID(F9,3,1)*4,
MID(F9,4,1)*5,
MID(F9,5,1)*6,
MID(F9,6,1)*7,
MID(F9,8,1)*8,
MID(F9,9,1)*9,
MID(F9,10,1)*2,
MID(F9,11,1)*3,
MID(F9,12,1)*4,
MID(F9,13,1)*5),11),3),"정상","오류"),
 IF(RIGHT(F9,1)=RIGHT(11-MOD(SUM(MID(F9,1,1)*2,
  MID(F9,2,1)*3,
  MID(F9,3,1)*4,
  MID(F9,4,1)*5,
  MID(F9,5,1)*6,
  MID(F9,6,1)*7,
  MID(F9,8,1)*8,
  MID(F9,9,1)*9,
  MID(F9,10,1)*2,
  MID(F9,11,1)*3,
  MID(F9,12,1)*4,
  MID(F9,13,1)*5),11),1),"정상","오류"))</f>
      </c>
      <c r="BH9" s="1">
        <f>DATEDIF(DATE(IF(OR(MID(F9,8,1)="3",
        MID(F9,8,1)="4",
        MID(F9,8,1)="7",
        MID(F9,8,1)="8"),20,19)&amp;LEFT(F9,2),
        MID(F9,3,2),MID(F9,5,2)),TODAY(),"Y")</f>
      </c>
    </row>
    <row r="10" ht="17" customHeight="1" spans="1:60" x14ac:dyDescent="0.25">
      <c r="A10" s="70"/>
      <c r="B10" s="71"/>
      <c r="C10" s="72"/>
      <c r="D10" s="73"/>
      <c r="E10" s="74"/>
      <c r="F10" s="75"/>
      <c r="G10" s="76"/>
      <c r="H10" s="74"/>
      <c r="I10" s="52"/>
      <c r="J10" s="53"/>
      <c r="K10" s="77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80"/>
      <c r="AC10" s="48"/>
      <c r="AD10" s="81"/>
      <c r="AE10" s="82"/>
      <c r="AF10" s="83"/>
      <c r="AG10" s="84"/>
      <c r="AH10" s="84"/>
      <c r="AI10" s="85"/>
      <c r="AJ10" s="84"/>
      <c r="AK10" s="86"/>
      <c r="AL10" s="87"/>
      <c r="AM10" s="88"/>
      <c r="AN10" s="88"/>
      <c r="AO10" s="88"/>
      <c r="AP10" s="67">
        <f>ROUNDDOWN(IF(AD9*L10&gt;=150000,(((AD9*L10)-150000)*2.7%),0),-1)</f>
      </c>
      <c r="AQ10" s="67">
        <f>ROUNDDOWN(IF(AD9*M10&gt;=150000,(((AD9*M10)-150000)*2.7%),0),-1)</f>
      </c>
      <c r="AR10" s="67">
        <f>ROUNDDOWN(IF(AD9*N10&gt;=150000,(((AD9*N10)-150000)*2.7%),0),-1)</f>
      </c>
      <c r="AS10" s="67">
        <f>ROUNDDOWN(IF(AD9*O10&gt;=150000,(((AD9*O10)-150000)*2.7%),0),-1)</f>
      </c>
      <c r="AT10" s="67">
        <f>ROUNDDOWN(IF(AD9*P10&gt;=150000,(((AD9*P10)-150000)*2.7%),0),-1)</f>
      </c>
      <c r="AU10" s="67">
        <f>ROUNDDOWN(IF(AD9*Q10&gt;=150000,(((AD9*Q10)-150000)*2.7%),0),-1)</f>
      </c>
      <c r="AV10" s="67">
        <f>ROUNDDOWN(IF(AD9*R10&gt;=150000,(((AD9*R10)-150000)*2.7%),0),-1)</f>
      </c>
      <c r="AW10" s="67">
        <f>ROUNDDOWN(IF(AD9*S10&gt;=150000,(((AD9*S10)-150000)*2.7%),0),-1)</f>
      </c>
      <c r="AX10" s="67">
        <f>ROUNDDOWN(IF(AD9*T10&gt;=150000,(((AD9*T10)-150000)*2.7%),0),-1)</f>
      </c>
      <c r="AY10" s="67">
        <f>ROUNDDOWN(IF(AD9*U10&gt;=150000,(((AD9*U10)-150000)*2.7%),0),-1)</f>
      </c>
      <c r="AZ10" s="67">
        <f>ROUNDDOWN(IF(AD9*V10&gt;=150000,(((AD9*V10)-150000)*2.7%),0),-1)</f>
      </c>
      <c r="BA10" s="67">
        <f>ROUNDDOWN(IF(AD9*W10&gt;=150000,(((AD9*W10)-150000)*2.7%),0),-1)</f>
      </c>
      <c r="BB10" s="67">
        <f>ROUNDDOWN(IF(AD9*X10&gt;=150000,(((AD9*X10)-150000)*2.7%),0),-1)</f>
      </c>
      <c r="BC10" s="67">
        <f>ROUNDDOWN(IF(AD9*Y10&gt;=150000,(((AD9*Y10)-150000)*2.7%),0),-1)</f>
      </c>
      <c r="BD10" s="67">
        <f>ROUNDDOWN(IF(AD9*Z10&gt;=150000,(((AD9*Z10)-150000)*2.7%),0),-1)</f>
      </c>
      <c r="BE10" s="67">
        <f>ROUNDDOWN(IF(AD9*AA10&gt;=150000,(((AD9*AA10)-150000)*2.7%),0),-1)</f>
      </c>
      <c r="BF10" s="69"/>
      <c r="BG10" s="69"/>
      <c r="BH10" s="1"/>
    </row>
    <row r="11" ht="16.5" customHeight="1" spans="1:60" x14ac:dyDescent="0.25">
      <c r="A11" s="70">
        <v>2</v>
      </c>
      <c r="B11" s="46">
        <f>BG11</f>
      </c>
      <c r="C11" s="47">
        <f>BF11</f>
      </c>
      <c r="D11" s="48"/>
      <c r="E11" s="49"/>
      <c r="F11" s="50"/>
      <c r="G11" s="51"/>
      <c r="H11" s="49"/>
      <c r="I11" s="51"/>
      <c r="J11" s="53"/>
      <c r="K11" s="77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90"/>
      <c r="AB11" s="91">
        <f t="shared" ref="AB11" si="3">SUM(L11:AA12)</f>
      </c>
      <c r="AC11" s="92">
        <f t="shared" ref="AC11" si="4">COUNT(L11:AA12)</f>
      </c>
      <c r="AD11" s="59"/>
      <c r="AE11" s="60">
        <f t="shared" ref="AE11" si="5">AB11*AD11</f>
      </c>
      <c r="AF11" s="61">
        <f t="shared" ref="AF11" si="6">IF(SUM(AP11:BE12)&gt;=1000,ROUNDDOWN((SUM(AP11:BE12)),-1),0)</f>
      </c>
      <c r="AG11" s="62">
        <f t="shared" si="1"/>
        <v>0</v>
      </c>
      <c r="AH11" s="62">
        <f t="shared" ref="AH11" si="7">IFERROR(IF(OR(C11="외국인 고용 연금 제외",C11="외국인 고용 제외",C11="고용 연금 제외"),0,ROUNDDOWN(AE11*0.9%,-1)),"")</f>
      </c>
      <c r="AI11" s="63">
        <f t="shared" ref="AI11" si="8">IFERROR(IF(OR(C11="외국인 고용 연금 제외",C11="고용 연금 제외",C11="연금 제외"),0,
   IF(OR(AC11&gt;=8,AE11&gt;=2200000),
    IF(AE11&gt;=5900000,ROUNDDOWN(5900000*4.5%,-1),
     IF(AE11&lt;=370000,ROUNDDOWN(370000*4.5%,-1),ROUNDDOWN(ROUNDDOWN(AE11,-3)*4.5%,-1))),0)),"")</f>
      </c>
      <c r="AJ11" s="62">
        <f t="shared" si="2"/>
        <v>0</v>
      </c>
      <c r="AK11" s="64">
        <f>ROUNDDOWN(AJ11*12.95%,-1)</f>
      </c>
      <c r="AL11" s="87">
        <f t="shared" ref="AL11" si="9">SUM(AF11:AK12)</f>
      </c>
      <c r="AM11" s="88"/>
      <c r="AN11" s="66">
        <f t="shared" ref="AN11" si="10">IFERROR(AE11-AL11-AM11,"")</f>
      </c>
      <c r="AO11" s="93"/>
      <c r="AP11" s="67">
        <f t="shared" ref="AP11" si="11">ROUNDDOWN(IF(AD11*L11&gt;=150000,(((AD11*L11)-150000)*2.7%),0),-1)</f>
      </c>
      <c r="AQ11" s="68">
        <f t="shared" ref="AQ11" si="12">ROUNDDOWN(IF(AD11*M11&gt;=150000,(((AD11*M11)-150000)*2.7%),0),-1)</f>
      </c>
      <c r="AR11" s="68">
        <f t="shared" ref="AR11" si="13">ROUNDDOWN(IF(AD11*N11&gt;=150000,(((AD11*N11)-150000)*2.7%),0),-1)</f>
      </c>
      <c r="AS11" s="68">
        <f t="shared" ref="AS11" si="14">ROUNDDOWN(IF(AD11*O11&gt;=150000,(((AD11*O11)-150000)*2.7%),0),-1)</f>
      </c>
      <c r="AT11" s="68">
        <f t="shared" ref="AT11" si="15">ROUNDDOWN(IF(AD11*P11&gt;=150000,(((AD11*P11)-150000)*2.7%),0),-1)</f>
      </c>
      <c r="AU11" s="68">
        <f t="shared" ref="AU11" si="16">ROUNDDOWN(IF(AD11*Q11&gt;=150000,(((AD11*Q11)-150000)*2.7%),0),-1)</f>
      </c>
      <c r="AV11" s="68">
        <f t="shared" ref="AV11" si="17">ROUNDDOWN(IF(AD11*R11&gt;=150000,(((AD11*R11)-150000)*2.7%),0),-1)</f>
      </c>
      <c r="AW11" s="68">
        <f t="shared" ref="AW11" si="18">ROUNDDOWN(IF(AD11*S11&gt;=150000,(((AD11*S11)-150000)*2.7%),0),-1)</f>
      </c>
      <c r="AX11" s="68">
        <f t="shared" ref="AX11" si="19">ROUNDDOWN(IF(AD11*T11&gt;=150000,(((AD11*T11)-150000)*2.7%),0),-1)</f>
      </c>
      <c r="AY11" s="68">
        <f t="shared" ref="AY11" si="20">ROUNDDOWN(IF(AD11*U11&gt;=150000,(((AD11*U11)-150000)*2.7%),0),-1)</f>
      </c>
      <c r="AZ11" s="68">
        <f t="shared" ref="AZ11" si="21">ROUNDDOWN(IF(AD11*V11&gt;=150000,(((AD11*V11)-150000)*2.7%),0),-1)</f>
      </c>
      <c r="BA11" s="68">
        <f t="shared" ref="BA11" si="22">ROUNDDOWN(IF(AD11*W11&gt;=150000,(((AD11*W11)-150000)*2.7%),0),-1)</f>
      </c>
      <c r="BB11" s="68">
        <f t="shared" ref="BB11" si="23">ROUNDDOWN(IF(AD11*X11&gt;=150000,(((AD11*X11)-150000)*2.7%),0),-1)</f>
      </c>
      <c r="BC11" s="68">
        <f t="shared" ref="BC11" si="24">ROUNDDOWN(IF(AD11*Y11&gt;=150000,(((AD11*Y11)-150000)*2.7%),0),-1)</f>
      </c>
      <c r="BD11" s="68">
        <f t="shared" ref="BD11" si="25">ROUNDDOWN(IF(AD11*Z11&gt;=150000,(((AD11*Z11)-150000)*2.7%),0),-1)</f>
      </c>
      <c r="BE11" s="68"/>
      <c r="BF11" s="69">
        <f>IF(AND(BH11&gt;=60,OR(MID(F11,8,1)="0",MID(F11,8,1)="0",MID(F11,8,1)="0",MID(F11,8,1)="0")),"외국인 고용 연금 제외",
  IF(OR(MID(F11,8,1)="0",MID(F11,8,1)="0",MID(F11,8,1)="0",MID(F11,8,1)="0"),"외국인 고용 제외",
  IF(BH11&gt;=65,"고용 연금 제외",
  IF(BH11&gt;=60,"연금 제외","정상"))))</f>
      </c>
      <c r="BG11" s="69">
        <f>IF(OR(MID(F11,8,1)="5",MID(F11,8,1)="6",MID(F11,8,1)="7",MID(F11,8,1)="8"),
  IF(RIGHT(F11,1)=RIGHT(13-MOD(SUM(MID(F11,1,1)*2,
MID(F11,2,1)*3,
MID(F11,3,1)*4,
MID(F11,4,1)*5,
MID(F11,5,1)*6,
MID(F11,6,1)*7,
MID(F11,8,1)*8,
MID(F11,9,1)*9,
MID(F11,10,1)*2,
MID(F11,11,1)*3,
MID(F11,12,1)*4,
MID(F11,13,1)*5),11),3),"정상","오류"),
 IF(RIGHT(F11,1)=RIGHT(11-MOD(SUM(MID(F11,1,1)*2,
  MID(F11,2,1)*3,
  MID(F11,3,1)*4,
  MID(F11,4,1)*5,
  MID(F11,5,1)*6,
  MID(F11,6,1)*7,
  MID(F11,8,1)*8,
  MID(F11,9,1)*9,
  MID(F11,10,1)*2,
  MID(F11,11,1)*3,
  MID(F11,12,1)*4,
  MID(F11,13,1)*5),11),1),"정상","오류"))</f>
      </c>
      <c r="BH11" s="1">
        <f>DATEDIF(DATE(IF(OR(MID(F11,8,1)="3",
        MID(F11,8,1)="4",
        MID(F11,8,1)="7",
        MID(F11,8,1)="8"),20,19)&amp;LEFT(F11,2),
        MID(F11,3,2),MID(F11,5,2)),TODAY(),"Y")</f>
      </c>
    </row>
    <row r="12" ht="17" customHeight="1" spans="1:60" x14ac:dyDescent="0.25">
      <c r="A12" s="70"/>
      <c r="B12" s="71"/>
      <c r="C12" s="72"/>
      <c r="D12" s="73"/>
      <c r="E12" s="74"/>
      <c r="F12" s="75"/>
      <c r="G12" s="76"/>
      <c r="H12" s="74"/>
      <c r="I12" s="76"/>
      <c r="J12" s="53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80"/>
      <c r="AC12" s="48"/>
      <c r="AD12" s="81"/>
      <c r="AE12" s="82"/>
      <c r="AF12" s="83"/>
      <c r="AG12" s="84"/>
      <c r="AH12" s="84"/>
      <c r="AI12" s="85"/>
      <c r="AJ12" s="84"/>
      <c r="AK12" s="86"/>
      <c r="AL12" s="87"/>
      <c r="AM12" s="88"/>
      <c r="AN12" s="88"/>
      <c r="AO12" s="88"/>
      <c r="AP12" s="67">
        <f t="shared" ref="AP12" si="26">ROUNDDOWN(IF(AD11*L12&gt;=150000,(((AD11*L12)-150000)*2.7%),0),-1)</f>
      </c>
      <c r="AQ12" s="67">
        <f t="shared" ref="AQ12" si="27">ROUNDDOWN(IF(AD11*M12&gt;=150000,(((AD11*M12)-150000)*2.7%),0),-1)</f>
      </c>
      <c r="AR12" s="67">
        <f t="shared" ref="AR12" si="28">ROUNDDOWN(IF(AD11*N12&gt;=150000,(((AD11*N12)-150000)*2.7%),0),-1)</f>
      </c>
      <c r="AS12" s="67">
        <f t="shared" ref="AS12" si="29">ROUNDDOWN(IF(AD11*O12&gt;=150000,(((AD11*O12)-150000)*2.7%),0),-1)</f>
      </c>
      <c r="AT12" s="67">
        <f t="shared" ref="AT12" si="30">ROUNDDOWN(IF(AD11*P12&gt;=150000,(((AD11*P12)-150000)*2.7%),0),-1)</f>
      </c>
      <c r="AU12" s="67">
        <f t="shared" ref="AU12" si="31">ROUNDDOWN(IF(AD11*Q12&gt;=150000,(((AD11*Q12)-150000)*2.7%),0),-1)</f>
      </c>
      <c r="AV12" s="67">
        <f t="shared" ref="AV12" si="32">ROUNDDOWN(IF(AD11*R12&gt;=150000,(((AD11*R12)-150000)*2.7%),0),-1)</f>
      </c>
      <c r="AW12" s="67">
        <f t="shared" ref="AW12" si="33">ROUNDDOWN(IF(AD11*S12&gt;=150000,(((AD11*S12)-150000)*2.7%),0),-1)</f>
      </c>
      <c r="AX12" s="67">
        <f t="shared" ref="AX12" si="34">ROUNDDOWN(IF(AD11*T12&gt;=150000,(((AD11*T12)-150000)*2.7%),0),-1)</f>
      </c>
      <c r="AY12" s="67">
        <f t="shared" ref="AY12" si="35">ROUNDDOWN(IF(AD11*U12&gt;=150000,(((AD11*U12)-150000)*2.7%),0),-1)</f>
      </c>
      <c r="AZ12" s="67">
        <f t="shared" ref="AZ12" si="36">ROUNDDOWN(IF(AD11*V12&gt;=150000,(((AD11*V12)-150000)*2.7%),0),-1)</f>
      </c>
      <c r="BA12" s="67">
        <f t="shared" ref="BA12" si="37">ROUNDDOWN(IF(AD11*W12&gt;=150000,(((AD11*W12)-150000)*2.7%),0),-1)</f>
      </c>
      <c r="BB12" s="67">
        <f t="shared" ref="BB12" si="38">ROUNDDOWN(IF(AD11*X12&gt;=150000,(((AD11*X12)-150000)*2.7%),0),-1)</f>
      </c>
      <c r="BC12" s="67">
        <f t="shared" ref="BC12" si="39">ROUNDDOWN(IF(AD11*Y12&gt;=150000,(((AD11*Y12)-150000)*2.7%),0),-1)</f>
      </c>
      <c r="BD12" s="67">
        <f t="shared" ref="BD12" si="40">ROUNDDOWN(IF(AD11*Z12&gt;=150000,(((AD11*Z12)-150000)*2.7%),0),-1)</f>
      </c>
      <c r="BE12" s="67">
        <f t="shared" ref="BE12" si="41">ROUNDDOWN(IF(AD11*AA12&gt;=150000,(((AD11*AA12)-150000)*2.7%),0),-1)</f>
      </c>
      <c r="BF12" s="69"/>
      <c r="BG12" s="69"/>
      <c r="BH12" s="1"/>
    </row>
    <row r="13" ht="16.5" customHeight="1" spans="1:60" x14ac:dyDescent="0.25">
      <c r="A13" s="45">
        <v>3</v>
      </c>
      <c r="B13" s="46">
        <f t="shared" ref="B13" si="42">BG13</f>
      </c>
      <c r="C13" s="47">
        <f t="shared" ref="C13" si="43">BF13</f>
      </c>
      <c r="D13" s="48"/>
      <c r="E13" s="94"/>
      <c r="F13" s="95"/>
      <c r="G13" s="96"/>
      <c r="H13" s="49"/>
      <c r="I13" s="51"/>
      <c r="J13" s="77"/>
      <c r="K13" s="77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90"/>
      <c r="AB13" s="91">
        <f t="shared" ref="AB13" si="44">SUM(L13:AA14)</f>
      </c>
      <c r="AC13" s="92">
        <f t="shared" ref="AC13" si="45">COUNT(L13:AA14)</f>
      </c>
      <c r="AD13" s="59"/>
      <c r="AE13" s="60">
        <f t="shared" ref="AE13" si="46">AB13*AD13</f>
      </c>
      <c r="AF13" s="61">
        <f t="shared" ref="AF13" si="47">IF(SUM(AP13:BE14)&gt;=1000,ROUNDDOWN((SUM(AP13:BE14)),-1),0)</f>
      </c>
      <c r="AG13" s="62">
        <f t="shared" si="1"/>
        <v>0</v>
      </c>
      <c r="AH13" s="62">
        <f t="shared" ref="AH13" si="48">IFERROR(IF(OR(C13="외국인 고용 연금 제외",C13="외국인 고용 제외",C13="고용 연금 제외"),0,ROUNDDOWN(AE13*0.9%,-1)),"")</f>
      </c>
      <c r="AI13" s="63">
        <f t="shared" ref="AI13" si="49">IFERROR(IF(OR(C13="외국인 고용 연금 제외",C13="고용 연금 제외",C13="연금 제외"),0,
   IF(OR(AC13&gt;=8,AE13&gt;=2200000),
    IF(AE13&gt;=5900000,ROUNDDOWN(5900000*4.5%,-1),
     IF(AE13&lt;=370000,ROUNDDOWN(370000*4.5%,-1),ROUNDDOWN(ROUNDDOWN(AE13,-3)*4.5%,-1))),0)),"")</f>
      </c>
      <c r="AJ13" s="62">
        <f t="shared" si="2"/>
        <v>0</v>
      </c>
      <c r="AK13" s="64">
        <f>ROUNDDOWN(AJ13*12.95%,-1)</f>
      </c>
      <c r="AL13" s="87">
        <f t="shared" ref="AL13" si="50">SUM(AF13:AK14)</f>
      </c>
      <c r="AM13" s="88"/>
      <c r="AN13" s="66">
        <f t="shared" ref="AN13" si="51">IFERROR(AE13-AL13-AM13,"")</f>
      </c>
      <c r="AO13" s="88"/>
      <c r="AP13" s="67">
        <f t="shared" ref="AP13" si="52">ROUNDDOWN(IF(AD13*L13&gt;=150000,(((AD13*L13)-150000)*2.7%),0),-1)</f>
      </c>
      <c r="AQ13" s="68">
        <f t="shared" ref="AQ13" si="53">ROUNDDOWN(IF(AD13*M13&gt;=150000,(((AD13*M13)-150000)*2.7%),0),-1)</f>
      </c>
      <c r="AR13" s="68">
        <f t="shared" ref="AR13" si="54">ROUNDDOWN(IF(AD13*N13&gt;=150000,(((AD13*N13)-150000)*2.7%),0),-1)</f>
      </c>
      <c r="AS13" s="68">
        <f t="shared" ref="AS13" si="55">ROUNDDOWN(IF(AD13*O13&gt;=150000,(((AD13*O13)-150000)*2.7%),0),-1)</f>
      </c>
      <c r="AT13" s="68">
        <f t="shared" ref="AT13" si="56">ROUNDDOWN(IF(AD13*P13&gt;=150000,(((AD13*P13)-150000)*2.7%),0),-1)</f>
      </c>
      <c r="AU13" s="68">
        <f t="shared" ref="AU13" si="57">ROUNDDOWN(IF(AD13*Q13&gt;=150000,(((AD13*Q13)-150000)*2.7%),0),-1)</f>
      </c>
      <c r="AV13" s="68">
        <f t="shared" ref="AV13" si="58">ROUNDDOWN(IF(AD13*R13&gt;=150000,(((AD13*R13)-150000)*2.7%),0),-1)</f>
      </c>
      <c r="AW13" s="68">
        <f t="shared" ref="AW13" si="59">ROUNDDOWN(IF(AD13*S13&gt;=150000,(((AD13*S13)-150000)*2.7%),0),-1)</f>
      </c>
      <c r="AX13" s="68">
        <f t="shared" ref="AX13" si="60">ROUNDDOWN(IF(AD13*T13&gt;=150000,(((AD13*T13)-150000)*2.7%),0),-1)</f>
      </c>
      <c r="AY13" s="68">
        <f t="shared" ref="AY13" si="61">ROUNDDOWN(IF(AD13*U13&gt;=150000,(((AD13*U13)-150000)*2.7%),0),-1)</f>
      </c>
      <c r="AZ13" s="68">
        <f t="shared" ref="AZ13" si="62">ROUNDDOWN(IF(AD13*V13&gt;=150000,(((AD13*V13)-150000)*2.7%),0),-1)</f>
      </c>
      <c r="BA13" s="68">
        <f t="shared" ref="BA13" si="63">ROUNDDOWN(IF(AD13*W13&gt;=150000,(((AD13*W13)-150000)*2.7%),0),-1)</f>
      </c>
      <c r="BB13" s="68">
        <f t="shared" ref="BB13" si="64">ROUNDDOWN(IF(AD13*X13&gt;=150000,(((AD13*X13)-150000)*2.7%),0),-1)</f>
      </c>
      <c r="BC13" s="68">
        <f t="shared" ref="BC13" si="65">ROUNDDOWN(IF(AD13*Y13&gt;=150000,(((AD13*Y13)-150000)*2.7%),0),-1)</f>
      </c>
      <c r="BD13" s="68">
        <f t="shared" ref="BD13" si="66">ROUNDDOWN(IF(AD13*Z13&gt;=150000,(((AD13*Z13)-150000)*2.7%),0),-1)</f>
      </c>
      <c r="BE13" s="68"/>
      <c r="BF13" s="69">
        <f>IF(AND(BH13&gt;=60,OR(MID(F13,8,1)="0",MID(F13,8,1)="0",MID(F13,8,1)="0",MID(F13,8,1)="0")),"외국인 고용 연금 제외",
  IF(OR(MID(F13,8,1)="0",MID(F13,8,1)="0",MID(F13,8,1)="0",MID(F13,8,1)="0"),"외국인 고용 제외",
  IF(BH13&gt;=65,"고용 연금 제외",
  IF(BH13&gt;=60,"연금 제외","정상"))))</f>
      </c>
      <c r="BG13" s="69">
        <f>IF(OR(MID(F13,8,1)="5",MID(F13,8,1)="6",MID(F13,8,1)="7",MID(F13,8,1)="8"),
  IF(RIGHT(F13,1)=RIGHT(13-MOD(SUM(MID(F13,1,1)*2,
MID(F13,2,1)*3,
MID(F13,3,1)*4,
MID(F13,4,1)*5,
MID(F13,5,1)*6,
MID(F13,6,1)*7,
MID(F13,8,1)*8,
MID(F13,9,1)*9,
MID(F13,10,1)*2,
MID(F13,11,1)*3,
MID(F13,12,1)*4,
MID(F13,13,1)*5),11),3),"정상","오류"),
 IF(RIGHT(F13,1)=RIGHT(11-MOD(SUM(MID(F13,1,1)*2,
  MID(F13,2,1)*3,
  MID(F13,3,1)*4,
  MID(F13,4,1)*5,
  MID(F13,5,1)*6,
  MID(F13,6,1)*7,
  MID(F13,8,1)*8,
  MID(F13,9,1)*9,
  MID(F13,10,1)*2,
  MID(F13,11,1)*3,
  MID(F13,12,1)*4,
  MID(F13,13,1)*5),11),1),"정상","오류"))</f>
      </c>
      <c r="BH13" s="1">
        <f>DATEDIF(DATE(IF(OR(MID(F13,8,1)="3",
        MID(F13,8,1)="4",
        MID(F13,8,1)="7",
        MID(F13,8,1)="8"),20,19)&amp;LEFT(F13,2),
        MID(F13,3,2),MID(F13,5,2)),TODAY(),"Y")</f>
      </c>
    </row>
    <row r="14" ht="17" customHeight="1" spans="1:60" x14ac:dyDescent="0.25">
      <c r="A14" s="70"/>
      <c r="B14" s="71"/>
      <c r="C14" s="72"/>
      <c r="D14" s="73"/>
      <c r="E14" s="94"/>
      <c r="F14" s="95"/>
      <c r="G14" s="96"/>
      <c r="H14" s="74"/>
      <c r="I14" s="76"/>
      <c r="J14" s="77"/>
      <c r="K14" s="77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80"/>
      <c r="AC14" s="48"/>
      <c r="AD14" s="81"/>
      <c r="AE14" s="82"/>
      <c r="AF14" s="83"/>
      <c r="AG14" s="84"/>
      <c r="AH14" s="84"/>
      <c r="AI14" s="85"/>
      <c r="AJ14" s="84"/>
      <c r="AK14" s="86"/>
      <c r="AL14" s="87"/>
      <c r="AM14" s="88"/>
      <c r="AN14" s="88"/>
      <c r="AO14" s="88"/>
      <c r="AP14" s="67">
        <f t="shared" ref="AP14" si="67">ROUNDDOWN(IF(AD13*L14&gt;=150000,(((AD13*L14)-150000)*2.7%),0),-1)</f>
      </c>
      <c r="AQ14" s="67">
        <f t="shared" ref="AQ14" si="68">ROUNDDOWN(IF(AD13*M14&gt;=150000,(((AD13*M14)-150000)*2.7%),0),-1)</f>
      </c>
      <c r="AR14" s="67">
        <f t="shared" ref="AR14" si="69">ROUNDDOWN(IF(AD13*N14&gt;=150000,(((AD13*N14)-150000)*2.7%),0),-1)</f>
      </c>
      <c r="AS14" s="67">
        <f t="shared" ref="AS14" si="70">ROUNDDOWN(IF(AD13*O14&gt;=150000,(((AD13*O14)-150000)*2.7%),0),-1)</f>
      </c>
      <c r="AT14" s="67">
        <f t="shared" ref="AT14" si="71">ROUNDDOWN(IF(AD13*P14&gt;=150000,(((AD13*P14)-150000)*2.7%),0),-1)</f>
      </c>
      <c r="AU14" s="67">
        <f t="shared" ref="AU14" si="72">ROUNDDOWN(IF(AD13*Q14&gt;=150000,(((AD13*Q14)-150000)*2.7%),0),-1)</f>
      </c>
      <c r="AV14" s="67">
        <f t="shared" ref="AV14" si="73">ROUNDDOWN(IF(AD13*R14&gt;=150000,(((AD13*R14)-150000)*2.7%),0),-1)</f>
      </c>
      <c r="AW14" s="67">
        <f t="shared" ref="AW14" si="74">ROUNDDOWN(IF(AD13*S14&gt;=150000,(((AD13*S14)-150000)*2.7%),0),-1)</f>
      </c>
      <c r="AX14" s="67">
        <f t="shared" ref="AX14" si="75">ROUNDDOWN(IF(AD13*T14&gt;=150000,(((AD13*T14)-150000)*2.7%),0),-1)</f>
      </c>
      <c r="AY14" s="67">
        <f t="shared" ref="AY14" si="76">ROUNDDOWN(IF(AD13*U14&gt;=150000,(((AD13*U14)-150000)*2.7%),0),-1)</f>
      </c>
      <c r="AZ14" s="67">
        <f t="shared" ref="AZ14" si="77">ROUNDDOWN(IF(AD13*V14&gt;=150000,(((AD13*V14)-150000)*2.7%),0),-1)</f>
      </c>
      <c r="BA14" s="67">
        <f t="shared" ref="BA14" si="78">ROUNDDOWN(IF(AD13*W14&gt;=150000,(((AD13*W14)-150000)*2.7%),0),-1)</f>
      </c>
      <c r="BB14" s="67">
        <f t="shared" ref="BB14" si="79">ROUNDDOWN(IF(AD13*X14&gt;=150000,(((AD13*X14)-150000)*2.7%),0),-1)</f>
      </c>
      <c r="BC14" s="67">
        <f t="shared" ref="BC14" si="80">ROUNDDOWN(IF(AD13*Y14&gt;=150000,(((AD13*Y14)-150000)*2.7%),0),-1)</f>
      </c>
      <c r="BD14" s="67">
        <f t="shared" ref="BD14" si="81">ROUNDDOWN(IF(AD13*Z14&gt;=150000,(((AD13*Z14)-150000)*2.7%),0),-1)</f>
      </c>
      <c r="BE14" s="67">
        <f t="shared" ref="BE14" si="82">ROUNDDOWN(IF(AD13*AA14&gt;=150000,(((AD13*AA14)-150000)*2.7%),0),-1)</f>
      </c>
      <c r="BF14" s="69"/>
      <c r="BG14" s="69"/>
      <c r="BH14" s="1"/>
    </row>
    <row r="15" ht="16.5" customHeight="1" spans="1:60" x14ac:dyDescent="0.25">
      <c r="A15" s="70">
        <v>4</v>
      </c>
      <c r="B15" s="46">
        <f t="shared" ref="B15" si="83">BG15</f>
      </c>
      <c r="C15" s="47">
        <f t="shared" ref="C15" si="84">BF15</f>
      </c>
      <c r="D15" s="48"/>
      <c r="E15" s="94"/>
      <c r="F15" s="95"/>
      <c r="G15" s="97"/>
      <c r="H15" s="49"/>
      <c r="I15" s="51"/>
      <c r="J15" s="53"/>
      <c r="K15" s="77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90"/>
      <c r="AB15" s="91">
        <f t="shared" ref="AB15" si="85">SUM(L15:AA16)</f>
      </c>
      <c r="AC15" s="92">
        <f t="shared" ref="AC15" si="86">COUNT(L15:AA16)</f>
      </c>
      <c r="AD15" s="59"/>
      <c r="AE15" s="60">
        <f t="shared" ref="AE15" si="87">AB15*AD15</f>
      </c>
      <c r="AF15" s="61">
        <f t="shared" ref="AF15" si="88">IF(SUM(AP15:BE16)&gt;=1000,ROUNDDOWN((SUM(AP15:BE16)),-1),0)</f>
      </c>
      <c r="AG15" s="62">
        <f t="shared" si="1"/>
        <v>0</v>
      </c>
      <c r="AH15" s="62">
        <f t="shared" ref="AH15" si="89">IFERROR(IF(OR(C15="외국인 고용 연금 제외",C15="외국인 고용 제외",C15="고용 연금 제외"),0,ROUNDDOWN(AE15*0.9%,-1)),"")</f>
      </c>
      <c r="AI15" s="63">
        <f t="shared" ref="AI15" si="90">IFERROR(IF(OR(C15="외국인 고용 연금 제외",C15="고용 연금 제외",C15="연금 제외"),0,
   IF(OR(AC15&gt;=8,AE15&gt;=2200000),
    IF(AE15&gt;=5900000,ROUNDDOWN(5900000*4.5%,-1),
     IF(AE15&lt;=370000,ROUNDDOWN(370000*4.5%,-1),ROUNDDOWN(ROUNDDOWN(AE15,-3)*4.5%,-1))),0)),"")</f>
      </c>
      <c r="AJ15" s="62">
        <f t="shared" si="2"/>
        <v>0</v>
      </c>
      <c r="AK15" s="64">
        <f>ROUNDDOWN(AJ15*12.95%,-1)</f>
      </c>
      <c r="AL15" s="87">
        <f t="shared" ref="AL15" si="91">SUM(AF15:AK16)</f>
      </c>
      <c r="AM15" s="88"/>
      <c r="AN15" s="66">
        <f t="shared" ref="AN15" si="92">IFERROR(AE15-AL15-AM15,"")</f>
      </c>
      <c r="AO15" s="88"/>
      <c r="AP15" s="67">
        <f t="shared" ref="AP15" si="93">ROUNDDOWN(IF(AD15*L15&gt;=150000,(((AD15*L15)-150000)*2.7%),0),-1)</f>
      </c>
      <c r="AQ15" s="68">
        <f t="shared" ref="AQ15" si="94">ROUNDDOWN(IF(AD15*M15&gt;=150000,(((AD15*M15)-150000)*2.7%),0),-1)</f>
      </c>
      <c r="AR15" s="68">
        <f t="shared" ref="AR15" si="95">ROUNDDOWN(IF(AD15*N15&gt;=150000,(((AD15*N15)-150000)*2.7%),0),-1)</f>
      </c>
      <c r="AS15" s="68">
        <f t="shared" ref="AS15" si="96">ROUNDDOWN(IF(AD15*O15&gt;=150000,(((AD15*O15)-150000)*2.7%),0),-1)</f>
      </c>
      <c r="AT15" s="68">
        <f t="shared" ref="AT15" si="97">ROUNDDOWN(IF(AD15*P15&gt;=150000,(((AD15*P15)-150000)*2.7%),0),-1)</f>
      </c>
      <c r="AU15" s="68">
        <f t="shared" ref="AU15" si="98">ROUNDDOWN(IF(AD15*Q15&gt;=150000,(((AD15*Q15)-150000)*2.7%),0),-1)</f>
      </c>
      <c r="AV15" s="68">
        <f t="shared" ref="AV15" si="99">ROUNDDOWN(IF(AD15*R15&gt;=150000,(((AD15*R15)-150000)*2.7%),0),-1)</f>
      </c>
      <c r="AW15" s="68">
        <f t="shared" ref="AW15" si="100">ROUNDDOWN(IF(AD15*S15&gt;=150000,(((AD15*S15)-150000)*2.7%),0),-1)</f>
      </c>
      <c r="AX15" s="68">
        <f t="shared" ref="AX15" si="101">ROUNDDOWN(IF(AD15*T15&gt;=150000,(((AD15*T15)-150000)*2.7%),0),-1)</f>
      </c>
      <c r="AY15" s="68">
        <f t="shared" ref="AY15" si="102">ROUNDDOWN(IF(AD15*U15&gt;=150000,(((AD15*U15)-150000)*2.7%),0),-1)</f>
      </c>
      <c r="AZ15" s="68">
        <f t="shared" ref="AZ15" si="103">ROUNDDOWN(IF(AD15*V15&gt;=150000,(((AD15*V15)-150000)*2.7%),0),-1)</f>
      </c>
      <c r="BA15" s="68">
        <f t="shared" ref="BA15" si="104">ROUNDDOWN(IF(AD15*W15&gt;=150000,(((AD15*W15)-150000)*2.7%),0),-1)</f>
      </c>
      <c r="BB15" s="68">
        <f t="shared" ref="BB15" si="105">ROUNDDOWN(IF(AD15*X15&gt;=150000,(((AD15*X15)-150000)*2.7%),0),-1)</f>
      </c>
      <c r="BC15" s="68">
        <f t="shared" ref="BC15" si="106">ROUNDDOWN(IF(AD15*Y15&gt;=150000,(((AD15*Y15)-150000)*2.7%),0),-1)</f>
      </c>
      <c r="BD15" s="68">
        <f t="shared" ref="BD15" si="107">ROUNDDOWN(IF(AD15*Z15&gt;=150000,(((AD15*Z15)-150000)*2.7%),0),-1)</f>
      </c>
      <c r="BE15" s="68"/>
      <c r="BF15" s="69">
        <f>IF(AND(BH15&gt;=60,OR(MID(F15,8,1)="0",MID(F15,8,1)="0",MID(F15,8,1)="0",MID(F15,8,1)="0")),"외국인 고용 연금 제외",
  IF(OR(MID(F15,8,1)="0",MID(F15,8,1)="0",MID(F15,8,1)="0",MID(F15,8,1)="0"),"외국인 고용 제외",
  IF(BH15&gt;=65,"고용 연금 제외",
  IF(BH15&gt;=60,"연금 제외","정상"))))</f>
      </c>
      <c r="BG15" s="69">
        <f>IF(OR(MID(F15,8,1)="5",MID(F15,8,1)="6",MID(F15,8,1)="7",MID(F15,8,1)="8"),
  IF(RIGHT(F15,1)=RIGHT(13-MOD(SUM(MID(F15,1,1)*2,
MID(F15,2,1)*3,
MID(F15,3,1)*4,
MID(F15,4,1)*5,
MID(F15,5,1)*6,
MID(F15,6,1)*7,
MID(F15,8,1)*8,
MID(F15,9,1)*9,
MID(F15,10,1)*2,
MID(F15,11,1)*3,
MID(F15,12,1)*4,
MID(F15,13,1)*5),11),3),"정상","오류"),
 IF(RIGHT(F15,1)=RIGHT(11-MOD(SUM(MID(F15,1,1)*2,
  MID(F15,2,1)*3,
  MID(F15,3,1)*4,
  MID(F15,4,1)*5,
  MID(F15,5,1)*6,
  MID(F15,6,1)*7,
  MID(F15,8,1)*8,
  MID(F15,9,1)*9,
  MID(F15,10,1)*2,
  MID(F15,11,1)*3,
  MID(F15,12,1)*4,
  MID(F15,13,1)*5),11),1),"정상","오류"))</f>
      </c>
      <c r="BH15" s="1">
        <f>DATEDIF(DATE(IF(OR(MID(F15,8,1)="3",
        MID(F15,8,1)="4",
        MID(F15,8,1)="7",
        MID(F15,8,1)="8"),20,19)&amp;LEFT(F15,2),
        MID(F15,3,2),MID(F15,5,2)),TODAY(),"Y")</f>
      </c>
    </row>
    <row r="16" ht="17" customHeight="1" spans="1:60" x14ac:dyDescent="0.25">
      <c r="A16" s="70"/>
      <c r="B16" s="71"/>
      <c r="C16" s="72"/>
      <c r="D16" s="73"/>
      <c r="E16" s="94"/>
      <c r="F16" s="95"/>
      <c r="G16" s="97"/>
      <c r="H16" s="74"/>
      <c r="I16" s="76"/>
      <c r="J16" s="53"/>
      <c r="K16" s="77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80"/>
      <c r="AC16" s="48"/>
      <c r="AD16" s="81"/>
      <c r="AE16" s="82"/>
      <c r="AF16" s="83"/>
      <c r="AG16" s="84"/>
      <c r="AH16" s="84"/>
      <c r="AI16" s="85"/>
      <c r="AJ16" s="84"/>
      <c r="AK16" s="86"/>
      <c r="AL16" s="87"/>
      <c r="AM16" s="88"/>
      <c r="AN16" s="88"/>
      <c r="AO16" s="88"/>
      <c r="AP16" s="67">
        <f t="shared" ref="AP16" si="108">ROUNDDOWN(IF(AD15*L16&gt;=150000,(((AD15*L16)-150000)*2.7%),0),-1)</f>
      </c>
      <c r="AQ16" s="67">
        <f t="shared" ref="AQ16" si="109">ROUNDDOWN(IF(AD15*M16&gt;=150000,(((AD15*M16)-150000)*2.7%),0),-1)</f>
      </c>
      <c r="AR16" s="67">
        <f t="shared" ref="AR16" si="110">ROUNDDOWN(IF(AD15*N16&gt;=150000,(((AD15*N16)-150000)*2.7%),0),-1)</f>
      </c>
      <c r="AS16" s="67">
        <f t="shared" ref="AS16" si="111">ROUNDDOWN(IF(AD15*O16&gt;=150000,(((AD15*O16)-150000)*2.7%),0),-1)</f>
      </c>
      <c r="AT16" s="67">
        <f t="shared" ref="AT16" si="112">ROUNDDOWN(IF(AD15*P16&gt;=150000,(((AD15*P16)-150000)*2.7%),0),-1)</f>
      </c>
      <c r="AU16" s="67">
        <f t="shared" ref="AU16" si="113">ROUNDDOWN(IF(AD15*Q16&gt;=150000,(((AD15*Q16)-150000)*2.7%),0),-1)</f>
      </c>
      <c r="AV16" s="67">
        <f t="shared" ref="AV16" si="114">ROUNDDOWN(IF(AD15*R16&gt;=150000,(((AD15*R16)-150000)*2.7%),0),-1)</f>
      </c>
      <c r="AW16" s="67">
        <f t="shared" ref="AW16" si="115">ROUNDDOWN(IF(AD15*S16&gt;=150000,(((AD15*S16)-150000)*2.7%),0),-1)</f>
      </c>
      <c r="AX16" s="67">
        <f t="shared" ref="AX16" si="116">ROUNDDOWN(IF(AD15*T16&gt;=150000,(((AD15*T16)-150000)*2.7%),0),-1)</f>
      </c>
      <c r="AY16" s="67">
        <f t="shared" ref="AY16" si="117">ROUNDDOWN(IF(AD15*U16&gt;=150000,(((AD15*U16)-150000)*2.7%),0),-1)</f>
      </c>
      <c r="AZ16" s="67">
        <f t="shared" ref="AZ16" si="118">ROUNDDOWN(IF(AD15*V16&gt;=150000,(((AD15*V16)-150000)*2.7%),0),-1)</f>
      </c>
      <c r="BA16" s="67">
        <f t="shared" ref="BA16" si="119">ROUNDDOWN(IF(AD15*W16&gt;=150000,(((AD15*W16)-150000)*2.7%),0),-1)</f>
      </c>
      <c r="BB16" s="67">
        <f t="shared" ref="BB16" si="120">ROUNDDOWN(IF(AD15*X16&gt;=150000,(((AD15*X16)-150000)*2.7%),0),-1)</f>
      </c>
      <c r="BC16" s="67">
        <f t="shared" ref="BC16" si="121">ROUNDDOWN(IF(AD15*Y16&gt;=150000,(((AD15*Y16)-150000)*2.7%),0),-1)</f>
      </c>
      <c r="BD16" s="67">
        <f t="shared" ref="BD16" si="122">ROUNDDOWN(IF(AD15*Z16&gt;=150000,(((AD15*Z16)-150000)*2.7%),0),-1)</f>
      </c>
      <c r="BE16" s="67">
        <f t="shared" ref="BE16" si="123">ROUNDDOWN(IF(AD15*AA16&gt;=150000,(((AD15*AA16)-150000)*2.7%),0),-1)</f>
      </c>
      <c r="BF16" s="69"/>
      <c r="BG16" s="69"/>
      <c r="BH16" s="1"/>
    </row>
    <row r="17" ht="16.5" customHeight="1" spans="1:60" x14ac:dyDescent="0.25">
      <c r="A17" s="45">
        <v>5</v>
      </c>
      <c r="B17" s="46">
        <f t="shared" ref="B17" si="124">BG17</f>
      </c>
      <c r="C17" s="47">
        <f t="shared" ref="C17" si="125">BF17</f>
      </c>
      <c r="D17" s="48"/>
      <c r="E17" s="94"/>
      <c r="F17" s="95"/>
      <c r="G17" s="97"/>
      <c r="H17" s="49"/>
      <c r="I17" s="51"/>
      <c r="J17" s="53"/>
      <c r="K17" s="98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90"/>
      <c r="AB17" s="91">
        <f t="shared" ref="AB17" si="126">SUM(L17:AA18)</f>
      </c>
      <c r="AC17" s="92">
        <f t="shared" ref="AC17" si="127">COUNT(L17:AA18)</f>
      </c>
      <c r="AD17" s="59"/>
      <c r="AE17" s="60">
        <f t="shared" ref="AE17" si="128">AB17*AD17</f>
      </c>
      <c r="AF17" s="61">
        <f t="shared" ref="AF17" si="129">IF(SUM(AP17:BE18)&gt;=1000,ROUNDDOWN((SUM(AP17:BE18)),-1),0)</f>
      </c>
      <c r="AG17" s="62">
        <f t="shared" ref="AG17" si="130">ROUNDDOWN(AF17*10%,-1)</f>
      </c>
      <c r="AH17" s="62">
        <f t="shared" ref="AH17" si="131">IFERROR(IF(OR(C17="외국인 고용 연금 제외",C17="외국인 고용 제외",C17="고용 연금 제외"),0,ROUNDDOWN(AE17*0.9%,-1)),"")</f>
      </c>
      <c r="AI17" s="63">
        <f t="shared" ref="AI17" si="132">IFERROR(IF(OR(C17="외국인 고용 연금 제외",C17="고용 연금 제외",C17="연금 제외"),0,
   IF(OR(AC17&gt;=8,AE17&gt;=2200000),
    IF(AE17&gt;=5900000,ROUNDDOWN(5900000*4.5%,-1),
     IF(AE17&lt;=370000,ROUNDDOWN(370000*4.5%,-1),ROUNDDOWN(ROUNDDOWN(AE17,-3)*4.5%,-1))),0)),"")</f>
      </c>
      <c r="AJ17" s="62">
        <f t="shared" ref="AJ17" si="133">IF(AC17&gt;=8,IF(AE17&gt;=104536481,ROUNDDOWN(104536481*3.545%,-1),IF(AE17&lt;=279256,ROUNDDOWN(279256*3.545%,-1),ROUNDDOWN(AE17*3.545%,-1))),0)</f>
      </c>
      <c r="AK17" s="64">
        <f>ROUNDDOWN(AJ17*12.95%,-1)</f>
      </c>
      <c r="AL17" s="87">
        <f t="shared" ref="AL17" si="134">SUM(AF17:AK18)</f>
      </c>
      <c r="AM17" s="88"/>
      <c r="AN17" s="66">
        <f t="shared" ref="AN17" si="135">IFERROR(AE17-AL17-AM17,"")</f>
      </c>
      <c r="AO17" s="88"/>
      <c r="AP17" s="67">
        <f t="shared" ref="AP17" si="136">ROUNDDOWN(IF(AD17*L17&gt;=150000,(((AD17*L17)-150000)*2.7%),0),-1)</f>
      </c>
      <c r="AQ17" s="68">
        <f t="shared" ref="AQ17" si="137">ROUNDDOWN(IF(AD17*M17&gt;=150000,(((AD17*M17)-150000)*2.7%),0),-1)</f>
      </c>
      <c r="AR17" s="68">
        <f t="shared" ref="AR17" si="138">ROUNDDOWN(IF(AD17*N17&gt;=150000,(((AD17*N17)-150000)*2.7%),0),-1)</f>
      </c>
      <c r="AS17" s="68">
        <f t="shared" ref="AS17" si="139">ROUNDDOWN(IF(AD17*O17&gt;=150000,(((AD17*O17)-150000)*2.7%),0),-1)</f>
      </c>
      <c r="AT17" s="68">
        <f t="shared" ref="AT17" si="140">ROUNDDOWN(IF(AD17*P17&gt;=150000,(((AD17*P17)-150000)*2.7%),0),-1)</f>
      </c>
      <c r="AU17" s="68">
        <f t="shared" ref="AU17" si="141">ROUNDDOWN(IF(AD17*Q17&gt;=150000,(((AD17*Q17)-150000)*2.7%),0),-1)</f>
      </c>
      <c r="AV17" s="68">
        <f t="shared" ref="AV17" si="142">ROUNDDOWN(IF(AD17*R17&gt;=150000,(((AD17*R17)-150000)*2.7%),0),-1)</f>
      </c>
      <c r="AW17" s="68">
        <f t="shared" ref="AW17" si="143">ROUNDDOWN(IF(AD17*S17&gt;=150000,(((AD17*S17)-150000)*2.7%),0),-1)</f>
      </c>
      <c r="AX17" s="68">
        <f t="shared" ref="AX17" si="144">ROUNDDOWN(IF(AD17*T17&gt;=150000,(((AD17*T17)-150000)*2.7%),0),-1)</f>
      </c>
      <c r="AY17" s="68">
        <f t="shared" ref="AY17" si="145">ROUNDDOWN(IF(AD17*U17&gt;=150000,(((AD17*U17)-150000)*2.7%),0),-1)</f>
      </c>
      <c r="AZ17" s="68">
        <f t="shared" ref="AZ17" si="146">ROUNDDOWN(IF(AD17*V17&gt;=150000,(((AD17*V17)-150000)*2.7%),0),-1)</f>
      </c>
      <c r="BA17" s="68">
        <f t="shared" ref="BA17" si="147">ROUNDDOWN(IF(AD17*W17&gt;=150000,(((AD17*W17)-150000)*2.7%),0),-1)</f>
      </c>
      <c r="BB17" s="68">
        <f t="shared" ref="BB17" si="148">ROUNDDOWN(IF(AD17*X17&gt;=150000,(((AD17*X17)-150000)*2.7%),0),-1)</f>
      </c>
      <c r="BC17" s="68">
        <f t="shared" ref="BC17" si="149">ROUNDDOWN(IF(AD17*Y17&gt;=150000,(((AD17*Y17)-150000)*2.7%),0),-1)</f>
      </c>
      <c r="BD17" s="68">
        <f t="shared" ref="BD17" si="150">ROUNDDOWN(IF(AD17*Z17&gt;=150000,(((AD17*Z17)-150000)*2.7%),0),-1)</f>
      </c>
      <c r="BE17" s="68"/>
      <c r="BF17" s="69">
        <f>IF(AND(BH17&gt;=60,OR(MID(F17,8,1)="0",MID(F17,8,1)="0",MID(F17,8,1)="0",MID(F17,8,1)="0")),"외국인 고용 연금 제외",
  IF(OR(MID(F17,8,1)="0",MID(F17,8,1)="0",MID(F17,8,1)="0",MID(F17,8,1)="0"),"외국인 고용 제외",
  IF(BH17&gt;=65,"고용 연금 제외",
  IF(BH17&gt;=60,"연금 제외","정상"))))</f>
      </c>
      <c r="BG17" s="69">
        <f>IF(OR(MID(F17,8,1)="5",MID(F17,8,1)="6",MID(F17,8,1)="7",MID(F17,8,1)="8"),
  IF(RIGHT(F17,1)=RIGHT(13-MOD(SUM(MID(F17,1,1)*2,
MID(F17,2,1)*3,
MID(F17,3,1)*4,
MID(F17,4,1)*5,
MID(F17,5,1)*6,
MID(F17,6,1)*7,
MID(F17,8,1)*8,
MID(F17,9,1)*9,
MID(F17,10,1)*2,
MID(F17,11,1)*3,
MID(F17,12,1)*4,
MID(F17,13,1)*5),11),3),"정상","오류"),
 IF(RIGHT(F17,1)=RIGHT(11-MOD(SUM(MID(F17,1,1)*2,
  MID(F17,2,1)*3,
  MID(F17,3,1)*4,
  MID(F17,4,1)*5,
  MID(F17,5,1)*6,
  MID(F17,6,1)*7,
  MID(F17,8,1)*8,
  MID(F17,9,1)*9,
  MID(F17,10,1)*2,
  MID(F17,11,1)*3,
  MID(F17,12,1)*4,
  MID(F17,13,1)*5),11),1),"정상","오류"))</f>
      </c>
      <c r="BH17" s="1">
        <f>DATEDIF(DATE(IF(OR(MID(F17,8,1)="3",
        MID(F17,8,1)="4",
        MID(F17,8,1)="7",
        MID(F17,8,1)="8"),20,19)&amp;LEFT(F17,2),
        MID(F17,3,2),MID(F17,5,2)),TODAY(),"Y")</f>
      </c>
    </row>
    <row r="18" ht="17" customHeight="1" spans="1:60" x14ac:dyDescent="0.25">
      <c r="A18" s="70"/>
      <c r="B18" s="71"/>
      <c r="C18" s="72"/>
      <c r="D18" s="73"/>
      <c r="E18" s="94"/>
      <c r="F18" s="95"/>
      <c r="G18" s="97"/>
      <c r="H18" s="74"/>
      <c r="I18" s="76"/>
      <c r="J18" s="53"/>
      <c r="K18" s="9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80"/>
      <c r="AC18" s="48"/>
      <c r="AD18" s="81"/>
      <c r="AE18" s="82"/>
      <c r="AF18" s="83"/>
      <c r="AG18" s="84"/>
      <c r="AH18" s="84"/>
      <c r="AI18" s="85"/>
      <c r="AJ18" s="84"/>
      <c r="AK18" s="86"/>
      <c r="AL18" s="87"/>
      <c r="AM18" s="88"/>
      <c r="AN18" s="88"/>
      <c r="AO18" s="88"/>
      <c r="AP18" s="67">
        <f t="shared" ref="AP18" si="151">ROUNDDOWN(IF(AD17*L18&gt;=150000,(((AD17*L18)-150000)*2.7%),0),-1)</f>
      </c>
      <c r="AQ18" s="67">
        <f t="shared" ref="AQ18" si="152">ROUNDDOWN(IF(AD17*M18&gt;=150000,(((AD17*M18)-150000)*2.7%),0),-1)</f>
      </c>
      <c r="AR18" s="67">
        <f t="shared" ref="AR18" si="153">ROUNDDOWN(IF(AD17*N18&gt;=150000,(((AD17*N18)-150000)*2.7%),0),-1)</f>
      </c>
      <c r="AS18" s="67">
        <f t="shared" ref="AS18" si="154">ROUNDDOWN(IF(AD17*O18&gt;=150000,(((AD17*O18)-150000)*2.7%),0),-1)</f>
      </c>
      <c r="AT18" s="67">
        <f t="shared" ref="AT18" si="155">ROUNDDOWN(IF(AD17*P18&gt;=150000,(((AD17*P18)-150000)*2.7%),0),-1)</f>
      </c>
      <c r="AU18" s="67">
        <f t="shared" ref="AU18" si="156">ROUNDDOWN(IF(AD17*Q18&gt;=150000,(((AD17*Q18)-150000)*2.7%),0),-1)</f>
      </c>
      <c r="AV18" s="67">
        <f t="shared" ref="AV18" si="157">ROUNDDOWN(IF(AD17*R18&gt;=150000,(((AD17*R18)-150000)*2.7%),0),-1)</f>
      </c>
      <c r="AW18" s="67">
        <f t="shared" ref="AW18" si="158">ROUNDDOWN(IF(AD17*S18&gt;=150000,(((AD17*S18)-150000)*2.7%),0),-1)</f>
      </c>
      <c r="AX18" s="67">
        <f t="shared" ref="AX18" si="159">ROUNDDOWN(IF(AD17*T18&gt;=150000,(((AD17*T18)-150000)*2.7%),0),-1)</f>
      </c>
      <c r="AY18" s="67">
        <f t="shared" ref="AY18" si="160">ROUNDDOWN(IF(AD17*U18&gt;=150000,(((AD17*U18)-150000)*2.7%),0),-1)</f>
      </c>
      <c r="AZ18" s="67">
        <f t="shared" ref="AZ18" si="161">ROUNDDOWN(IF(AD17*V18&gt;=150000,(((AD17*V18)-150000)*2.7%),0),-1)</f>
      </c>
      <c r="BA18" s="67">
        <f t="shared" ref="BA18" si="162">ROUNDDOWN(IF(AD17*W18&gt;=150000,(((AD17*W18)-150000)*2.7%),0),-1)</f>
      </c>
      <c r="BB18" s="67">
        <f t="shared" ref="BB18" si="163">ROUNDDOWN(IF(AD17*X18&gt;=150000,(((AD17*X18)-150000)*2.7%),0),-1)</f>
      </c>
      <c r="BC18" s="67">
        <f t="shared" ref="BC18" si="164">ROUNDDOWN(IF(AD17*Y18&gt;=150000,(((AD17*Y18)-150000)*2.7%),0),-1)</f>
      </c>
      <c r="BD18" s="67">
        <f t="shared" ref="BD18" si="165">ROUNDDOWN(IF(AD17*Z18&gt;=150000,(((AD17*Z18)-150000)*2.7%),0),-1)</f>
      </c>
      <c r="BE18" s="67">
        <f t="shared" ref="BE18" si="166">ROUNDDOWN(IF(AD17*AA18&gt;=150000,(((AD17*AA18)-150000)*2.7%),0),-1)</f>
      </c>
      <c r="BF18" s="69"/>
      <c r="BG18" s="69"/>
      <c r="BH18" s="1"/>
    </row>
    <row r="19" ht="16.5" customHeight="1" spans="1:60" x14ac:dyDescent="0.25">
      <c r="A19" s="70">
        <v>6</v>
      </c>
      <c r="B19" s="46">
        <f t="shared" ref="B19" si="167">BG19</f>
      </c>
      <c r="C19" s="47">
        <f t="shared" ref="C19" si="168">BF19</f>
      </c>
      <c r="D19" s="48"/>
      <c r="E19" s="94"/>
      <c r="F19" s="95"/>
      <c r="G19" s="97"/>
      <c r="H19" s="49"/>
      <c r="I19" s="51"/>
      <c r="J19" s="53"/>
      <c r="K19" s="98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90"/>
      <c r="AB19" s="91">
        <f t="shared" ref="AB19" si="169">SUM(L19:AA20)</f>
      </c>
      <c r="AC19" s="92">
        <f t="shared" ref="AC19" si="170">COUNT(L19:AA20)</f>
      </c>
      <c r="AD19" s="59"/>
      <c r="AE19" s="60">
        <f t="shared" ref="AE19" si="171">AB19*AD19</f>
      </c>
      <c r="AF19" s="61">
        <f t="shared" ref="AF19" si="172">IF(SUM(AP19:BE20)&gt;=1000,ROUNDDOWN((SUM(AP19:BE20)),-1),0)</f>
      </c>
      <c r="AG19" s="62">
        <f t="shared" ref="AG19" si="173">ROUNDDOWN(AF19*10%,-1)</f>
      </c>
      <c r="AH19" s="62">
        <f t="shared" ref="AH19" si="174">IFERROR(IF(OR(C19="외국인 고용 연금 제외",C19="외국인 고용 제외",C19="고용 연금 제외"),0,ROUNDDOWN(AE19*0.9%,-1)),"")</f>
      </c>
      <c r="AI19" s="63">
        <f t="shared" ref="AI19" si="175">IFERROR(IF(OR(C19="외국인 고용 연금 제외",C19="고용 연금 제외",C19="연금 제외"),0,
   IF(OR(AC19&gt;=8,AE19&gt;=2200000),
    IF(AE19&gt;=5900000,ROUNDDOWN(5900000*4.5%,-1),
     IF(AE19&lt;=370000,ROUNDDOWN(370000*4.5%,-1),ROUNDDOWN(ROUNDDOWN(AE19,-3)*4.5%,-1))),0)),"")</f>
      </c>
      <c r="AJ19" s="62">
        <f t="shared" ref="AJ19" si="176">IF(AC19&gt;=8,IF(AE19&gt;=104536481,ROUNDDOWN(104536481*3.545%,-1),IF(AE19&lt;=279256,ROUNDDOWN(279256*3.545%,-1),ROUNDDOWN(AE19*3.545%,-1))),0)</f>
      </c>
      <c r="AK19" s="64">
        <f>ROUNDDOWN(AJ19*12.95%,-1)</f>
      </c>
      <c r="AL19" s="87">
        <f t="shared" ref="AL19" si="177">SUM(AF19:AK20)</f>
      </c>
      <c r="AM19" s="88"/>
      <c r="AN19" s="66">
        <f t="shared" ref="AN19" si="178">IFERROR(AE19-AL19-AM19,"")</f>
      </c>
      <c r="AO19" s="88"/>
      <c r="AP19" s="67">
        <f t="shared" ref="AP19" si="179">ROUNDDOWN(IF(AD19*L19&gt;=150000,(((AD19*L19)-150000)*2.7%),0),-1)</f>
      </c>
      <c r="AQ19" s="68">
        <f t="shared" ref="AQ19" si="180">ROUNDDOWN(IF(AD19*M19&gt;=150000,(((AD19*M19)-150000)*2.7%),0),-1)</f>
      </c>
      <c r="AR19" s="68">
        <f t="shared" ref="AR19" si="181">ROUNDDOWN(IF(AD19*N19&gt;=150000,(((AD19*N19)-150000)*2.7%),0),-1)</f>
      </c>
      <c r="AS19" s="68">
        <f t="shared" ref="AS19" si="182">ROUNDDOWN(IF(AD19*O19&gt;=150000,(((AD19*O19)-150000)*2.7%),0),-1)</f>
      </c>
      <c r="AT19" s="68">
        <f t="shared" ref="AT19" si="183">ROUNDDOWN(IF(AD19*P19&gt;=150000,(((AD19*P19)-150000)*2.7%),0),-1)</f>
      </c>
      <c r="AU19" s="68">
        <f t="shared" ref="AU19" si="184">ROUNDDOWN(IF(AD19*Q19&gt;=150000,(((AD19*Q19)-150000)*2.7%),0),-1)</f>
      </c>
      <c r="AV19" s="68">
        <f t="shared" ref="AV19" si="185">ROUNDDOWN(IF(AD19*R19&gt;=150000,(((AD19*R19)-150000)*2.7%),0),-1)</f>
      </c>
      <c r="AW19" s="68">
        <f t="shared" ref="AW19" si="186">ROUNDDOWN(IF(AD19*S19&gt;=150000,(((AD19*S19)-150000)*2.7%),0),-1)</f>
      </c>
      <c r="AX19" s="68">
        <f t="shared" ref="AX19" si="187">ROUNDDOWN(IF(AD19*T19&gt;=150000,(((AD19*T19)-150000)*2.7%),0),-1)</f>
      </c>
      <c r="AY19" s="68">
        <f t="shared" ref="AY19" si="188">ROUNDDOWN(IF(AD19*U19&gt;=150000,(((AD19*U19)-150000)*2.7%),0),-1)</f>
      </c>
      <c r="AZ19" s="68">
        <f t="shared" ref="AZ19" si="189">ROUNDDOWN(IF(AD19*V19&gt;=150000,(((AD19*V19)-150000)*2.7%),0),-1)</f>
      </c>
      <c r="BA19" s="68">
        <f t="shared" ref="BA19" si="190">ROUNDDOWN(IF(AD19*W19&gt;=150000,(((AD19*W19)-150000)*2.7%),0),-1)</f>
      </c>
      <c r="BB19" s="68">
        <f t="shared" ref="BB19" si="191">ROUNDDOWN(IF(AD19*X19&gt;=150000,(((AD19*X19)-150000)*2.7%),0),-1)</f>
      </c>
      <c r="BC19" s="68">
        <f t="shared" ref="BC19" si="192">ROUNDDOWN(IF(AD19*Y19&gt;=150000,(((AD19*Y19)-150000)*2.7%),0),-1)</f>
      </c>
      <c r="BD19" s="68">
        <f t="shared" ref="BD19" si="193">ROUNDDOWN(IF(AD19*Z19&gt;=150000,(((AD19*Z19)-150000)*2.7%),0),-1)</f>
      </c>
      <c r="BE19" s="68"/>
      <c r="BF19" s="69">
        <f>IF(AND(BH19&gt;=60,OR(MID(F19,8,1)="0",MID(F19,8,1)="0",MID(F19,8,1)="0",MID(F19,8,1)="0")),"외국인 고용 연금 제외",
  IF(OR(MID(F19,8,1)="0",MID(F19,8,1)="0",MID(F19,8,1)="0",MID(F19,8,1)="0"),"외국인 고용 제외",
  IF(BH19&gt;=65,"고용 연금 제외",
  IF(BH19&gt;=60,"연금 제외","정상"))))</f>
      </c>
      <c r="BG19" s="69">
        <f>IF(OR(MID(F19,8,1)="5",MID(F19,8,1)="6",MID(F19,8,1)="7",MID(F19,8,1)="8"),
  IF(RIGHT(F19,1)=RIGHT(13-MOD(SUM(MID(F19,1,1)*2,
MID(F19,2,1)*3,
MID(F19,3,1)*4,
MID(F19,4,1)*5,
MID(F19,5,1)*6,
MID(F19,6,1)*7,
MID(F19,8,1)*8,
MID(F19,9,1)*9,
MID(F19,10,1)*2,
MID(F19,11,1)*3,
MID(F19,12,1)*4,
MID(F19,13,1)*5),11),3),"정상","오류"),
 IF(RIGHT(F19,1)=RIGHT(11-MOD(SUM(MID(F19,1,1)*2,
  MID(F19,2,1)*3,
  MID(F19,3,1)*4,
  MID(F19,4,1)*5,
  MID(F19,5,1)*6,
  MID(F19,6,1)*7,
  MID(F19,8,1)*8,
  MID(F19,9,1)*9,
  MID(F19,10,1)*2,
  MID(F19,11,1)*3,
  MID(F19,12,1)*4,
  MID(F19,13,1)*5),11),1),"정상","오류"))</f>
      </c>
      <c r="BH19" s="1">
        <f>DATEDIF(DATE(IF(OR(MID(F19,8,1)="3",
        MID(F19,8,1)="4",
        MID(F19,8,1)="7",
        MID(F19,8,1)="8"),20,19)&amp;LEFT(F19,2),
        MID(F19,3,2),MID(F19,5,2)),TODAY(),"Y")</f>
      </c>
    </row>
    <row r="20" ht="17" customHeight="1" spans="1:60" x14ac:dyDescent="0.25">
      <c r="A20" s="70"/>
      <c r="B20" s="71"/>
      <c r="C20" s="72"/>
      <c r="D20" s="73"/>
      <c r="E20" s="94"/>
      <c r="F20" s="95"/>
      <c r="G20" s="97"/>
      <c r="H20" s="74"/>
      <c r="I20" s="76"/>
      <c r="J20" s="53"/>
      <c r="K20" s="9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80"/>
      <c r="AC20" s="48"/>
      <c r="AD20" s="81"/>
      <c r="AE20" s="82"/>
      <c r="AF20" s="83"/>
      <c r="AG20" s="84"/>
      <c r="AH20" s="84"/>
      <c r="AI20" s="85"/>
      <c r="AJ20" s="84"/>
      <c r="AK20" s="86"/>
      <c r="AL20" s="87"/>
      <c r="AM20" s="88"/>
      <c r="AN20" s="88"/>
      <c r="AO20" s="88"/>
      <c r="AP20" s="67">
        <f t="shared" ref="AP20" si="194">ROUNDDOWN(IF(AD19*L20&gt;=150000,(((AD19*L20)-150000)*2.7%),0),-1)</f>
      </c>
      <c r="AQ20" s="67">
        <f t="shared" ref="AQ20" si="195">ROUNDDOWN(IF(AD19*M20&gt;=150000,(((AD19*M20)-150000)*2.7%),0),-1)</f>
      </c>
      <c r="AR20" s="67">
        <f t="shared" ref="AR20" si="196">ROUNDDOWN(IF(AD19*N20&gt;=150000,(((AD19*N20)-150000)*2.7%),0),-1)</f>
      </c>
      <c r="AS20" s="67">
        <f t="shared" ref="AS20" si="197">ROUNDDOWN(IF(AD19*O20&gt;=150000,(((AD19*O20)-150000)*2.7%),0),-1)</f>
      </c>
      <c r="AT20" s="67">
        <f t="shared" ref="AT20" si="198">ROUNDDOWN(IF(AD19*P20&gt;=150000,(((AD19*P20)-150000)*2.7%),0),-1)</f>
      </c>
      <c r="AU20" s="67">
        <f t="shared" ref="AU20" si="199">ROUNDDOWN(IF(AD19*Q20&gt;=150000,(((AD19*Q20)-150000)*2.7%),0),-1)</f>
      </c>
      <c r="AV20" s="67">
        <f t="shared" ref="AV20" si="200">ROUNDDOWN(IF(AD19*R20&gt;=150000,(((AD19*R20)-150000)*2.7%),0),-1)</f>
      </c>
      <c r="AW20" s="67">
        <f t="shared" ref="AW20" si="201">ROUNDDOWN(IF(AD19*S20&gt;=150000,(((AD19*S20)-150000)*2.7%),0),-1)</f>
      </c>
      <c r="AX20" s="67">
        <f t="shared" ref="AX20" si="202">ROUNDDOWN(IF(AD19*T20&gt;=150000,(((AD19*T20)-150000)*2.7%),0),-1)</f>
      </c>
      <c r="AY20" s="67">
        <f t="shared" ref="AY20" si="203">ROUNDDOWN(IF(AD19*U20&gt;=150000,(((AD19*U20)-150000)*2.7%),0),-1)</f>
      </c>
      <c r="AZ20" s="67">
        <f t="shared" ref="AZ20" si="204">ROUNDDOWN(IF(AD19*V20&gt;=150000,(((AD19*V20)-150000)*2.7%),0),-1)</f>
      </c>
      <c r="BA20" s="67">
        <f t="shared" ref="BA20" si="205">ROUNDDOWN(IF(AD19*W20&gt;=150000,(((AD19*W20)-150000)*2.7%),0),-1)</f>
      </c>
      <c r="BB20" s="67">
        <f t="shared" ref="BB20" si="206">ROUNDDOWN(IF(AD19*X20&gt;=150000,(((AD19*X20)-150000)*2.7%),0),-1)</f>
      </c>
      <c r="BC20" s="67">
        <f t="shared" ref="BC20" si="207">ROUNDDOWN(IF(AD19*Y20&gt;=150000,(((AD19*Y20)-150000)*2.7%),0),-1)</f>
      </c>
      <c r="BD20" s="67">
        <f t="shared" ref="BD20" si="208">ROUNDDOWN(IF(AD19*Z20&gt;=150000,(((AD19*Z20)-150000)*2.7%),0),-1)</f>
      </c>
      <c r="BE20" s="67">
        <f t="shared" ref="BE20" si="209">ROUNDDOWN(IF(AD19*AA20&gt;=150000,(((AD19*AA20)-150000)*2.7%),0),-1)</f>
      </c>
      <c r="BF20" s="69"/>
      <c r="BG20" s="69"/>
      <c r="BH20" s="1"/>
    </row>
    <row r="21" ht="16.5" customHeight="1" spans="1:60" x14ac:dyDescent="0.25">
      <c r="A21" s="45">
        <v>7</v>
      </c>
      <c r="B21" s="46">
        <f t="shared" ref="B21" si="210">BG21</f>
      </c>
      <c r="C21" s="47">
        <f t="shared" ref="C21" si="211">BF21</f>
      </c>
      <c r="D21" s="48"/>
      <c r="E21" s="99"/>
      <c r="F21" s="100"/>
      <c r="G21" s="101"/>
      <c r="H21" s="49"/>
      <c r="I21" s="51"/>
      <c r="J21" s="102"/>
      <c r="K21" s="98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90"/>
      <c r="AB21" s="91">
        <f t="shared" ref="AB21" si="212">SUM(L21:AA22)</f>
      </c>
      <c r="AC21" s="92">
        <f t="shared" ref="AC21" si="213">COUNT(L21:AA22)</f>
      </c>
      <c r="AD21" s="59"/>
      <c r="AE21" s="60">
        <f t="shared" ref="AE21" si="214">AB21*AD21</f>
      </c>
      <c r="AF21" s="61">
        <f t="shared" ref="AF21" si="215">IF(SUM(AP21:BE22)&gt;=1000,ROUNDDOWN((SUM(AP21:BE22)),-1),0)</f>
      </c>
      <c r="AG21" s="62">
        <f t="shared" ref="AG21" si="216">ROUNDDOWN(AF21*10%,-1)</f>
      </c>
      <c r="AH21" s="62">
        <f t="shared" ref="AH21" si="217">IFERROR(IF(OR(C21="외국인 고용 연금 제외",C21="외국인 고용 제외",C21="고용 연금 제외"),0,ROUNDDOWN(AE21*0.9%,-1)),"")</f>
      </c>
      <c r="AI21" s="63">
        <f t="shared" ref="AI21" si="218">IFERROR(IF(OR(C21="외국인 고용 연금 제외",C21="고용 연금 제외",C21="연금 제외"),0,
   IF(OR(AC21&gt;=8,AE21&gt;=2200000),
    IF(AE21&gt;=5900000,ROUNDDOWN(5900000*4.5%,-1),
     IF(AE21&lt;=370000,ROUNDDOWN(370000*4.5%,-1),ROUNDDOWN(ROUNDDOWN(AE21,-3)*4.5%,-1))),0)),"")</f>
      </c>
      <c r="AJ21" s="62">
        <f t="shared" ref="AJ21" si="219">IF(AC21&gt;=8,IF(AE21&gt;=104536481,ROUNDDOWN(104536481*3.545%,-1),IF(AE21&lt;=279256,ROUNDDOWN(279256*3.545%,-1),ROUNDDOWN(AE21*3.545%,-1))),0)</f>
      </c>
      <c r="AK21" s="64">
        <f>ROUNDDOWN(AJ21*12.95%,-1)</f>
      </c>
      <c r="AL21" s="87">
        <f t="shared" ref="AL21" si="220">SUM(AF21:AK22)</f>
      </c>
      <c r="AM21" s="88"/>
      <c r="AN21" s="66">
        <f t="shared" ref="AN21" si="221">IFERROR(AE21-AL21-AM21,"")</f>
      </c>
      <c r="AO21" s="88"/>
      <c r="AP21" s="67">
        <f t="shared" ref="AP21" si="222">ROUNDDOWN(IF(AD21*L21&gt;=150000,(((AD21*L21)-150000)*2.7%),0),-1)</f>
      </c>
      <c r="AQ21" s="68">
        <f t="shared" ref="AQ21" si="223">ROUNDDOWN(IF(AD21*M21&gt;=150000,(((AD21*M21)-150000)*2.7%),0),-1)</f>
      </c>
      <c r="AR21" s="68">
        <f t="shared" ref="AR21" si="224">ROUNDDOWN(IF(AD21*N21&gt;=150000,(((AD21*N21)-150000)*2.7%),0),-1)</f>
      </c>
      <c r="AS21" s="68">
        <f t="shared" ref="AS21" si="225">ROUNDDOWN(IF(AD21*O21&gt;=150000,(((AD21*O21)-150000)*2.7%),0),-1)</f>
      </c>
      <c r="AT21" s="68">
        <f t="shared" ref="AT21" si="226">ROUNDDOWN(IF(AD21*P21&gt;=150000,(((AD21*P21)-150000)*2.7%),0),-1)</f>
      </c>
      <c r="AU21" s="68">
        <f t="shared" ref="AU21" si="227">ROUNDDOWN(IF(AD21*Q21&gt;=150000,(((AD21*Q21)-150000)*2.7%),0),-1)</f>
      </c>
      <c r="AV21" s="68">
        <f t="shared" ref="AV21" si="228">ROUNDDOWN(IF(AD21*R21&gt;=150000,(((AD21*R21)-150000)*2.7%),0),-1)</f>
      </c>
      <c r="AW21" s="68">
        <f t="shared" ref="AW21" si="229">ROUNDDOWN(IF(AD21*S21&gt;=150000,(((AD21*S21)-150000)*2.7%),0),-1)</f>
      </c>
      <c r="AX21" s="68">
        <f t="shared" ref="AX21" si="230">ROUNDDOWN(IF(AD21*T21&gt;=150000,(((AD21*T21)-150000)*2.7%),0),-1)</f>
      </c>
      <c r="AY21" s="68">
        <f t="shared" ref="AY21" si="231">ROUNDDOWN(IF(AD21*U21&gt;=150000,(((AD21*U21)-150000)*2.7%),0),-1)</f>
      </c>
      <c r="AZ21" s="68">
        <f t="shared" ref="AZ21" si="232">ROUNDDOWN(IF(AD21*V21&gt;=150000,(((AD21*V21)-150000)*2.7%),0),-1)</f>
      </c>
      <c r="BA21" s="68">
        <f t="shared" ref="BA21" si="233">ROUNDDOWN(IF(AD21*W21&gt;=150000,(((AD21*W21)-150000)*2.7%),0),-1)</f>
      </c>
      <c r="BB21" s="68">
        <f t="shared" ref="BB21" si="234">ROUNDDOWN(IF(AD21*X21&gt;=150000,(((AD21*X21)-150000)*2.7%),0),-1)</f>
      </c>
      <c r="BC21" s="68">
        <f t="shared" ref="BC21" si="235">ROUNDDOWN(IF(AD21*Y21&gt;=150000,(((AD21*Y21)-150000)*2.7%),0),-1)</f>
      </c>
      <c r="BD21" s="68">
        <f t="shared" ref="BD21" si="236">ROUNDDOWN(IF(AD21*Z21&gt;=150000,(((AD21*Z21)-150000)*2.7%),0),-1)</f>
      </c>
      <c r="BE21" s="68"/>
      <c r="BF21" s="69">
        <f>IF(AND(BH21&gt;=60,OR(MID(F21,8,1)="0",MID(F21,8,1)="0",MID(F21,8,1)="0",MID(F21,8,1)="0")),"외국인 고용 연금 제외",
  IF(OR(MID(F21,8,1)="0",MID(F21,8,1)="0",MID(F21,8,1)="0",MID(F21,8,1)="0"),"외국인 고용 제외",
  IF(BH21&gt;=65,"고용 연금 제외",
  IF(BH21&gt;=60,"연금 제외","정상"))))</f>
      </c>
      <c r="BG21" s="69">
        <f>IF(OR(MID(F21,8,1)="5",MID(F21,8,1)="6",MID(F21,8,1)="7",MID(F21,8,1)="8"),
  IF(RIGHT(F21,1)=RIGHT(13-MOD(SUM(MID(F21,1,1)*2,
MID(F21,2,1)*3,
MID(F21,3,1)*4,
MID(F21,4,1)*5,
MID(F21,5,1)*6,
MID(F21,6,1)*7,
MID(F21,8,1)*8,
MID(F21,9,1)*9,
MID(F21,10,1)*2,
MID(F21,11,1)*3,
MID(F21,12,1)*4,
MID(F21,13,1)*5),11),3),"정상","오류"),
 IF(RIGHT(F21,1)=RIGHT(11-MOD(SUM(MID(F21,1,1)*2,
  MID(F21,2,1)*3,
  MID(F21,3,1)*4,
  MID(F21,4,1)*5,
  MID(F21,5,1)*6,
  MID(F21,6,1)*7,
  MID(F21,8,1)*8,
  MID(F21,9,1)*9,
  MID(F21,10,1)*2,
  MID(F21,11,1)*3,
  MID(F21,12,1)*4,
  MID(F21,13,1)*5),11),1),"정상","오류"))</f>
      </c>
      <c r="BH21" s="1">
        <f>DATEDIF(DATE(IF(OR(MID(F21,8,1)="3",
        MID(F21,8,1)="4",
        MID(F21,8,1)="7",
        MID(F21,8,1)="8"),20,19)&amp;LEFT(F21,2),
        MID(F21,3,2),MID(F21,5,2)),TODAY(),"Y")</f>
      </c>
    </row>
    <row r="22" ht="17" customHeight="1" spans="1:60" x14ac:dyDescent="0.25">
      <c r="A22" s="70"/>
      <c r="B22" s="71"/>
      <c r="C22" s="72"/>
      <c r="D22" s="73"/>
      <c r="E22" s="103"/>
      <c r="F22" s="104"/>
      <c r="G22" s="105"/>
      <c r="H22" s="74"/>
      <c r="I22" s="76"/>
      <c r="J22" s="106"/>
      <c r="K22" s="9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80"/>
      <c r="AC22" s="48"/>
      <c r="AD22" s="81"/>
      <c r="AE22" s="82"/>
      <c r="AF22" s="83"/>
      <c r="AG22" s="84"/>
      <c r="AH22" s="84"/>
      <c r="AI22" s="85"/>
      <c r="AJ22" s="84"/>
      <c r="AK22" s="86"/>
      <c r="AL22" s="87"/>
      <c r="AM22" s="88"/>
      <c r="AN22" s="88"/>
      <c r="AO22" s="88"/>
      <c r="AP22" s="67">
        <f t="shared" ref="AP22" si="237">ROUNDDOWN(IF(AD21*L22&gt;=150000,(((AD21*L22)-150000)*2.7%),0),-1)</f>
      </c>
      <c r="AQ22" s="67">
        <f t="shared" ref="AQ22" si="238">ROUNDDOWN(IF(AD21*M22&gt;=150000,(((AD21*M22)-150000)*2.7%),0),-1)</f>
      </c>
      <c r="AR22" s="67">
        <f t="shared" ref="AR22" si="239">ROUNDDOWN(IF(AD21*N22&gt;=150000,(((AD21*N22)-150000)*2.7%),0),-1)</f>
      </c>
      <c r="AS22" s="67">
        <f t="shared" ref="AS22" si="240">ROUNDDOWN(IF(AD21*O22&gt;=150000,(((AD21*O22)-150000)*2.7%),0),-1)</f>
      </c>
      <c r="AT22" s="67">
        <f t="shared" ref="AT22" si="241">ROUNDDOWN(IF(AD21*P22&gt;=150000,(((AD21*P22)-150000)*2.7%),0),-1)</f>
      </c>
      <c r="AU22" s="67">
        <f t="shared" ref="AU22" si="242">ROUNDDOWN(IF(AD21*Q22&gt;=150000,(((AD21*Q22)-150000)*2.7%),0),-1)</f>
      </c>
      <c r="AV22" s="67">
        <f t="shared" ref="AV22" si="243">ROUNDDOWN(IF(AD21*R22&gt;=150000,(((AD21*R22)-150000)*2.7%),0),-1)</f>
      </c>
      <c r="AW22" s="67">
        <f t="shared" ref="AW22" si="244">ROUNDDOWN(IF(AD21*S22&gt;=150000,(((AD21*S22)-150000)*2.7%),0),-1)</f>
      </c>
      <c r="AX22" s="67">
        <f t="shared" ref="AX22" si="245">ROUNDDOWN(IF(AD21*T22&gt;=150000,(((AD21*T22)-150000)*2.7%),0),-1)</f>
      </c>
      <c r="AY22" s="67">
        <f t="shared" ref="AY22" si="246">ROUNDDOWN(IF(AD21*U22&gt;=150000,(((AD21*U22)-150000)*2.7%),0),-1)</f>
      </c>
      <c r="AZ22" s="67">
        <f t="shared" ref="AZ22" si="247">ROUNDDOWN(IF(AD21*V22&gt;=150000,(((AD21*V22)-150000)*2.7%),0),-1)</f>
      </c>
      <c r="BA22" s="67">
        <f t="shared" ref="BA22" si="248">ROUNDDOWN(IF(AD21*W22&gt;=150000,(((AD21*W22)-150000)*2.7%),0),-1)</f>
      </c>
      <c r="BB22" s="67">
        <f t="shared" ref="BB22" si="249">ROUNDDOWN(IF(AD21*X22&gt;=150000,(((AD21*X22)-150000)*2.7%),0),-1)</f>
      </c>
      <c r="BC22" s="67">
        <f t="shared" ref="BC22" si="250">ROUNDDOWN(IF(AD21*Y22&gt;=150000,(((AD21*Y22)-150000)*2.7%),0),-1)</f>
      </c>
      <c r="BD22" s="67">
        <f t="shared" ref="BD22" si="251">ROUNDDOWN(IF(AD21*Z22&gt;=150000,(((AD21*Z22)-150000)*2.7%),0),-1)</f>
      </c>
      <c r="BE22" s="67">
        <f t="shared" ref="BE22" si="252">ROUNDDOWN(IF(AD21*AA22&gt;=150000,(((AD21*AA22)-150000)*2.7%),0),-1)</f>
      </c>
      <c r="BF22" s="69"/>
      <c r="BG22" s="69"/>
      <c r="BH22" s="1"/>
    </row>
    <row r="23" ht="16.5" customHeight="1" spans="1:60" x14ac:dyDescent="0.25">
      <c r="A23" s="70">
        <v>8</v>
      </c>
      <c r="B23" s="46">
        <f t="shared" ref="B23" si="253">BG23</f>
      </c>
      <c r="C23" s="47">
        <f t="shared" ref="C23" si="254">BF23</f>
      </c>
      <c r="D23" s="48"/>
      <c r="E23" s="99"/>
      <c r="F23" s="100"/>
      <c r="G23" s="51"/>
      <c r="H23" s="92"/>
      <c r="I23" s="98"/>
      <c r="J23" s="77"/>
      <c r="K23" s="98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90"/>
      <c r="AB23" s="91">
        <f t="shared" ref="AB23" si="255">SUM(L23:AA24)</f>
      </c>
      <c r="AC23" s="92">
        <f t="shared" ref="AC23" si="256">COUNT(L23:AA24)</f>
      </c>
      <c r="AD23" s="59"/>
      <c r="AE23" s="60">
        <f t="shared" ref="AE23" si="257">AB23*AD23</f>
      </c>
      <c r="AF23" s="61">
        <f t="shared" ref="AF23" si="258">IF(SUM(AP23:BE24)&gt;=1000,ROUNDDOWN((SUM(AP23:BE24)),-1),0)</f>
      </c>
      <c r="AG23" s="62">
        <f t="shared" ref="AG23" si="259">ROUNDDOWN(AF23*10%,-1)</f>
      </c>
      <c r="AH23" s="62">
        <f t="shared" ref="AH23" si="260">IFERROR(IF(OR(C23="외국인 고용 연금 제외",C23="외국인 고용 제외",C23="고용 연금 제외"),0,ROUNDDOWN(AE23*0.9%,-1)),"")</f>
      </c>
      <c r="AI23" s="63">
        <f t="shared" ref="AI23" si="261">IFERROR(IF(OR(C23="외국인 고용 연금 제외",C23="고용 연금 제외",C23="연금 제외"),0,
   IF(OR(AC23&gt;=8,AE23&gt;=2200000),
    IF(AE23&gt;=5900000,ROUNDDOWN(5900000*4.5%,-1),
     IF(AE23&lt;=370000,ROUNDDOWN(370000*4.5%,-1),ROUNDDOWN(ROUNDDOWN(AE23,-3)*4.5%,-1))),0)),"")</f>
      </c>
      <c r="AJ23" s="62">
        <f t="shared" ref="AJ23" si="262">IF(AC23&gt;=8,IF(AE23&gt;=104536481,ROUNDDOWN(104536481*3.545%,-1),IF(AE23&lt;=279256,ROUNDDOWN(279256*3.545%,-1),ROUNDDOWN(AE23*3.545%,-1))),0)</f>
      </c>
      <c r="AK23" s="64">
        <f>ROUNDDOWN(AJ23*12.95%,-1)</f>
      </c>
      <c r="AL23" s="87">
        <f t="shared" ref="AL23" si="263">SUM(AF23:AK24)</f>
      </c>
      <c r="AM23" s="88"/>
      <c r="AN23" s="66">
        <f t="shared" ref="AN23" si="264">IFERROR(AE23-AL23-AM23,"")</f>
      </c>
      <c r="AO23" s="88"/>
      <c r="AP23" s="67">
        <f t="shared" ref="AP23" si="265">ROUNDDOWN(IF(AD23*L23&gt;=150000,(((AD23*L23)-150000)*2.7%),0),-1)</f>
      </c>
      <c r="AQ23" s="68">
        <f t="shared" ref="AQ23" si="266">ROUNDDOWN(IF(AD23*M23&gt;=150000,(((AD23*M23)-150000)*2.7%),0),-1)</f>
      </c>
      <c r="AR23" s="68">
        <f t="shared" ref="AR23" si="267">ROUNDDOWN(IF(AD23*N23&gt;=150000,(((AD23*N23)-150000)*2.7%),0),-1)</f>
      </c>
      <c r="AS23" s="68">
        <f t="shared" ref="AS23" si="268">ROUNDDOWN(IF(AD23*O23&gt;=150000,(((AD23*O23)-150000)*2.7%),0),-1)</f>
      </c>
      <c r="AT23" s="68">
        <f t="shared" ref="AT23" si="269">ROUNDDOWN(IF(AD23*P23&gt;=150000,(((AD23*P23)-150000)*2.7%),0),-1)</f>
      </c>
      <c r="AU23" s="68">
        <f t="shared" ref="AU23" si="270">ROUNDDOWN(IF(AD23*Q23&gt;=150000,(((AD23*Q23)-150000)*2.7%),0),-1)</f>
      </c>
      <c r="AV23" s="68">
        <f t="shared" ref="AV23" si="271">ROUNDDOWN(IF(AD23*R23&gt;=150000,(((AD23*R23)-150000)*2.7%),0),-1)</f>
      </c>
      <c r="AW23" s="68">
        <f t="shared" ref="AW23" si="272">ROUNDDOWN(IF(AD23*S23&gt;=150000,(((AD23*S23)-150000)*2.7%),0),-1)</f>
      </c>
      <c r="AX23" s="68">
        <f t="shared" ref="AX23" si="273">ROUNDDOWN(IF(AD23*T23&gt;=150000,(((AD23*T23)-150000)*2.7%),0),-1)</f>
      </c>
      <c r="AY23" s="68">
        <f t="shared" ref="AY23" si="274">ROUNDDOWN(IF(AD23*U23&gt;=150000,(((AD23*U23)-150000)*2.7%),0),-1)</f>
      </c>
      <c r="AZ23" s="68">
        <f t="shared" ref="AZ23" si="275">ROUNDDOWN(IF(AD23*V23&gt;=150000,(((AD23*V23)-150000)*2.7%),0),-1)</f>
      </c>
      <c r="BA23" s="68">
        <f t="shared" ref="BA23" si="276">ROUNDDOWN(IF(AD23*W23&gt;=150000,(((AD23*W23)-150000)*2.7%),0),-1)</f>
      </c>
      <c r="BB23" s="68">
        <f t="shared" ref="BB23" si="277">ROUNDDOWN(IF(AD23*X23&gt;=150000,(((AD23*X23)-150000)*2.7%),0),-1)</f>
      </c>
      <c r="BC23" s="68">
        <f t="shared" ref="BC23" si="278">ROUNDDOWN(IF(AD23*Y23&gt;=150000,(((AD23*Y23)-150000)*2.7%),0),-1)</f>
      </c>
      <c r="BD23" s="68">
        <f t="shared" ref="BD23" si="279">ROUNDDOWN(IF(AD23*Z23&gt;=150000,(((AD23*Z23)-150000)*2.7%),0),-1)</f>
      </c>
      <c r="BE23" s="68"/>
      <c r="BF23" s="69">
        <f>IF(AND(BH23&gt;=60,OR(MID(F23,8,1)="0",MID(F23,8,1)="0",MID(F23,8,1)="0",MID(F23,8,1)="0")),"외국인 고용 연금 제외",
  IF(OR(MID(F23,8,1)="0",MID(F23,8,1)="0",MID(F23,8,1)="0",MID(F23,8,1)="0"),"외국인 고용 제외",
  IF(BH23&gt;=65,"고용 연금 제외",
  IF(BH23&gt;=60,"연금 제외","정상"))))</f>
      </c>
      <c r="BG23" s="69">
        <f>IF(OR(MID(F23,8,1)="5",MID(F23,8,1)="6",MID(F23,8,1)="7",MID(F23,8,1)="8"),
  IF(RIGHT(F23,1)=RIGHT(13-MOD(SUM(MID(F23,1,1)*2,
MID(F23,2,1)*3,
MID(F23,3,1)*4,
MID(F23,4,1)*5,
MID(F23,5,1)*6,
MID(F23,6,1)*7,
MID(F23,8,1)*8,
MID(F23,9,1)*9,
MID(F23,10,1)*2,
MID(F23,11,1)*3,
MID(F23,12,1)*4,
MID(F23,13,1)*5),11),3),"정상","오류"),
 IF(RIGHT(F23,1)=RIGHT(11-MOD(SUM(MID(F23,1,1)*2,
  MID(F23,2,1)*3,
  MID(F23,3,1)*4,
  MID(F23,4,1)*5,
  MID(F23,5,1)*6,
  MID(F23,6,1)*7,
  MID(F23,8,1)*8,
  MID(F23,9,1)*9,
  MID(F23,10,1)*2,
  MID(F23,11,1)*3,
  MID(F23,12,1)*4,
  MID(F23,13,1)*5),11),1),"정상","오류"))</f>
      </c>
      <c r="BH23" s="1">
        <f>DATEDIF(DATE(IF(OR(MID(F23,8,1)="3",
        MID(F23,8,1)="4",
        MID(F23,8,1)="7",
        MID(F23,8,1)="8"),20,19)&amp;LEFT(F23,2),
        MID(F23,3,2),MID(F23,5,2)),TODAY(),"Y")</f>
      </c>
    </row>
    <row r="24" ht="17" customHeight="1" spans="1:60" x14ac:dyDescent="0.25">
      <c r="A24" s="70"/>
      <c r="B24" s="71"/>
      <c r="C24" s="72"/>
      <c r="D24" s="73"/>
      <c r="E24" s="103"/>
      <c r="F24" s="104"/>
      <c r="G24" s="76"/>
      <c r="H24" s="48"/>
      <c r="I24" s="98"/>
      <c r="J24" s="77"/>
      <c r="K24" s="9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80"/>
      <c r="AC24" s="48"/>
      <c r="AD24" s="81"/>
      <c r="AE24" s="82"/>
      <c r="AF24" s="83"/>
      <c r="AG24" s="84"/>
      <c r="AH24" s="84"/>
      <c r="AI24" s="85"/>
      <c r="AJ24" s="84"/>
      <c r="AK24" s="86"/>
      <c r="AL24" s="87"/>
      <c r="AM24" s="88"/>
      <c r="AN24" s="88"/>
      <c r="AO24" s="88"/>
      <c r="AP24" s="67">
        <f t="shared" ref="AP24" si="280">ROUNDDOWN(IF(AD23*L24&gt;=150000,(((AD23*L24)-150000)*2.7%),0),-1)</f>
      </c>
      <c r="AQ24" s="67">
        <f t="shared" ref="AQ24" si="281">ROUNDDOWN(IF(AD23*M24&gt;=150000,(((AD23*M24)-150000)*2.7%),0),-1)</f>
      </c>
      <c r="AR24" s="67">
        <f t="shared" ref="AR24" si="282">ROUNDDOWN(IF(AD23*N24&gt;=150000,(((AD23*N24)-150000)*2.7%),0),-1)</f>
      </c>
      <c r="AS24" s="67">
        <f t="shared" ref="AS24" si="283">ROUNDDOWN(IF(AD23*O24&gt;=150000,(((AD23*O24)-150000)*2.7%),0),-1)</f>
      </c>
      <c r="AT24" s="67">
        <f t="shared" ref="AT24" si="284">ROUNDDOWN(IF(AD23*P24&gt;=150000,(((AD23*P24)-150000)*2.7%),0),-1)</f>
      </c>
      <c r="AU24" s="67">
        <f t="shared" ref="AU24" si="285">ROUNDDOWN(IF(AD23*Q24&gt;=150000,(((AD23*Q24)-150000)*2.7%),0),-1)</f>
      </c>
      <c r="AV24" s="67">
        <f t="shared" ref="AV24" si="286">ROUNDDOWN(IF(AD23*R24&gt;=150000,(((AD23*R24)-150000)*2.7%),0),-1)</f>
      </c>
      <c r="AW24" s="67">
        <f t="shared" ref="AW24" si="287">ROUNDDOWN(IF(AD23*S24&gt;=150000,(((AD23*S24)-150000)*2.7%),0),-1)</f>
      </c>
      <c r="AX24" s="67">
        <f t="shared" ref="AX24" si="288">ROUNDDOWN(IF(AD23*T24&gt;=150000,(((AD23*T24)-150000)*2.7%),0),-1)</f>
      </c>
      <c r="AY24" s="67">
        <f t="shared" ref="AY24" si="289">ROUNDDOWN(IF(AD23*U24&gt;=150000,(((AD23*U24)-150000)*2.7%),0),-1)</f>
      </c>
      <c r="AZ24" s="67">
        <f t="shared" ref="AZ24" si="290">ROUNDDOWN(IF(AD23*V24&gt;=150000,(((AD23*V24)-150000)*2.7%),0),-1)</f>
      </c>
      <c r="BA24" s="67">
        <f t="shared" ref="BA24" si="291">ROUNDDOWN(IF(AD23*W24&gt;=150000,(((AD23*W24)-150000)*2.7%),0),-1)</f>
      </c>
      <c r="BB24" s="67">
        <f t="shared" ref="BB24" si="292">ROUNDDOWN(IF(AD23*X24&gt;=150000,(((AD23*X24)-150000)*2.7%),0),-1)</f>
      </c>
      <c r="BC24" s="67">
        <f t="shared" ref="BC24" si="293">ROUNDDOWN(IF(AD23*Y24&gt;=150000,(((AD23*Y24)-150000)*2.7%),0),-1)</f>
      </c>
      <c r="BD24" s="67">
        <f t="shared" ref="BD24" si="294">ROUNDDOWN(IF(AD23*Z24&gt;=150000,(((AD23*Z24)-150000)*2.7%),0),-1)</f>
      </c>
      <c r="BE24" s="67">
        <f t="shared" ref="BE24" si="295">ROUNDDOWN(IF(AD23*AA24&gt;=150000,(((AD23*AA24)-150000)*2.7%),0),-1)</f>
      </c>
      <c r="BF24" s="69"/>
      <c r="BG24" s="69"/>
      <c r="BH24" s="1"/>
    </row>
    <row r="25" ht="17" customHeight="1" spans="1:60" x14ac:dyDescent="0.25">
      <c r="A25" s="45">
        <v>9</v>
      </c>
      <c r="B25" s="46">
        <f t="shared" ref="B25" si="296">BG25</f>
      </c>
      <c r="C25" s="47">
        <f t="shared" ref="C25" si="297">BF25</f>
      </c>
      <c r="D25" s="48"/>
      <c r="E25" s="107"/>
      <c r="F25" s="95"/>
      <c r="G25" s="96"/>
      <c r="H25" s="92"/>
      <c r="I25" s="98"/>
      <c r="J25" s="77"/>
      <c r="K25" s="98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90"/>
      <c r="AB25" s="91">
        <f t="shared" ref="AB25" si="298">SUM(L25:AA26)</f>
      </c>
      <c r="AC25" s="92">
        <f t="shared" ref="AC25" si="299">COUNT(L25:AA26)</f>
      </c>
      <c r="AD25" s="59"/>
      <c r="AE25" s="60">
        <f t="shared" ref="AE25" si="300">AB25*AD25</f>
      </c>
      <c r="AF25" s="61">
        <f t="shared" ref="AF25" si="301">IF(SUM(AP25:BE26)&gt;=1000,ROUNDDOWN((SUM(AP25:BE26)),-1),0)</f>
      </c>
      <c r="AG25" s="62">
        <f t="shared" ref="AG25" si="302">ROUNDDOWN(AF25*10%,-1)</f>
      </c>
      <c r="AH25" s="62">
        <f t="shared" ref="AH25" si="303">IFERROR(IF(OR(C25="외국인 고용 연금 제외",C25="외국인 고용 제외",C25="고용 연금 제외"),0,ROUNDDOWN(AE25*0.9%,-1)),"")</f>
      </c>
      <c r="AI25" s="63">
        <f t="shared" ref="AI25" si="304">IFERROR(IF(OR(C25="외국인 고용 연금 제외",C25="고용 연금 제외",C25="연금 제외"),0,
   IF(OR(AC25&gt;=8,AE25&gt;=2200000),
    IF(AE25&gt;=5900000,ROUNDDOWN(5900000*4.5%,-1),
     IF(AE25&lt;=370000,ROUNDDOWN(370000*4.5%,-1),ROUNDDOWN(ROUNDDOWN(AE25,-3)*4.5%,-1))),0)),"")</f>
      </c>
      <c r="AJ25" s="62">
        <f t="shared" ref="AJ25" si="305">IF(AC25&gt;=8,IF(AE25&gt;=104536481,ROUNDDOWN(104536481*3.545%,-1),IF(AE25&lt;=279256,ROUNDDOWN(279256*3.545%,-1),ROUNDDOWN(AE25*3.545%,-1))),0)</f>
      </c>
      <c r="AK25" s="64">
        <f>ROUNDDOWN(AJ25*12.95%,-1)</f>
      </c>
      <c r="AL25" s="87">
        <f t="shared" ref="AL25" si="306">SUM(AF25:AK26)</f>
      </c>
      <c r="AM25" s="88"/>
      <c r="AN25" s="66">
        <f t="shared" ref="AN25" si="307">IFERROR(AE25-AL25-AM25,"")</f>
      </c>
      <c r="AO25" s="88"/>
      <c r="AP25" s="67">
        <f t="shared" ref="AP25" si="308">ROUNDDOWN(IF(AD25*L25&gt;=150000,(((AD25*L25)-150000)*2.7%),0),-1)</f>
      </c>
      <c r="AQ25" s="68">
        <f t="shared" ref="AQ25" si="309">ROUNDDOWN(IF(AD25*M25&gt;=150000,(((AD25*M25)-150000)*2.7%),0),-1)</f>
      </c>
      <c r="AR25" s="68">
        <f t="shared" ref="AR25" si="310">ROUNDDOWN(IF(AD25*N25&gt;=150000,(((AD25*N25)-150000)*2.7%),0),-1)</f>
      </c>
      <c r="AS25" s="68">
        <f t="shared" ref="AS25" si="311">ROUNDDOWN(IF(AD25*O25&gt;=150000,(((AD25*O25)-150000)*2.7%),0),-1)</f>
      </c>
      <c r="AT25" s="68">
        <f t="shared" ref="AT25" si="312">ROUNDDOWN(IF(AD25*P25&gt;=150000,(((AD25*P25)-150000)*2.7%),0),-1)</f>
      </c>
      <c r="AU25" s="68">
        <f t="shared" ref="AU25" si="313">ROUNDDOWN(IF(AD25*Q25&gt;=150000,(((AD25*Q25)-150000)*2.7%),0),-1)</f>
      </c>
      <c r="AV25" s="68">
        <f t="shared" ref="AV25" si="314">ROUNDDOWN(IF(AD25*R25&gt;=150000,(((AD25*R25)-150000)*2.7%),0),-1)</f>
      </c>
      <c r="AW25" s="68">
        <f t="shared" ref="AW25" si="315">ROUNDDOWN(IF(AD25*S25&gt;=150000,(((AD25*S25)-150000)*2.7%),0),-1)</f>
      </c>
      <c r="AX25" s="68">
        <f t="shared" ref="AX25" si="316">ROUNDDOWN(IF(AD25*T25&gt;=150000,(((AD25*T25)-150000)*2.7%),0),-1)</f>
      </c>
      <c r="AY25" s="68">
        <f t="shared" ref="AY25" si="317">ROUNDDOWN(IF(AD25*U25&gt;=150000,(((AD25*U25)-150000)*2.7%),0),-1)</f>
      </c>
      <c r="AZ25" s="68">
        <f t="shared" ref="AZ25" si="318">ROUNDDOWN(IF(AD25*V25&gt;=150000,(((AD25*V25)-150000)*2.7%),0),-1)</f>
      </c>
      <c r="BA25" s="68">
        <f t="shared" ref="BA25" si="319">ROUNDDOWN(IF(AD25*W25&gt;=150000,(((AD25*W25)-150000)*2.7%),0),-1)</f>
      </c>
      <c r="BB25" s="68">
        <f t="shared" ref="BB25" si="320">ROUNDDOWN(IF(AD25*X25&gt;=150000,(((AD25*X25)-150000)*2.7%),0),-1)</f>
      </c>
      <c r="BC25" s="68">
        <f t="shared" ref="BC25" si="321">ROUNDDOWN(IF(AD25*Y25&gt;=150000,(((AD25*Y25)-150000)*2.7%),0),-1)</f>
      </c>
      <c r="BD25" s="68">
        <f t="shared" ref="BD25" si="322">ROUNDDOWN(IF(AD25*Z25&gt;=150000,(((AD25*Z25)-150000)*2.7%),0),-1)</f>
      </c>
      <c r="BE25" s="68"/>
      <c r="BF25" s="69">
        <f>IF(AND(BH25&gt;=60,OR(MID(F25,8,1)="0",MID(F25,8,1)="0",MID(F25,8,1)="0",MID(F25,8,1)="0")),"외국인 고용 연금 제외",
  IF(OR(MID(F25,8,1)="0",MID(F25,8,1)="0",MID(F25,8,1)="0",MID(F25,8,1)="0"),"외국인 고용 제외",
  IF(BH25&gt;=65,"고용 연금 제외",
  IF(BH25&gt;=60,"연금 제외","정상"))))</f>
      </c>
      <c r="BG25" s="69">
        <f>IF(OR(MID(F25,8,1)="5",MID(F25,8,1)="6",MID(F25,8,1)="7",MID(F25,8,1)="8"),
  IF(RIGHT(F25,1)=RIGHT(13-MOD(SUM(MID(F25,1,1)*2,
MID(F25,2,1)*3,
MID(F25,3,1)*4,
MID(F25,4,1)*5,
MID(F25,5,1)*6,
MID(F25,6,1)*7,
MID(F25,8,1)*8,
MID(F25,9,1)*9,
MID(F25,10,1)*2,
MID(F25,11,1)*3,
MID(F25,12,1)*4,
MID(F25,13,1)*5),11),3),"정상","오류"),
 IF(RIGHT(F25,1)=RIGHT(11-MOD(SUM(MID(F25,1,1)*2,
  MID(F25,2,1)*3,
  MID(F25,3,1)*4,
  MID(F25,4,1)*5,
  MID(F25,5,1)*6,
  MID(F25,6,1)*7,
  MID(F25,8,1)*8,
  MID(F25,9,1)*9,
  MID(F25,10,1)*2,
  MID(F25,11,1)*3,
  MID(F25,12,1)*4,
  MID(F25,13,1)*5),11),1),"정상","오류"))</f>
      </c>
      <c r="BH25" s="1">
        <f>DATEDIF(DATE(IF(OR(MID(F25,8,1)="3",
        MID(F25,8,1)="4",
        MID(F25,8,1)="7",
        MID(F25,8,1)="8"),20,19)&amp;LEFT(F25,2),
        MID(F25,3,2),MID(F25,5,2)),TODAY(),"Y")</f>
      </c>
    </row>
    <row r="26" ht="17.25" customHeight="1" spans="1:60" x14ac:dyDescent="0.25">
      <c r="A26" s="70"/>
      <c r="B26" s="71"/>
      <c r="C26" s="72"/>
      <c r="D26" s="73"/>
      <c r="E26" s="108"/>
      <c r="F26" s="95"/>
      <c r="G26" s="96"/>
      <c r="H26" s="48"/>
      <c r="I26" s="98"/>
      <c r="J26" s="77"/>
      <c r="K26" s="9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80"/>
      <c r="AC26" s="48"/>
      <c r="AD26" s="81"/>
      <c r="AE26" s="82"/>
      <c r="AF26" s="83"/>
      <c r="AG26" s="84"/>
      <c r="AH26" s="84"/>
      <c r="AI26" s="85"/>
      <c r="AJ26" s="84"/>
      <c r="AK26" s="86"/>
      <c r="AL26" s="87"/>
      <c r="AM26" s="88"/>
      <c r="AN26" s="88"/>
      <c r="AO26" s="88"/>
      <c r="AP26" s="67">
        <f t="shared" ref="AP26" si="323">ROUNDDOWN(IF(AD25*L26&gt;=150000,(((AD25*L26)-150000)*2.7%),0),-1)</f>
      </c>
      <c r="AQ26" s="67">
        <f t="shared" ref="AQ26" si="324">ROUNDDOWN(IF(AD25*M26&gt;=150000,(((AD25*M26)-150000)*2.7%),0),-1)</f>
      </c>
      <c r="AR26" s="67">
        <f t="shared" ref="AR26" si="325">ROUNDDOWN(IF(AD25*N26&gt;=150000,(((AD25*N26)-150000)*2.7%),0),-1)</f>
      </c>
      <c r="AS26" s="67">
        <f t="shared" ref="AS26" si="326">ROUNDDOWN(IF(AD25*O26&gt;=150000,(((AD25*O26)-150000)*2.7%),0),-1)</f>
      </c>
      <c r="AT26" s="67">
        <f t="shared" ref="AT26" si="327">ROUNDDOWN(IF(AD25*P26&gt;=150000,(((AD25*P26)-150000)*2.7%),0),-1)</f>
      </c>
      <c r="AU26" s="67">
        <f t="shared" ref="AU26" si="328">ROUNDDOWN(IF(AD25*Q26&gt;=150000,(((AD25*Q26)-150000)*2.7%),0),-1)</f>
      </c>
      <c r="AV26" s="67">
        <f t="shared" ref="AV26" si="329">ROUNDDOWN(IF(AD25*R26&gt;=150000,(((AD25*R26)-150000)*2.7%),0),-1)</f>
      </c>
      <c r="AW26" s="67">
        <f t="shared" ref="AW26" si="330">ROUNDDOWN(IF(AD25*S26&gt;=150000,(((AD25*S26)-150000)*2.7%),0),-1)</f>
      </c>
      <c r="AX26" s="67">
        <f t="shared" ref="AX26" si="331">ROUNDDOWN(IF(AD25*T26&gt;=150000,(((AD25*T26)-150000)*2.7%),0),-1)</f>
      </c>
      <c r="AY26" s="67">
        <f t="shared" ref="AY26" si="332">ROUNDDOWN(IF(AD25*U26&gt;=150000,(((AD25*U26)-150000)*2.7%),0),-1)</f>
      </c>
      <c r="AZ26" s="67">
        <f t="shared" ref="AZ26" si="333">ROUNDDOWN(IF(AD25*V26&gt;=150000,(((AD25*V26)-150000)*2.7%),0),-1)</f>
      </c>
      <c r="BA26" s="67">
        <f t="shared" ref="BA26" si="334">ROUNDDOWN(IF(AD25*W26&gt;=150000,(((AD25*W26)-150000)*2.7%),0),-1)</f>
      </c>
      <c r="BB26" s="67">
        <f t="shared" ref="BB26" si="335">ROUNDDOWN(IF(AD25*X26&gt;=150000,(((AD25*X26)-150000)*2.7%),0),-1)</f>
      </c>
      <c r="BC26" s="67">
        <f t="shared" ref="BC26" si="336">ROUNDDOWN(IF(AD25*Y26&gt;=150000,(((AD25*Y26)-150000)*2.7%),0),-1)</f>
      </c>
      <c r="BD26" s="67">
        <f t="shared" ref="BD26" si="337">ROUNDDOWN(IF(AD25*Z26&gt;=150000,(((AD25*Z26)-150000)*2.7%),0),-1)</f>
      </c>
      <c r="BE26" s="67">
        <f t="shared" ref="BE26" si="338">ROUNDDOWN(IF(AD25*AA26&gt;=150000,(((AD25*AA26)-150000)*2.7%),0),-1)</f>
      </c>
      <c r="BF26" s="69"/>
      <c r="BG26" s="69"/>
      <c r="BH26" s="1"/>
    </row>
    <row r="27" ht="17" customHeight="1" spans="1:60" x14ac:dyDescent="0.25">
      <c r="A27" s="70">
        <v>10</v>
      </c>
      <c r="B27" s="46">
        <f t="shared" ref="B27" si="339">BG27</f>
      </c>
      <c r="C27" s="47">
        <f t="shared" ref="C27" si="340">BF27</f>
      </c>
      <c r="D27" s="109"/>
      <c r="E27" s="110"/>
      <c r="F27" s="50"/>
      <c r="G27" s="51"/>
      <c r="H27" s="92"/>
      <c r="I27" s="51"/>
      <c r="J27" s="77"/>
      <c r="K27" s="111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90"/>
      <c r="AB27" s="91">
        <f t="shared" ref="AB27" si="341">SUM(L27:AA28)</f>
      </c>
      <c r="AC27" s="92">
        <f t="shared" ref="AC27" si="342">COUNT(L27:AA28)</f>
      </c>
      <c r="AD27" s="59"/>
      <c r="AE27" s="60">
        <f t="shared" ref="AE27" si="343">AB27*AD27</f>
      </c>
      <c r="AF27" s="61">
        <f t="shared" ref="AF27" si="344">IF(SUM(AP27:BE28)&gt;=1000,ROUNDDOWN((SUM(AP27:BE28)),-1),0)</f>
      </c>
      <c r="AG27" s="62">
        <f t="shared" ref="AG27" si="345">ROUNDDOWN(AF27*10%,-1)</f>
      </c>
      <c r="AH27" s="62">
        <f t="shared" ref="AH27" si="346">IFERROR(IF(OR(C27="외국인 고용 연금 제외",C27="외국인 고용 제외",C27="고용 연금 제외"),0,ROUNDDOWN(AE27*0.9%,-1)),"")</f>
      </c>
      <c r="AI27" s="63">
        <f t="shared" ref="AI27" si="347">IFERROR(IF(OR(C27="외국인 고용 연금 제외",C27="고용 연금 제외",C27="연금 제외"),0,
   IF(OR(AC27&gt;=8,AE27&gt;=2200000),
    IF(AE27&gt;=5900000,ROUNDDOWN(5900000*4.5%,-1),
     IF(AE27&lt;=370000,ROUNDDOWN(370000*4.5%,-1),ROUNDDOWN(ROUNDDOWN(AE27,-3)*4.5%,-1))),0)),"")</f>
      </c>
      <c r="AJ27" s="62">
        <f t="shared" ref="AJ27" si="348">IF(AC27&gt;=8,IF(AE27&gt;=104536481,ROUNDDOWN(104536481*3.545%,-1),IF(AE27&lt;=279256,ROUNDDOWN(279256*3.545%,-1),ROUNDDOWN(AE27*3.545%,-1))),0)</f>
      </c>
      <c r="AK27" s="64">
        <f>ROUNDDOWN(AJ27*12.95%,-1)</f>
      </c>
      <c r="AL27" s="87">
        <f t="shared" ref="AL27" si="349">SUM(AF27:AK28)</f>
      </c>
      <c r="AM27" s="88"/>
      <c r="AN27" s="66">
        <f t="shared" ref="AN27" si="350">IFERROR(AE27-AL27-AM27,"")</f>
      </c>
      <c r="AO27" s="88"/>
      <c r="AP27" s="67">
        <f t="shared" ref="AP27" si="351">ROUNDDOWN(IF(AD27*L27&gt;=150000,(((AD27*L27)-150000)*2.7%),0),-1)</f>
      </c>
      <c r="AQ27" s="68">
        <f t="shared" ref="AQ27" si="352">ROUNDDOWN(IF(AD27*M27&gt;=150000,(((AD27*M27)-150000)*2.7%),0),-1)</f>
      </c>
      <c r="AR27" s="68">
        <f t="shared" ref="AR27" si="353">ROUNDDOWN(IF(AD27*N27&gt;=150000,(((AD27*N27)-150000)*2.7%),0),-1)</f>
      </c>
      <c r="AS27" s="68">
        <f t="shared" ref="AS27" si="354">ROUNDDOWN(IF(AD27*O27&gt;=150000,(((AD27*O27)-150000)*2.7%),0),-1)</f>
      </c>
      <c r="AT27" s="68">
        <f t="shared" ref="AT27" si="355">ROUNDDOWN(IF(AD27*P27&gt;=150000,(((AD27*P27)-150000)*2.7%),0),-1)</f>
      </c>
      <c r="AU27" s="68">
        <f t="shared" ref="AU27" si="356">ROUNDDOWN(IF(AD27*Q27&gt;=150000,(((AD27*Q27)-150000)*2.7%),0),-1)</f>
      </c>
      <c r="AV27" s="68">
        <f t="shared" ref="AV27" si="357">ROUNDDOWN(IF(AD27*R27&gt;=150000,(((AD27*R27)-150000)*2.7%),0),-1)</f>
      </c>
      <c r="AW27" s="68">
        <f t="shared" ref="AW27" si="358">ROUNDDOWN(IF(AD27*S27&gt;=150000,(((AD27*S27)-150000)*2.7%),0),-1)</f>
      </c>
      <c r="AX27" s="68">
        <f t="shared" ref="AX27" si="359">ROUNDDOWN(IF(AD27*T27&gt;=150000,(((AD27*T27)-150000)*2.7%),0),-1)</f>
      </c>
      <c r="AY27" s="68">
        <f t="shared" ref="AY27" si="360">ROUNDDOWN(IF(AD27*U27&gt;=150000,(((AD27*U27)-150000)*2.7%),0),-1)</f>
      </c>
      <c r="AZ27" s="68">
        <f t="shared" ref="AZ27" si="361">ROUNDDOWN(IF(AD27*V27&gt;=150000,(((AD27*V27)-150000)*2.7%),0),-1)</f>
      </c>
      <c r="BA27" s="68">
        <f t="shared" ref="BA27" si="362">ROUNDDOWN(IF(AD27*W27&gt;=150000,(((AD27*W27)-150000)*2.7%),0),-1)</f>
      </c>
      <c r="BB27" s="68">
        <f t="shared" ref="BB27" si="363">ROUNDDOWN(IF(AD27*X27&gt;=150000,(((AD27*X27)-150000)*2.7%),0),-1)</f>
      </c>
      <c r="BC27" s="68">
        <f t="shared" ref="BC27" si="364">ROUNDDOWN(IF(AD27*Y27&gt;=150000,(((AD27*Y27)-150000)*2.7%),0),-1)</f>
      </c>
      <c r="BD27" s="68">
        <f t="shared" ref="BD27" si="365">ROUNDDOWN(IF(AD27*Z27&gt;=150000,(((AD27*Z27)-150000)*2.7%),0),-1)</f>
      </c>
      <c r="BE27" s="68"/>
      <c r="BF27" s="69">
        <f>IF(AND(BH27&gt;=60,OR(MID(F27,8,1)="0",MID(F27,8,1)="0",MID(F27,8,1)="0",MID(F27,8,1)="0")),"외국인 고용 연금 제외",
  IF(OR(MID(F27,8,1)="0",MID(F27,8,1)="0",MID(F27,8,1)="0",MID(F27,8,1)="0"),"외국인 고용 제외",
  IF(BH27&gt;=65,"고용 연금 제외",
  IF(BH27&gt;=60,"연금 제외","정상"))))</f>
      </c>
      <c r="BG27" s="69">
        <f>IF(OR(MID(F27,8,1)="5",MID(F27,8,1)="6",MID(F27,8,1)="7",MID(F27,8,1)="8"),
  IF(RIGHT(F27,1)=RIGHT(13-MOD(SUM(MID(F27,1,1)*2,
MID(F27,2,1)*3,
MID(F27,3,1)*4,
MID(F27,4,1)*5,
MID(F27,5,1)*6,
MID(F27,6,1)*7,
MID(F27,8,1)*8,
MID(F27,9,1)*9,
MID(F27,10,1)*2,
MID(F27,11,1)*3,
MID(F27,12,1)*4,
MID(F27,13,1)*5),11),3),"정상","오류"),
 IF(RIGHT(F27,1)=RIGHT(11-MOD(SUM(MID(F27,1,1)*2,
  MID(F27,2,1)*3,
  MID(F27,3,1)*4,
  MID(F27,4,1)*5,
  MID(F27,5,1)*6,
  MID(F27,6,1)*7,
  MID(F27,8,1)*8,
  MID(F27,9,1)*9,
  MID(F27,10,1)*2,
  MID(F27,11,1)*3,
  MID(F27,12,1)*4,
  MID(F27,13,1)*5),11),1),"정상","오류"))</f>
      </c>
      <c r="BH27" s="1">
        <f>DATEDIF(DATE(IF(OR(MID(F27,8,1)="3",
        MID(F27,8,1)="4",
        MID(F27,8,1)="7",
        MID(F27,8,1)="8"),20,19)&amp;LEFT(F27,2),
        MID(F27,3,2),MID(F27,5,2)),TODAY(),"Y")</f>
      </c>
    </row>
    <row r="28" ht="17" customHeight="1" spans="1:60" x14ac:dyDescent="0.25">
      <c r="A28" s="70"/>
      <c r="B28" s="71"/>
      <c r="C28" s="72"/>
      <c r="D28" s="112"/>
      <c r="E28" s="103"/>
      <c r="F28" s="75"/>
      <c r="G28" s="76"/>
      <c r="H28" s="48"/>
      <c r="I28" s="76"/>
      <c r="J28" s="77"/>
      <c r="K28" s="9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80"/>
      <c r="AC28" s="48"/>
      <c r="AD28" s="81"/>
      <c r="AE28" s="82"/>
      <c r="AF28" s="83"/>
      <c r="AG28" s="84"/>
      <c r="AH28" s="84"/>
      <c r="AI28" s="85"/>
      <c r="AJ28" s="84"/>
      <c r="AK28" s="86"/>
      <c r="AL28" s="87"/>
      <c r="AM28" s="88"/>
      <c r="AN28" s="88"/>
      <c r="AO28" s="88"/>
      <c r="AP28" s="67">
        <f t="shared" ref="AP28" si="366">ROUNDDOWN(IF(AD27*L28&gt;=150000,(((AD27*L28)-150000)*2.7%),0),-1)</f>
      </c>
      <c r="AQ28" s="67">
        <f t="shared" ref="AQ28" si="367">ROUNDDOWN(IF(AD27*M28&gt;=150000,(((AD27*M28)-150000)*2.7%),0),-1)</f>
      </c>
      <c r="AR28" s="67">
        <f t="shared" ref="AR28" si="368">ROUNDDOWN(IF(AD27*N28&gt;=150000,(((AD27*N28)-150000)*2.7%),0),-1)</f>
      </c>
      <c r="AS28" s="67">
        <f t="shared" ref="AS28" si="369">ROUNDDOWN(IF(AD27*O28&gt;=150000,(((AD27*O28)-150000)*2.7%),0),-1)</f>
      </c>
      <c r="AT28" s="67">
        <f t="shared" ref="AT28" si="370">ROUNDDOWN(IF(AD27*P28&gt;=150000,(((AD27*P28)-150000)*2.7%),0),-1)</f>
      </c>
      <c r="AU28" s="67">
        <f t="shared" ref="AU28" si="371">ROUNDDOWN(IF(AD27*Q28&gt;=150000,(((AD27*Q28)-150000)*2.7%),0),-1)</f>
      </c>
      <c r="AV28" s="67">
        <f t="shared" ref="AV28" si="372">ROUNDDOWN(IF(AD27*R28&gt;=150000,(((AD27*R28)-150000)*2.7%),0),-1)</f>
      </c>
      <c r="AW28" s="67">
        <f t="shared" ref="AW28" si="373">ROUNDDOWN(IF(AD27*S28&gt;=150000,(((AD27*S28)-150000)*2.7%),0),-1)</f>
      </c>
      <c r="AX28" s="67">
        <f t="shared" ref="AX28" si="374">ROUNDDOWN(IF(AD27*T28&gt;=150000,(((AD27*T28)-150000)*2.7%),0),-1)</f>
      </c>
      <c r="AY28" s="67">
        <f t="shared" ref="AY28" si="375">ROUNDDOWN(IF(AD27*U28&gt;=150000,(((AD27*U28)-150000)*2.7%),0),-1)</f>
      </c>
      <c r="AZ28" s="67">
        <f t="shared" ref="AZ28" si="376">ROUNDDOWN(IF(AD27*V28&gt;=150000,(((AD27*V28)-150000)*2.7%),0),-1)</f>
      </c>
      <c r="BA28" s="67">
        <f t="shared" ref="BA28" si="377">ROUNDDOWN(IF(AD27*W28&gt;=150000,(((AD27*W28)-150000)*2.7%),0),-1)</f>
      </c>
      <c r="BB28" s="67">
        <f t="shared" ref="BB28" si="378">ROUNDDOWN(IF(AD27*X28&gt;=150000,(((AD27*X28)-150000)*2.7%),0),-1)</f>
      </c>
      <c r="BC28" s="67">
        <f t="shared" ref="BC28" si="379">ROUNDDOWN(IF(AD27*Y28&gt;=150000,(((AD27*Y28)-150000)*2.7%),0),-1)</f>
      </c>
      <c r="BD28" s="67">
        <f t="shared" ref="BD28" si="380">ROUNDDOWN(IF(AD27*Z28&gt;=150000,(((AD27*Z28)-150000)*2.7%),0),-1)</f>
      </c>
      <c r="BE28" s="67">
        <f t="shared" ref="BE28" si="381">ROUNDDOWN(IF(AD27*AA28&gt;=150000,(((AD27*AA28)-150000)*2.7%),0),-1)</f>
      </c>
      <c r="BF28" s="69"/>
      <c r="BG28" s="69"/>
      <c r="BH28" s="1"/>
    </row>
    <row r="29" ht="16.5" customHeight="1" spans="1:60" x14ac:dyDescent="0.25">
      <c r="A29" s="45">
        <v>11</v>
      </c>
      <c r="B29" s="46">
        <f t="shared" ref="B29" si="382">BG29</f>
      </c>
      <c r="C29" s="47">
        <f t="shared" ref="C29" si="383">BF29</f>
      </c>
      <c r="D29" s="109"/>
      <c r="E29" s="49"/>
      <c r="F29" s="50"/>
      <c r="G29" s="51"/>
      <c r="H29" s="92"/>
      <c r="I29" s="113"/>
      <c r="J29" s="53"/>
      <c r="K29" s="98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90"/>
      <c r="AB29" s="91">
        <f t="shared" ref="AB29" si="384">SUM(L29:AA30)</f>
      </c>
      <c r="AC29" s="92">
        <f t="shared" ref="AC29" si="385">COUNT(L29:AA30)</f>
      </c>
      <c r="AD29" s="59"/>
      <c r="AE29" s="60">
        <f t="shared" ref="AE29" si="386">AB29*AD29</f>
      </c>
      <c r="AF29" s="61">
        <f t="shared" ref="AF29" si="387">IF(SUM(AP29:BE30)&gt;=1000,ROUNDDOWN((SUM(AP29:BE30)),-1),0)</f>
      </c>
      <c r="AG29" s="62">
        <f t="shared" ref="AG29" si="388">ROUNDDOWN(AF29*10%,-1)</f>
      </c>
      <c r="AH29" s="62">
        <f t="shared" ref="AH29" si="389">IFERROR(IF(OR(C29="외국인 고용 연금 제외",C29="외국인 고용 제외",C29="고용 연금 제외"),0,ROUNDDOWN(AE29*0.9%,-1)),"")</f>
      </c>
      <c r="AI29" s="63">
        <f t="shared" ref="AI29" si="390">IFERROR(IF(OR(C29="외국인 고용 연금 제외",C29="고용 연금 제외",C29="연금 제외"),0,
   IF(OR(AC29&gt;=8,AE29&gt;=2200000),
    IF(AE29&gt;=5900000,ROUNDDOWN(5900000*4.5%,-1),
     IF(AE29&lt;=370000,ROUNDDOWN(370000*4.5%,-1),ROUNDDOWN(ROUNDDOWN(AE29,-3)*4.5%,-1))),0)),"")</f>
      </c>
      <c r="AJ29" s="62">
        <f t="shared" ref="AJ29" si="391">IF(AC29&gt;=8,IF(AE29&gt;=104536481,ROUNDDOWN(104536481*3.545%,-1),IF(AE29&lt;=279256,ROUNDDOWN(279256*3.545%,-1),ROUNDDOWN(AE29*3.545%,-1))),0)</f>
      </c>
      <c r="AK29" s="64">
        <f>ROUNDDOWN(AJ29*12.95%,-1)</f>
      </c>
      <c r="AL29" s="87">
        <f t="shared" ref="AL29" si="392">SUM(AF29:AK30)</f>
      </c>
      <c r="AM29" s="88"/>
      <c r="AN29" s="66">
        <f t="shared" ref="AN29" si="393">IFERROR(AE29-AL29-AM29,"")</f>
      </c>
      <c r="AO29" s="88"/>
      <c r="AP29" s="67">
        <f t="shared" ref="AP29" si="394">ROUNDDOWN(IF(AD29*L29&gt;=150000,(((AD29*L29)-150000)*2.7%),0),-1)</f>
      </c>
      <c r="AQ29" s="68">
        <f t="shared" ref="AQ29" si="395">ROUNDDOWN(IF(AD29*M29&gt;=150000,(((AD29*M29)-150000)*2.7%),0),-1)</f>
      </c>
      <c r="AR29" s="68">
        <f t="shared" ref="AR29" si="396">ROUNDDOWN(IF(AD29*N29&gt;=150000,(((AD29*N29)-150000)*2.7%),0),-1)</f>
      </c>
      <c r="AS29" s="68">
        <f t="shared" ref="AS29" si="397">ROUNDDOWN(IF(AD29*O29&gt;=150000,(((AD29*O29)-150000)*2.7%),0),-1)</f>
      </c>
      <c r="AT29" s="68">
        <f t="shared" ref="AT29" si="398">ROUNDDOWN(IF(AD29*P29&gt;=150000,(((AD29*P29)-150000)*2.7%),0),-1)</f>
      </c>
      <c r="AU29" s="68">
        <f t="shared" ref="AU29" si="399">ROUNDDOWN(IF(AD29*Q29&gt;=150000,(((AD29*Q29)-150000)*2.7%),0),-1)</f>
      </c>
      <c r="AV29" s="68">
        <f t="shared" ref="AV29" si="400">ROUNDDOWN(IF(AD29*R29&gt;=150000,(((AD29*R29)-150000)*2.7%),0),-1)</f>
      </c>
      <c r="AW29" s="68">
        <f t="shared" ref="AW29" si="401">ROUNDDOWN(IF(AD29*S29&gt;=150000,(((AD29*S29)-150000)*2.7%),0),-1)</f>
      </c>
      <c r="AX29" s="68">
        <f t="shared" ref="AX29" si="402">ROUNDDOWN(IF(AD29*T29&gt;=150000,(((AD29*T29)-150000)*2.7%),0),-1)</f>
      </c>
      <c r="AY29" s="68">
        <f t="shared" ref="AY29" si="403">ROUNDDOWN(IF(AD29*U29&gt;=150000,(((AD29*U29)-150000)*2.7%),0),-1)</f>
      </c>
      <c r="AZ29" s="68">
        <f t="shared" ref="AZ29" si="404">ROUNDDOWN(IF(AD29*V29&gt;=150000,(((AD29*V29)-150000)*2.7%),0),-1)</f>
      </c>
      <c r="BA29" s="68">
        <f t="shared" ref="BA29" si="405">ROUNDDOWN(IF(AD29*W29&gt;=150000,(((AD29*W29)-150000)*2.7%),0),-1)</f>
      </c>
      <c r="BB29" s="68">
        <f t="shared" ref="BB29" si="406">ROUNDDOWN(IF(AD29*X29&gt;=150000,(((AD29*X29)-150000)*2.7%),0),-1)</f>
      </c>
      <c r="BC29" s="68">
        <f t="shared" ref="BC29" si="407">ROUNDDOWN(IF(AD29*Y29&gt;=150000,(((AD29*Y29)-150000)*2.7%),0),-1)</f>
      </c>
      <c r="BD29" s="68">
        <f t="shared" ref="BD29" si="408">ROUNDDOWN(IF(AD29*Z29&gt;=150000,(((AD29*Z29)-150000)*2.7%),0),-1)</f>
      </c>
      <c r="BE29" s="68"/>
      <c r="BF29" s="69">
        <f>IF(AND(BH29&gt;=60,OR(MID(F29,8,1)="0",MID(F29,8,1)="0",MID(F29,8,1)="0",MID(F29,8,1)="0")),"외국인 고용 연금 제외",
  IF(OR(MID(F29,8,1)="0",MID(F29,8,1)="0",MID(F29,8,1)="0",MID(F29,8,1)="0"),"외국인 고용 제외",
  IF(BH29&gt;=65,"고용 연금 제외",
  IF(BH29&gt;=60,"연금 제외","정상"))))</f>
      </c>
      <c r="BG29" s="69">
        <f>IF(OR(MID(F29,8,1)="5",MID(F29,8,1)="6",MID(F29,8,1)="7",MID(F29,8,1)="8"),
  IF(RIGHT(F29,1)=RIGHT(13-MOD(SUM(MID(F29,1,1)*2,
MID(F29,2,1)*3,
MID(F29,3,1)*4,
MID(F29,4,1)*5,
MID(F29,5,1)*6,
MID(F29,6,1)*7,
MID(F29,8,1)*8,
MID(F29,9,1)*9,
MID(F29,10,1)*2,
MID(F29,11,1)*3,
MID(F29,12,1)*4,
MID(F29,13,1)*5),11),3),"정상","오류"),
 IF(RIGHT(F29,1)=RIGHT(11-MOD(SUM(MID(F29,1,1)*2,
  MID(F29,2,1)*3,
  MID(F29,3,1)*4,
  MID(F29,4,1)*5,
  MID(F29,5,1)*6,
  MID(F29,6,1)*7,
  MID(F29,8,1)*8,
  MID(F29,9,1)*9,
  MID(F29,10,1)*2,
  MID(F29,11,1)*3,
  MID(F29,12,1)*4,
  MID(F29,13,1)*5),11),1),"정상","오류"))</f>
      </c>
      <c r="BH29" s="1">
        <f>DATEDIF(DATE(IF(OR(MID(F29,8,1)="3",
        MID(F29,8,1)="4",
        MID(F29,8,1)="7",
        MID(F29,8,1)="8"),20,19)&amp;LEFT(F29,2),
        MID(F29,3,2),MID(F29,5,2)),TODAY(),"Y")</f>
      </c>
    </row>
    <row r="30" ht="17" customHeight="1" spans="1:60" x14ac:dyDescent="0.25">
      <c r="A30" s="70"/>
      <c r="B30" s="71"/>
      <c r="C30" s="72"/>
      <c r="D30" s="112"/>
      <c r="E30" s="74"/>
      <c r="F30" s="75"/>
      <c r="G30" s="76"/>
      <c r="H30" s="48"/>
      <c r="I30" s="114"/>
      <c r="J30" s="53"/>
      <c r="K30" s="9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80"/>
      <c r="AC30" s="48"/>
      <c r="AD30" s="81"/>
      <c r="AE30" s="82"/>
      <c r="AF30" s="83"/>
      <c r="AG30" s="84"/>
      <c r="AH30" s="84"/>
      <c r="AI30" s="85"/>
      <c r="AJ30" s="84"/>
      <c r="AK30" s="86"/>
      <c r="AL30" s="87"/>
      <c r="AM30" s="88"/>
      <c r="AN30" s="88"/>
      <c r="AO30" s="88"/>
      <c r="AP30" s="67">
        <f t="shared" ref="AP30" si="409">ROUNDDOWN(IF(AD29*L30&gt;=150000,(((AD29*L30)-150000)*2.7%),0),-1)</f>
      </c>
      <c r="AQ30" s="67">
        <f t="shared" ref="AQ30" si="410">ROUNDDOWN(IF(AD29*M30&gt;=150000,(((AD29*M30)-150000)*2.7%),0),-1)</f>
      </c>
      <c r="AR30" s="67">
        <f t="shared" ref="AR30" si="411">ROUNDDOWN(IF(AD29*N30&gt;=150000,(((AD29*N30)-150000)*2.7%),0),-1)</f>
      </c>
      <c r="AS30" s="67">
        <f t="shared" ref="AS30" si="412">ROUNDDOWN(IF(AD29*O30&gt;=150000,(((AD29*O30)-150000)*2.7%),0),-1)</f>
      </c>
      <c r="AT30" s="67">
        <f t="shared" ref="AT30" si="413">ROUNDDOWN(IF(AD29*P30&gt;=150000,(((AD29*P30)-150000)*2.7%),0),-1)</f>
      </c>
      <c r="AU30" s="67">
        <f t="shared" ref="AU30" si="414">ROUNDDOWN(IF(AD29*Q30&gt;=150000,(((AD29*Q30)-150000)*2.7%),0),-1)</f>
      </c>
      <c r="AV30" s="67">
        <f t="shared" ref="AV30" si="415">ROUNDDOWN(IF(AD29*R30&gt;=150000,(((AD29*R30)-150000)*2.7%),0),-1)</f>
      </c>
      <c r="AW30" s="67">
        <f t="shared" ref="AW30" si="416">ROUNDDOWN(IF(AD29*S30&gt;=150000,(((AD29*S30)-150000)*2.7%),0),-1)</f>
      </c>
      <c r="AX30" s="67">
        <f t="shared" ref="AX30" si="417">ROUNDDOWN(IF(AD29*T30&gt;=150000,(((AD29*T30)-150000)*2.7%),0),-1)</f>
      </c>
      <c r="AY30" s="67">
        <f t="shared" ref="AY30" si="418">ROUNDDOWN(IF(AD29*U30&gt;=150000,(((AD29*U30)-150000)*2.7%),0),-1)</f>
      </c>
      <c r="AZ30" s="67">
        <f t="shared" ref="AZ30" si="419">ROUNDDOWN(IF(AD29*V30&gt;=150000,(((AD29*V30)-150000)*2.7%),0),-1)</f>
      </c>
      <c r="BA30" s="67">
        <f t="shared" ref="BA30" si="420">ROUNDDOWN(IF(AD29*W30&gt;=150000,(((AD29*W30)-150000)*2.7%),0),-1)</f>
      </c>
      <c r="BB30" s="67">
        <f t="shared" ref="BB30" si="421">ROUNDDOWN(IF(AD29*X30&gt;=150000,(((AD29*X30)-150000)*2.7%),0),-1)</f>
      </c>
      <c r="BC30" s="67">
        <f t="shared" ref="BC30" si="422">ROUNDDOWN(IF(AD29*Y30&gt;=150000,(((AD29*Y30)-150000)*2.7%),0),-1)</f>
      </c>
      <c r="BD30" s="67">
        <f t="shared" ref="BD30" si="423">ROUNDDOWN(IF(AD29*Z30&gt;=150000,(((AD29*Z30)-150000)*2.7%),0),-1)</f>
      </c>
      <c r="BE30" s="67">
        <f t="shared" ref="BE30" si="424">ROUNDDOWN(IF(AD29*AA30&gt;=150000,(((AD29*AA30)-150000)*2.7%),0),-1)</f>
      </c>
      <c r="BF30" s="69"/>
      <c r="BG30" s="69"/>
      <c r="BH30" s="1"/>
    </row>
    <row r="31" ht="16.5" customHeight="1" spans="1:60" x14ac:dyDescent="0.25">
      <c r="A31" s="70">
        <v>12</v>
      </c>
      <c r="B31" s="46">
        <f t="shared" ref="B31" si="425">BG31</f>
      </c>
      <c r="C31" s="47">
        <f t="shared" ref="C31" si="426">BF31</f>
      </c>
      <c r="D31" s="109"/>
      <c r="E31" s="49"/>
      <c r="F31" s="95"/>
      <c r="G31" s="97"/>
      <c r="H31" s="92"/>
      <c r="I31" s="113"/>
      <c r="J31" s="53"/>
      <c r="K31" s="98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90"/>
      <c r="AB31" s="91">
        <f t="shared" ref="AB31" si="427">SUM(L31:AA32)</f>
      </c>
      <c r="AC31" s="92">
        <f t="shared" ref="AC31" si="428">COUNT(L31:AA32)</f>
      </c>
      <c r="AD31" s="59"/>
      <c r="AE31" s="60">
        <f t="shared" ref="AE31" si="429">AB31*AD31</f>
      </c>
      <c r="AF31" s="61">
        <f t="shared" ref="AF31" si="430">IF(SUM(AP31:BE32)&gt;=1000,ROUNDDOWN((SUM(AP31:BE32)),-1),0)</f>
      </c>
      <c r="AG31" s="62">
        <f t="shared" ref="AG31" si="431">ROUNDDOWN(AF31*10%,-1)</f>
      </c>
      <c r="AH31" s="62">
        <f t="shared" ref="AH31" si="432">IFERROR(IF(OR(C31="외국인 고용 연금 제외",C31="외국인 고용 제외",C31="고용 연금 제외"),0,ROUNDDOWN(AE31*0.9%,-1)),"")</f>
      </c>
      <c r="AI31" s="63">
        <f t="shared" ref="AI31" si="433">IFERROR(IF(OR(C31="외국인 고용 연금 제외",C31="고용 연금 제외",C31="연금 제외"),0,
   IF(OR(AC31&gt;=8,AE31&gt;=2200000),
    IF(AE31&gt;=5900000,ROUNDDOWN(5900000*4.5%,-1),
     IF(AE31&lt;=370000,ROUNDDOWN(370000*4.5%,-1),ROUNDDOWN(ROUNDDOWN(AE31,-3)*4.5%,-1))),0)),"")</f>
      </c>
      <c r="AJ31" s="62">
        <f t="shared" ref="AJ31" si="434">IF(AC31&gt;=8,IF(AE31&gt;=104536481,ROUNDDOWN(104536481*3.545%,-1),IF(AE31&lt;=279256,ROUNDDOWN(279256*3.545%,-1),ROUNDDOWN(AE31*3.545%,-1))),0)</f>
      </c>
      <c r="AK31" s="64">
        <f>ROUNDDOWN(AJ31*12.95%,-1)</f>
      </c>
      <c r="AL31" s="87">
        <f t="shared" ref="AL31" si="435">SUM(AF31:AK32)</f>
      </c>
      <c r="AM31" s="88"/>
      <c r="AN31" s="66">
        <f t="shared" ref="AN31" si="436">IFERROR(AE31-AL31-AM31,"")</f>
      </c>
      <c r="AO31" s="88"/>
      <c r="AP31" s="67">
        <f t="shared" ref="AP31" si="437">ROUNDDOWN(IF(AD31*L31&gt;=150000,(((AD31*L31)-150000)*2.7%),0),-1)</f>
      </c>
      <c r="AQ31" s="68">
        <f t="shared" ref="AQ31" si="438">ROUNDDOWN(IF(AD31*M31&gt;=150000,(((AD31*M31)-150000)*2.7%),0),-1)</f>
      </c>
      <c r="AR31" s="68">
        <f t="shared" ref="AR31" si="439">ROUNDDOWN(IF(AD31*N31&gt;=150000,(((AD31*N31)-150000)*2.7%),0),-1)</f>
      </c>
      <c r="AS31" s="68">
        <f t="shared" ref="AS31" si="440">ROUNDDOWN(IF(AD31*O31&gt;=150000,(((AD31*O31)-150000)*2.7%),0),-1)</f>
      </c>
      <c r="AT31" s="68">
        <f t="shared" ref="AT31" si="441">ROUNDDOWN(IF(AD31*P31&gt;=150000,(((AD31*P31)-150000)*2.7%),0),-1)</f>
      </c>
      <c r="AU31" s="68">
        <f t="shared" ref="AU31" si="442">ROUNDDOWN(IF(AD31*Q31&gt;=150000,(((AD31*Q31)-150000)*2.7%),0),-1)</f>
      </c>
      <c r="AV31" s="68">
        <f t="shared" ref="AV31" si="443">ROUNDDOWN(IF(AD31*R31&gt;=150000,(((AD31*R31)-150000)*2.7%),0),-1)</f>
      </c>
      <c r="AW31" s="68">
        <f t="shared" ref="AW31" si="444">ROUNDDOWN(IF(AD31*S31&gt;=150000,(((AD31*S31)-150000)*2.7%),0),-1)</f>
      </c>
      <c r="AX31" s="68">
        <f t="shared" ref="AX31" si="445">ROUNDDOWN(IF(AD31*T31&gt;=150000,(((AD31*T31)-150000)*2.7%),0),-1)</f>
      </c>
      <c r="AY31" s="68">
        <f t="shared" ref="AY31" si="446">ROUNDDOWN(IF(AD31*U31&gt;=150000,(((AD31*U31)-150000)*2.7%),0),-1)</f>
      </c>
      <c r="AZ31" s="68">
        <f t="shared" ref="AZ31" si="447">ROUNDDOWN(IF(AD31*V31&gt;=150000,(((AD31*V31)-150000)*2.7%),0),-1)</f>
      </c>
      <c r="BA31" s="68">
        <f t="shared" ref="BA31" si="448">ROUNDDOWN(IF(AD31*W31&gt;=150000,(((AD31*W31)-150000)*2.7%),0),-1)</f>
      </c>
      <c r="BB31" s="68">
        <f t="shared" ref="BB31" si="449">ROUNDDOWN(IF(AD31*X31&gt;=150000,(((AD31*X31)-150000)*2.7%),0),-1)</f>
      </c>
      <c r="BC31" s="68">
        <f t="shared" ref="BC31" si="450">ROUNDDOWN(IF(AD31*Y31&gt;=150000,(((AD31*Y31)-150000)*2.7%),0),-1)</f>
      </c>
      <c r="BD31" s="68">
        <f t="shared" ref="BD31" si="451">ROUNDDOWN(IF(AD31*Z31&gt;=150000,(((AD31*Z31)-150000)*2.7%),0),-1)</f>
      </c>
      <c r="BE31" s="68"/>
      <c r="BF31" s="69">
        <f>IF(AND(BH31&gt;=60,OR(MID(F31,8,1)="0",MID(F31,8,1)="0",MID(F31,8,1)="0",MID(F31,8,1)="0")),"외국인 고용 연금 제외",
  IF(OR(MID(F31,8,1)="0",MID(F31,8,1)="0",MID(F31,8,1)="0",MID(F31,8,1)="0"),"외국인 고용 제외",
  IF(BH31&gt;=65,"고용 연금 제외",
  IF(BH31&gt;=60,"연금 제외","정상"))))</f>
      </c>
      <c r="BG31" s="69">
        <f>IF(OR(MID(F31,8,1)="5",MID(F31,8,1)="6",MID(F31,8,1)="7",MID(F31,8,1)="8"),
  IF(RIGHT(F31,1)=RIGHT(13-MOD(SUM(MID(F31,1,1)*2,
MID(F31,2,1)*3,
MID(F31,3,1)*4,
MID(F31,4,1)*5,
MID(F31,5,1)*6,
MID(F31,6,1)*7,
MID(F31,8,1)*8,
MID(F31,9,1)*9,
MID(F31,10,1)*2,
MID(F31,11,1)*3,
MID(F31,12,1)*4,
MID(F31,13,1)*5),11),3),"정상","오류"),
 IF(RIGHT(F31,1)=RIGHT(11-MOD(SUM(MID(F31,1,1)*2,
  MID(F31,2,1)*3,
  MID(F31,3,1)*4,
  MID(F31,4,1)*5,
  MID(F31,5,1)*6,
  MID(F31,6,1)*7,
  MID(F31,8,1)*8,
  MID(F31,9,1)*9,
  MID(F31,10,1)*2,
  MID(F31,11,1)*3,
  MID(F31,12,1)*4,
  MID(F31,13,1)*5),11),1),"정상","오류"))</f>
      </c>
      <c r="BH31" s="1">
        <f>DATEDIF(DATE(IF(OR(MID(F31,8,1)="3",
        MID(F31,8,1)="4",
        MID(F31,8,1)="7",
        MID(F31,8,1)="8"),20,19)&amp;LEFT(F31,2),
        MID(F31,3,2),MID(F31,5,2)),TODAY(),"Y")</f>
      </c>
    </row>
    <row r="32" ht="17" customHeight="1" spans="1:60" x14ac:dyDescent="0.25">
      <c r="A32" s="70"/>
      <c r="B32" s="71"/>
      <c r="C32" s="72"/>
      <c r="D32" s="112"/>
      <c r="E32" s="74"/>
      <c r="F32" s="95"/>
      <c r="G32" s="97"/>
      <c r="H32" s="48"/>
      <c r="I32" s="114"/>
      <c r="J32" s="53"/>
      <c r="K32" s="9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80"/>
      <c r="AC32" s="48"/>
      <c r="AD32" s="81"/>
      <c r="AE32" s="82"/>
      <c r="AF32" s="83"/>
      <c r="AG32" s="84"/>
      <c r="AH32" s="84"/>
      <c r="AI32" s="85"/>
      <c r="AJ32" s="84"/>
      <c r="AK32" s="86"/>
      <c r="AL32" s="87"/>
      <c r="AM32" s="88"/>
      <c r="AN32" s="88"/>
      <c r="AO32" s="88"/>
      <c r="AP32" s="67">
        <f t="shared" ref="AP32" si="452">ROUNDDOWN(IF(AD31*L32&gt;=150000,(((AD31*L32)-150000)*2.7%),0),-1)</f>
      </c>
      <c r="AQ32" s="67">
        <f t="shared" ref="AQ32" si="453">ROUNDDOWN(IF(AD31*M32&gt;=150000,(((AD31*M32)-150000)*2.7%),0),-1)</f>
      </c>
      <c r="AR32" s="67">
        <f t="shared" ref="AR32" si="454">ROUNDDOWN(IF(AD31*N32&gt;=150000,(((AD31*N32)-150000)*2.7%),0),-1)</f>
      </c>
      <c r="AS32" s="67">
        <f t="shared" ref="AS32" si="455">ROUNDDOWN(IF(AD31*O32&gt;=150000,(((AD31*O32)-150000)*2.7%),0),-1)</f>
      </c>
      <c r="AT32" s="67">
        <f t="shared" ref="AT32" si="456">ROUNDDOWN(IF(AD31*P32&gt;=150000,(((AD31*P32)-150000)*2.7%),0),-1)</f>
      </c>
      <c r="AU32" s="67">
        <f t="shared" ref="AU32" si="457">ROUNDDOWN(IF(AD31*Q32&gt;=150000,(((AD31*Q32)-150000)*2.7%),0),-1)</f>
      </c>
      <c r="AV32" s="67">
        <f t="shared" ref="AV32" si="458">ROUNDDOWN(IF(AD31*R32&gt;=150000,(((AD31*R32)-150000)*2.7%),0),-1)</f>
      </c>
      <c r="AW32" s="67">
        <f t="shared" ref="AW32" si="459">ROUNDDOWN(IF(AD31*S32&gt;=150000,(((AD31*S32)-150000)*2.7%),0),-1)</f>
      </c>
      <c r="AX32" s="67">
        <f t="shared" ref="AX32" si="460">ROUNDDOWN(IF(AD31*T32&gt;=150000,(((AD31*T32)-150000)*2.7%),0),-1)</f>
      </c>
      <c r="AY32" s="67">
        <f t="shared" ref="AY32" si="461">ROUNDDOWN(IF(AD31*U32&gt;=150000,(((AD31*U32)-150000)*2.7%),0),-1)</f>
      </c>
      <c r="AZ32" s="67">
        <f t="shared" ref="AZ32" si="462">ROUNDDOWN(IF(AD31*V32&gt;=150000,(((AD31*V32)-150000)*2.7%),0),-1)</f>
      </c>
      <c r="BA32" s="67">
        <f t="shared" ref="BA32" si="463">ROUNDDOWN(IF(AD31*W32&gt;=150000,(((AD31*W32)-150000)*2.7%),0),-1)</f>
      </c>
      <c r="BB32" s="67">
        <f t="shared" ref="BB32" si="464">ROUNDDOWN(IF(AD31*X32&gt;=150000,(((AD31*X32)-150000)*2.7%),0),-1)</f>
      </c>
      <c r="BC32" s="67">
        <f t="shared" ref="BC32" si="465">ROUNDDOWN(IF(AD31*Y32&gt;=150000,(((AD31*Y32)-150000)*2.7%),0),-1)</f>
      </c>
      <c r="BD32" s="67">
        <f t="shared" ref="BD32" si="466">ROUNDDOWN(IF(AD31*Z32&gt;=150000,(((AD31*Z32)-150000)*2.7%),0),-1)</f>
      </c>
      <c r="BE32" s="67">
        <f t="shared" ref="BE32" si="467">ROUNDDOWN(IF(AD31*AA32&gt;=150000,(((AD31*AA32)-150000)*2.7%),0),-1)</f>
      </c>
      <c r="BF32" s="69"/>
      <c r="BG32" s="69"/>
      <c r="BH32" s="1"/>
    </row>
    <row r="33" ht="16.5" customHeight="1" spans="1:60" x14ac:dyDescent="0.25">
      <c r="A33" s="45">
        <v>13</v>
      </c>
      <c r="B33" s="46">
        <f t="shared" ref="B33" si="468">BG33</f>
      </c>
      <c r="C33" s="47">
        <f t="shared" ref="C33" si="469">BF33</f>
      </c>
      <c r="D33" s="109"/>
      <c r="E33" s="115"/>
      <c r="F33" s="95"/>
      <c r="G33" s="97"/>
      <c r="H33" s="116"/>
      <c r="I33" s="113"/>
      <c r="J33" s="53"/>
      <c r="K33" s="98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90"/>
      <c r="AB33" s="91">
        <f t="shared" ref="AB33" si="470">SUM(L33:AA34)</f>
      </c>
      <c r="AC33" s="92">
        <f t="shared" ref="AC33" si="471">COUNT(L33:AA34)</f>
      </c>
      <c r="AD33" s="59"/>
      <c r="AE33" s="60">
        <f t="shared" ref="AE33" si="472">AB33*AD33</f>
      </c>
      <c r="AF33" s="61">
        <f t="shared" ref="AF33" si="473">IF(SUM(AP33:BE34)&gt;=1000,ROUNDDOWN((SUM(AP33:BE34)),-1),0)</f>
      </c>
      <c r="AG33" s="62">
        <f t="shared" ref="AG33" si="474">ROUNDDOWN(AF33*10%,-1)</f>
      </c>
      <c r="AH33" s="62">
        <f t="shared" ref="AH33" si="475">IFERROR(IF(OR(C33="외국인 고용 연금 제외",C33="외국인 고용 제외",C33="고용 연금 제외"),0,ROUNDDOWN(AE33*0.9%,-1)),"")</f>
      </c>
      <c r="AI33" s="63">
        <f t="shared" ref="AI33" si="476">IFERROR(IF(OR(C33="외국인 고용 연금 제외",C33="고용 연금 제외",C33="연금 제외"),0,
   IF(OR(AC33&gt;=8,AE33&gt;=2200000),
    IF(AE33&gt;=5900000,ROUNDDOWN(5900000*4.5%,-1),
     IF(AE33&lt;=370000,ROUNDDOWN(370000*4.5%,-1),ROUNDDOWN(ROUNDDOWN(AE33,-3)*4.5%,-1))),0)),"")</f>
      </c>
      <c r="AJ33" s="62">
        <f t="shared" ref="AJ33" si="477">IF(AC33&gt;=8,IF(AE33&gt;=104536481,ROUNDDOWN(104536481*3.545%,-1),IF(AE33&lt;=279256,ROUNDDOWN(279256*3.545%,-1),ROUNDDOWN(AE33*3.545%,-1))),0)</f>
      </c>
      <c r="AK33" s="64">
        <f>ROUNDDOWN(AJ33*12.95%,-1)</f>
      </c>
      <c r="AL33" s="87">
        <f t="shared" ref="AL33" si="478">SUM(AF33:AK34)</f>
      </c>
      <c r="AM33" s="88"/>
      <c r="AN33" s="66">
        <f t="shared" ref="AN33" si="479">IFERROR(AE33-AL33-AM33,"")</f>
      </c>
      <c r="AO33" s="88"/>
      <c r="AP33" s="67">
        <f t="shared" ref="AP33" si="480">ROUNDDOWN(IF(AD33*L33&gt;=150000,(((AD33*L33)-150000)*2.7%),0),-1)</f>
      </c>
      <c r="AQ33" s="68">
        <f t="shared" ref="AQ33" si="481">ROUNDDOWN(IF(AD33*M33&gt;=150000,(((AD33*M33)-150000)*2.7%),0),-1)</f>
      </c>
      <c r="AR33" s="68">
        <f t="shared" ref="AR33" si="482">ROUNDDOWN(IF(AD33*N33&gt;=150000,(((AD33*N33)-150000)*2.7%),0),-1)</f>
      </c>
      <c r="AS33" s="68">
        <f t="shared" ref="AS33" si="483">ROUNDDOWN(IF(AD33*O33&gt;=150000,(((AD33*O33)-150000)*2.7%),0),-1)</f>
      </c>
      <c r="AT33" s="68">
        <f t="shared" ref="AT33" si="484">ROUNDDOWN(IF(AD33*P33&gt;=150000,(((AD33*P33)-150000)*2.7%),0),-1)</f>
      </c>
      <c r="AU33" s="68">
        <f t="shared" ref="AU33" si="485">ROUNDDOWN(IF(AD33*Q33&gt;=150000,(((AD33*Q33)-150000)*2.7%),0),-1)</f>
      </c>
      <c r="AV33" s="68">
        <f t="shared" ref="AV33" si="486">ROUNDDOWN(IF(AD33*R33&gt;=150000,(((AD33*R33)-150000)*2.7%),0),-1)</f>
      </c>
      <c r="AW33" s="68">
        <f t="shared" ref="AW33" si="487">ROUNDDOWN(IF(AD33*S33&gt;=150000,(((AD33*S33)-150000)*2.7%),0),-1)</f>
      </c>
      <c r="AX33" s="68">
        <f t="shared" ref="AX33" si="488">ROUNDDOWN(IF(AD33*T33&gt;=150000,(((AD33*T33)-150000)*2.7%),0),-1)</f>
      </c>
      <c r="AY33" s="68">
        <f t="shared" ref="AY33" si="489">ROUNDDOWN(IF(AD33*U33&gt;=150000,(((AD33*U33)-150000)*2.7%),0),-1)</f>
      </c>
      <c r="AZ33" s="68">
        <f t="shared" ref="AZ33" si="490">ROUNDDOWN(IF(AD33*V33&gt;=150000,(((AD33*V33)-150000)*2.7%),0),-1)</f>
      </c>
      <c r="BA33" s="68">
        <f t="shared" ref="BA33" si="491">ROUNDDOWN(IF(AD33*W33&gt;=150000,(((AD33*W33)-150000)*2.7%),0),-1)</f>
      </c>
      <c r="BB33" s="68">
        <f t="shared" ref="BB33" si="492">ROUNDDOWN(IF(AD33*X33&gt;=150000,(((AD33*X33)-150000)*2.7%),0),-1)</f>
      </c>
      <c r="BC33" s="68">
        <f t="shared" ref="BC33" si="493">ROUNDDOWN(IF(AD33*Y33&gt;=150000,(((AD33*Y33)-150000)*2.7%),0),-1)</f>
      </c>
      <c r="BD33" s="68">
        <f t="shared" ref="BD33" si="494">ROUNDDOWN(IF(AD33*Z33&gt;=150000,(((AD33*Z33)-150000)*2.7%),0),-1)</f>
      </c>
      <c r="BE33" s="68"/>
      <c r="BF33" s="69">
        <f>IF(AND(BH33&gt;=60,OR(MID(F33,8,1)="0",MID(F33,8,1)="0",MID(F33,8,1)="0",MID(F33,8,1)="0")),"외국인 고용 연금 제외",
  IF(OR(MID(F33,8,1)="0",MID(F33,8,1)="0",MID(F33,8,1)="0",MID(F33,8,1)="0"),"외국인 고용 제외",
  IF(BH33&gt;=65,"고용 연금 제외",
  IF(BH33&gt;=60,"연금 제외","정상"))))</f>
      </c>
      <c r="BG33" s="69">
        <f>IF(OR(MID(F33,8,1)="5",MID(F33,8,1)="6",MID(F33,8,1)="7",MID(F33,8,1)="8"),
  IF(RIGHT(F33,1)=RIGHT(13-MOD(SUM(MID(F33,1,1)*2,
MID(F33,2,1)*3,
MID(F33,3,1)*4,
MID(F33,4,1)*5,
MID(F33,5,1)*6,
MID(F33,6,1)*7,
MID(F33,8,1)*8,
MID(F33,9,1)*9,
MID(F33,10,1)*2,
MID(F33,11,1)*3,
MID(F33,12,1)*4,
MID(F33,13,1)*5),11),3),"정상","오류"),
 IF(RIGHT(F33,1)=RIGHT(11-MOD(SUM(MID(F33,1,1)*2,
  MID(F33,2,1)*3,
  MID(F33,3,1)*4,
  MID(F33,4,1)*5,
  MID(F33,5,1)*6,
  MID(F33,6,1)*7,
  MID(F33,8,1)*8,
  MID(F33,9,1)*9,
  MID(F33,10,1)*2,
  MID(F33,11,1)*3,
  MID(F33,12,1)*4,
  MID(F33,13,1)*5),11),1),"정상","오류"))</f>
      </c>
      <c r="BH33" s="1">
        <f>DATEDIF(DATE(IF(OR(MID(F33,8,1)="3",
        MID(F33,8,1)="4",
        MID(F33,8,1)="7",
        MID(F33,8,1)="8"),20,19)&amp;LEFT(F33,2),
        MID(F33,3,2),MID(F33,5,2)),TODAY(),"Y")</f>
      </c>
    </row>
    <row r="34" ht="17" customHeight="1" spans="1:60" x14ac:dyDescent="0.25">
      <c r="A34" s="70"/>
      <c r="B34" s="71"/>
      <c r="C34" s="72"/>
      <c r="D34" s="112"/>
      <c r="E34" s="115"/>
      <c r="F34" s="95"/>
      <c r="G34" s="97"/>
      <c r="H34" s="117"/>
      <c r="I34" s="114"/>
      <c r="J34" s="53"/>
      <c r="K34" s="9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80"/>
      <c r="AC34" s="48"/>
      <c r="AD34" s="81"/>
      <c r="AE34" s="82"/>
      <c r="AF34" s="83"/>
      <c r="AG34" s="84"/>
      <c r="AH34" s="84"/>
      <c r="AI34" s="85"/>
      <c r="AJ34" s="84"/>
      <c r="AK34" s="86"/>
      <c r="AL34" s="87"/>
      <c r="AM34" s="88"/>
      <c r="AN34" s="88"/>
      <c r="AO34" s="88"/>
      <c r="AP34" s="67">
        <f t="shared" ref="AP34" si="495">ROUNDDOWN(IF(AD33*L34&gt;=150000,(((AD33*L34)-150000)*2.7%),0),-1)</f>
      </c>
      <c r="AQ34" s="67">
        <f t="shared" ref="AQ34" si="496">ROUNDDOWN(IF(AD33*M34&gt;=150000,(((AD33*M34)-150000)*2.7%),0),-1)</f>
      </c>
      <c r="AR34" s="67">
        <f t="shared" ref="AR34" si="497">ROUNDDOWN(IF(AD33*N34&gt;=150000,(((AD33*N34)-150000)*2.7%),0),-1)</f>
      </c>
      <c r="AS34" s="67">
        <f t="shared" ref="AS34" si="498">ROUNDDOWN(IF(AD33*O34&gt;=150000,(((AD33*O34)-150000)*2.7%),0),-1)</f>
      </c>
      <c r="AT34" s="67">
        <f t="shared" ref="AT34" si="499">ROUNDDOWN(IF(AD33*P34&gt;=150000,(((AD33*P34)-150000)*2.7%),0),-1)</f>
      </c>
      <c r="AU34" s="67">
        <f t="shared" ref="AU34" si="500">ROUNDDOWN(IF(AD33*Q34&gt;=150000,(((AD33*Q34)-150000)*2.7%),0),-1)</f>
      </c>
      <c r="AV34" s="67">
        <f t="shared" ref="AV34" si="501">ROUNDDOWN(IF(AD33*R34&gt;=150000,(((AD33*R34)-150000)*2.7%),0),-1)</f>
      </c>
      <c r="AW34" s="67">
        <f t="shared" ref="AW34" si="502">ROUNDDOWN(IF(AD33*S34&gt;=150000,(((AD33*S34)-150000)*2.7%),0),-1)</f>
      </c>
      <c r="AX34" s="67">
        <f t="shared" ref="AX34" si="503">ROUNDDOWN(IF(AD33*T34&gt;=150000,(((AD33*T34)-150000)*2.7%),0),-1)</f>
      </c>
      <c r="AY34" s="67">
        <f t="shared" ref="AY34" si="504">ROUNDDOWN(IF(AD33*U34&gt;=150000,(((AD33*U34)-150000)*2.7%),0),-1)</f>
      </c>
      <c r="AZ34" s="67">
        <f t="shared" ref="AZ34" si="505">ROUNDDOWN(IF(AD33*V34&gt;=150000,(((AD33*V34)-150000)*2.7%),0),-1)</f>
      </c>
      <c r="BA34" s="67">
        <f t="shared" ref="BA34" si="506">ROUNDDOWN(IF(AD33*W34&gt;=150000,(((AD33*W34)-150000)*2.7%),0),-1)</f>
      </c>
      <c r="BB34" s="67">
        <f t="shared" ref="BB34" si="507">ROUNDDOWN(IF(AD33*X34&gt;=150000,(((AD33*X34)-150000)*2.7%),0),-1)</f>
      </c>
      <c r="BC34" s="67">
        <f t="shared" ref="BC34" si="508">ROUNDDOWN(IF(AD33*Y34&gt;=150000,(((AD33*Y34)-150000)*2.7%),0),-1)</f>
      </c>
      <c r="BD34" s="67">
        <f t="shared" ref="BD34" si="509">ROUNDDOWN(IF(AD33*Z34&gt;=150000,(((AD33*Z34)-150000)*2.7%),0),-1)</f>
      </c>
      <c r="BE34" s="67">
        <f t="shared" ref="BE34" si="510">ROUNDDOWN(IF(AD33*AA34&gt;=150000,(((AD33*AA34)-150000)*2.7%),0),-1)</f>
      </c>
      <c r="BF34" s="69"/>
      <c r="BG34" s="69"/>
      <c r="BH34" s="1"/>
    </row>
    <row r="35" ht="17" customHeight="1" spans="1:60" x14ac:dyDescent="0.25">
      <c r="A35" s="70">
        <v>14</v>
      </c>
      <c r="B35" s="46">
        <f t="shared" ref="B35" si="511">BG35</f>
      </c>
      <c r="C35" s="47">
        <f t="shared" ref="C35" si="512">BF35</f>
      </c>
      <c r="D35" s="48"/>
      <c r="E35" s="115"/>
      <c r="F35" s="118"/>
      <c r="G35" s="119"/>
      <c r="H35" s="120"/>
      <c r="I35" s="121"/>
      <c r="J35" s="53"/>
      <c r="K35" s="98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90"/>
      <c r="AB35" s="91">
        <f t="shared" ref="AB35:AB37" si="513">SUM(L35:AA36)</f>
      </c>
      <c r="AC35" s="92">
        <f t="shared" ref="AC35" si="514">COUNT(L35:AA36)</f>
      </c>
      <c r="AD35" s="59"/>
      <c r="AE35" s="60">
        <f t="shared" ref="AE35" si="515">AB35*AD35</f>
      </c>
      <c r="AF35" s="61">
        <f t="shared" ref="AF35" si="516">IF(SUM(AP35:BE36)&gt;=1000,ROUNDDOWN((SUM(AP35:BE36)),-1),0)</f>
      </c>
      <c r="AG35" s="62">
        <f t="shared" ref="AG35" si="517">ROUNDDOWN(AF35*10%,-1)</f>
      </c>
      <c r="AH35" s="62">
        <f t="shared" ref="AH35" si="518">IFERROR(IF(OR(C35="외국인 고용 연금 제외",C35="외국인 고용 제외",C35="고용 연금 제외"),0,ROUNDDOWN(AE35*0.9%,-1)),"")</f>
      </c>
      <c r="AI35" s="63">
        <f t="shared" ref="AI35" si="519">IFERROR(IF(OR(C35="외국인 고용 연금 제외",C35="고용 연금 제외",C35="연금 제외"),0,
   IF(OR(AC35&gt;=8,AE35&gt;=2200000),
    IF(AE35&gt;=5900000,ROUNDDOWN(5900000*4.5%,-1),
     IF(AE35&lt;=370000,ROUNDDOWN(370000*4.5%,-1),ROUNDDOWN(ROUNDDOWN(AE35,-3)*4.5%,-1))),0)),"")</f>
      </c>
      <c r="AJ35" s="62">
        <f t="shared" ref="AJ35" si="520">IF(AC35&gt;=8,IF(AE35&gt;=104536481,ROUNDDOWN(104536481*3.545%,-1),IF(AE35&lt;=279256,ROUNDDOWN(279256*3.545%,-1),ROUNDDOWN(AE35*3.545%,-1))),0)</f>
      </c>
      <c r="AK35" s="64">
        <f>ROUNDDOWN(AJ35*12.95%,-1)</f>
      </c>
      <c r="AL35" s="87">
        <f t="shared" ref="AL35" si="521">SUM(AF35:AK36)</f>
      </c>
      <c r="AM35" s="88"/>
      <c r="AN35" s="66">
        <f t="shared" ref="AN35" si="522">IFERROR(AE35-AL35-AM35,"")</f>
      </c>
      <c r="AO35" s="88"/>
      <c r="AP35" s="67">
        <f t="shared" ref="AP35" si="523">ROUNDDOWN(IF(AD35*L35&gt;=150000,(((AD35*L35)-150000)*2.7%),0),-1)</f>
      </c>
      <c r="AQ35" s="68">
        <f t="shared" ref="AQ35" si="524">ROUNDDOWN(IF(AD35*M35&gt;=150000,(((AD35*M35)-150000)*2.7%),0),-1)</f>
      </c>
      <c r="AR35" s="68">
        <f t="shared" ref="AR35" si="525">ROUNDDOWN(IF(AD35*N35&gt;=150000,(((AD35*N35)-150000)*2.7%),0),-1)</f>
      </c>
      <c r="AS35" s="68">
        <f t="shared" ref="AS35" si="526">ROUNDDOWN(IF(AD35*O35&gt;=150000,(((AD35*O35)-150000)*2.7%),0),-1)</f>
      </c>
      <c r="AT35" s="68">
        <f t="shared" ref="AT35" si="527">ROUNDDOWN(IF(AD35*P35&gt;=150000,(((AD35*P35)-150000)*2.7%),0),-1)</f>
      </c>
      <c r="AU35" s="68">
        <f t="shared" ref="AU35" si="528">ROUNDDOWN(IF(AD35*Q35&gt;=150000,(((AD35*Q35)-150000)*2.7%),0),-1)</f>
      </c>
      <c r="AV35" s="68">
        <f t="shared" ref="AV35" si="529">ROUNDDOWN(IF(AD35*R35&gt;=150000,(((AD35*R35)-150000)*2.7%),0),-1)</f>
      </c>
      <c r="AW35" s="68">
        <f t="shared" ref="AW35" si="530">ROUNDDOWN(IF(AD35*S35&gt;=150000,(((AD35*S35)-150000)*2.7%),0),-1)</f>
      </c>
      <c r="AX35" s="68">
        <f t="shared" ref="AX35" si="531">ROUNDDOWN(IF(AD35*T35&gt;=150000,(((AD35*T35)-150000)*2.7%),0),-1)</f>
      </c>
      <c r="AY35" s="68">
        <f t="shared" ref="AY35" si="532">ROUNDDOWN(IF(AD35*U35&gt;=150000,(((AD35*U35)-150000)*2.7%),0),-1)</f>
      </c>
      <c r="AZ35" s="68">
        <f t="shared" ref="AZ35" si="533">ROUNDDOWN(IF(AD35*V35&gt;=150000,(((AD35*V35)-150000)*2.7%),0),-1)</f>
      </c>
      <c r="BA35" s="68">
        <f t="shared" ref="BA35" si="534">ROUNDDOWN(IF(AD35*W35&gt;=150000,(((AD35*W35)-150000)*2.7%),0),-1)</f>
      </c>
      <c r="BB35" s="68">
        <f t="shared" ref="BB35" si="535">ROUNDDOWN(IF(AD35*X35&gt;=150000,(((AD35*X35)-150000)*2.7%),0),-1)</f>
      </c>
      <c r="BC35" s="68">
        <f t="shared" ref="BC35" si="536">ROUNDDOWN(IF(AD35*Y35&gt;=150000,(((AD35*Y35)-150000)*2.7%),0),-1)</f>
      </c>
      <c r="BD35" s="68">
        <f t="shared" ref="BD35" si="537">ROUNDDOWN(IF(AD35*Z35&gt;=150000,(((AD35*Z35)-150000)*2.7%),0),-1)</f>
      </c>
      <c r="BE35" s="68"/>
      <c r="BF35" s="69">
        <f>IF(AND(BH35&gt;=60,OR(MID(F35,8,1)="0",MID(F35,8,1)="0",MID(F35,8,1)="0",MID(F35,8,1)="0")),"외국인 고용 연금 제외",
  IF(OR(MID(F35,8,1)="0",MID(F35,8,1)="0",MID(F35,8,1)="0",MID(F35,8,1)="0"),"외국인 고용 제외",
  IF(BH35&gt;=65,"고용 연금 제외",
  IF(BH35&gt;=60,"연금 제외","정상"))))</f>
      </c>
      <c r="BG35" s="69">
        <f>IF(OR(MID(F35,8,1)="5",MID(F35,8,1)="6",MID(F35,8,1)="7",MID(F35,8,1)="8"),
  IF(RIGHT(F35,1)=RIGHT(13-MOD(SUM(MID(F35,1,1)*2,
MID(F35,2,1)*3,
MID(F35,3,1)*4,
MID(F35,4,1)*5,
MID(F35,5,1)*6,
MID(F35,6,1)*7,
MID(F35,8,1)*8,
MID(F35,9,1)*9,
MID(F35,10,1)*2,
MID(F35,11,1)*3,
MID(F35,12,1)*4,
MID(F35,13,1)*5),11),3),"정상","오류"),
 IF(RIGHT(F35,1)=RIGHT(11-MOD(SUM(MID(F35,1,1)*2,
  MID(F35,2,1)*3,
  MID(F35,3,1)*4,
  MID(F35,4,1)*5,
  MID(F35,5,1)*6,
  MID(F35,6,1)*7,
  MID(F35,8,1)*8,
  MID(F35,9,1)*9,
  MID(F35,10,1)*2,
  MID(F35,11,1)*3,
  MID(F35,12,1)*4,
  MID(F35,13,1)*5),11),1),"정상","오류"))</f>
      </c>
      <c r="BH35" s="1">
        <f>DATEDIF(DATE(IF(OR(MID(F35,8,1)="3",
        MID(F35,8,1)="4",
        MID(F35,8,1)="7",
        MID(F35,8,1)="8"),20,19)&amp;LEFT(F35,2),
        MID(F35,3,2),MID(F35,5,2)),TODAY(),"Y")</f>
      </c>
    </row>
    <row r="36" ht="17" customHeight="1" spans="1:60" x14ac:dyDescent="0.25">
      <c r="A36" s="70"/>
      <c r="B36" s="71"/>
      <c r="C36" s="72"/>
      <c r="D36" s="73"/>
      <c r="E36" s="115"/>
      <c r="F36" s="122"/>
      <c r="G36" s="119"/>
      <c r="H36" s="123"/>
      <c r="I36" s="124"/>
      <c r="J36" s="53"/>
      <c r="K36" s="9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80"/>
      <c r="AC36" s="48"/>
      <c r="AD36" s="81"/>
      <c r="AE36" s="82"/>
      <c r="AF36" s="83"/>
      <c r="AG36" s="84"/>
      <c r="AH36" s="84"/>
      <c r="AI36" s="85"/>
      <c r="AJ36" s="84"/>
      <c r="AK36" s="86"/>
      <c r="AL36" s="87"/>
      <c r="AM36" s="88"/>
      <c r="AN36" s="88"/>
      <c r="AO36" s="88"/>
      <c r="AP36" s="67">
        <f t="shared" ref="AP36" si="538">ROUNDDOWN(IF(AD35*L36&gt;=150000,(((AD35*L36)-150000)*2.7%),0),-1)</f>
      </c>
      <c r="AQ36" s="67">
        <f t="shared" ref="AQ36" si="539">ROUNDDOWN(IF(AD35*M36&gt;=150000,(((AD35*M36)-150000)*2.7%),0),-1)</f>
      </c>
      <c r="AR36" s="67">
        <f t="shared" ref="AR36" si="540">ROUNDDOWN(IF(AD35*N36&gt;=150000,(((AD35*N36)-150000)*2.7%),0),-1)</f>
      </c>
      <c r="AS36" s="67">
        <f t="shared" ref="AS36" si="541">ROUNDDOWN(IF(AD35*O36&gt;=150000,(((AD35*O36)-150000)*2.7%),0),-1)</f>
      </c>
      <c r="AT36" s="67">
        <f t="shared" ref="AT36" si="542">ROUNDDOWN(IF(AD35*P36&gt;=150000,(((AD35*P36)-150000)*2.7%),0),-1)</f>
      </c>
      <c r="AU36" s="67">
        <f t="shared" ref="AU36" si="543">ROUNDDOWN(IF(AD35*Q36&gt;=150000,(((AD35*Q36)-150000)*2.7%),0),-1)</f>
      </c>
      <c r="AV36" s="67">
        <f t="shared" ref="AV36" si="544">ROUNDDOWN(IF(AD35*R36&gt;=150000,(((AD35*R36)-150000)*2.7%),0),-1)</f>
      </c>
      <c r="AW36" s="67">
        <f t="shared" ref="AW36" si="545">ROUNDDOWN(IF(AD35*S36&gt;=150000,(((AD35*S36)-150000)*2.7%),0),-1)</f>
      </c>
      <c r="AX36" s="67">
        <f t="shared" ref="AX36" si="546">ROUNDDOWN(IF(AD35*T36&gt;=150000,(((AD35*T36)-150000)*2.7%),0),-1)</f>
      </c>
      <c r="AY36" s="67">
        <f t="shared" ref="AY36" si="547">ROUNDDOWN(IF(AD35*U36&gt;=150000,(((AD35*U36)-150000)*2.7%),0),-1)</f>
      </c>
      <c r="AZ36" s="67">
        <f t="shared" ref="AZ36" si="548">ROUNDDOWN(IF(AD35*V36&gt;=150000,(((AD35*V36)-150000)*2.7%),0),-1)</f>
      </c>
      <c r="BA36" s="67">
        <f t="shared" ref="BA36" si="549">ROUNDDOWN(IF(AD35*W36&gt;=150000,(((AD35*W36)-150000)*2.7%),0),-1)</f>
      </c>
      <c r="BB36" s="67">
        <f t="shared" ref="BB36" si="550">ROUNDDOWN(IF(AD35*X36&gt;=150000,(((AD35*X36)-150000)*2.7%),0),-1)</f>
      </c>
      <c r="BC36" s="67">
        <f t="shared" ref="BC36" si="551">ROUNDDOWN(IF(AD35*Y36&gt;=150000,(((AD35*Y36)-150000)*2.7%),0),-1)</f>
      </c>
      <c r="BD36" s="67">
        <f t="shared" ref="BD36" si="552">ROUNDDOWN(IF(AD35*Z36&gt;=150000,(((AD35*Z36)-150000)*2.7%),0),-1)</f>
      </c>
      <c r="BE36" s="67">
        <f t="shared" ref="BE36" si="553">ROUNDDOWN(IF(AD35*AA36&gt;=150000,(((AD35*AA36)-150000)*2.7%),0),-1)</f>
      </c>
      <c r="BF36" s="69"/>
      <c r="BG36" s="69"/>
      <c r="BH36" s="1"/>
    </row>
    <row r="37" ht="17" customHeight="1" spans="1:60" x14ac:dyDescent="0.25">
      <c r="A37" s="45">
        <v>15</v>
      </c>
      <c r="B37" s="46">
        <f t="shared" ref="B37" si="554">BG37</f>
      </c>
      <c r="C37" s="47">
        <f t="shared" ref="C37" si="555">BF37</f>
      </c>
      <c r="D37" s="48"/>
      <c r="E37" s="49"/>
      <c r="F37" s="125"/>
      <c r="G37" s="126"/>
      <c r="H37" s="92"/>
      <c r="I37" s="127"/>
      <c r="J37" s="53"/>
      <c r="K37" s="98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90"/>
      <c r="AB37" s="91">
        <f t="shared" si="513"/>
        <v>0</v>
      </c>
      <c r="AC37" s="92">
        <f t="shared" ref="AC37" si="556">COUNT(L37:AA38)</f>
      </c>
      <c r="AD37" s="59"/>
      <c r="AE37" s="60">
        <f t="shared" ref="AE37" si="557">AB37*AD37</f>
      </c>
      <c r="AF37" s="61">
        <f t="shared" ref="AF37" si="558">IF(SUM(AP37:BE38)&gt;=1000,ROUNDDOWN((SUM(AP37:BE38)),-1),0)</f>
      </c>
      <c r="AG37" s="62">
        <f t="shared" ref="AG37" si="559">ROUNDDOWN(AF37*10%,-1)</f>
      </c>
      <c r="AH37" s="62">
        <f t="shared" ref="AH37" si="560">IFERROR(IF(OR(C37="외국인 고용 연금 제외",C37="외국인 고용 제외",C37="고용 연금 제외"),0,ROUNDDOWN(AE37*0.9%,-1)),"")</f>
      </c>
      <c r="AI37" s="63">
        <f t="shared" ref="AI37" si="561">IFERROR(IF(OR(C37="외국인 고용 연금 제외",C37="고용 연금 제외",C37="연금 제외"),0,
   IF(OR(AC37&gt;=8,AE37&gt;=2200000),
    IF(AE37&gt;=5900000,ROUNDDOWN(5900000*4.5%,-1),
     IF(AE37&lt;=370000,ROUNDDOWN(370000*4.5%,-1),ROUNDDOWN(ROUNDDOWN(AE37,-3)*4.5%,-1))),0)),"")</f>
      </c>
      <c r="AJ37" s="62">
        <f t="shared" ref="AJ37" si="562">IF(AC37&gt;=8,IF(AE37&gt;=104536481,ROUNDDOWN(104536481*3.545%,-1),IF(AE37&lt;=279256,ROUNDDOWN(279256*3.545%,-1),ROUNDDOWN(AE37*3.545%,-1))),0)</f>
      </c>
      <c r="AK37" s="64">
        <f>ROUNDDOWN(AJ37*12.95%,-1)</f>
      </c>
      <c r="AL37" s="87">
        <f t="shared" ref="AL37" si="563">SUM(AF37:AK38)</f>
      </c>
      <c r="AM37" s="88"/>
      <c r="AN37" s="66">
        <f t="shared" ref="AN37" si="564">IFERROR(AE37-AL37-AM37,"")</f>
      </c>
      <c r="AO37" s="88"/>
      <c r="AP37" s="67">
        <f t="shared" ref="AP37" si="565">ROUNDDOWN(IF(AD37*L37&gt;=150000,(((AD37*L37)-150000)*2.7%),0),-1)</f>
      </c>
      <c r="AQ37" s="68">
        <f t="shared" ref="AQ37" si="566">ROUNDDOWN(IF(AD37*M37&gt;=150000,(((AD37*M37)-150000)*2.7%),0),-1)</f>
      </c>
      <c r="AR37" s="68">
        <f t="shared" ref="AR37" si="567">ROUNDDOWN(IF(AD37*N37&gt;=150000,(((AD37*N37)-150000)*2.7%),0),-1)</f>
      </c>
      <c r="AS37" s="68">
        <f t="shared" ref="AS37" si="568">ROUNDDOWN(IF(AD37*O37&gt;=150000,(((AD37*O37)-150000)*2.7%),0),-1)</f>
      </c>
      <c r="AT37" s="68">
        <f t="shared" ref="AT37" si="569">ROUNDDOWN(IF(AD37*P37&gt;=150000,(((AD37*P37)-150000)*2.7%),0),-1)</f>
      </c>
      <c r="AU37" s="68">
        <f t="shared" ref="AU37" si="570">ROUNDDOWN(IF(AD37*Q37&gt;=150000,(((AD37*Q37)-150000)*2.7%),0),-1)</f>
      </c>
      <c r="AV37" s="68">
        <f t="shared" ref="AV37" si="571">ROUNDDOWN(IF(AD37*R37&gt;=150000,(((AD37*R37)-150000)*2.7%),0),-1)</f>
      </c>
      <c r="AW37" s="68">
        <f t="shared" ref="AW37" si="572">ROUNDDOWN(IF(AD37*S37&gt;=150000,(((AD37*S37)-150000)*2.7%),0),-1)</f>
      </c>
      <c r="AX37" s="68">
        <f t="shared" ref="AX37" si="573">ROUNDDOWN(IF(AD37*T37&gt;=150000,(((AD37*T37)-150000)*2.7%),0),-1)</f>
      </c>
      <c r="AY37" s="68">
        <f t="shared" ref="AY37" si="574">ROUNDDOWN(IF(AD37*U37&gt;=150000,(((AD37*U37)-150000)*2.7%),0),-1)</f>
      </c>
      <c r="AZ37" s="68">
        <f t="shared" ref="AZ37" si="575">ROUNDDOWN(IF(AD37*V37&gt;=150000,(((AD37*V37)-150000)*2.7%),0),-1)</f>
      </c>
      <c r="BA37" s="68">
        <f t="shared" ref="BA37" si="576">ROUNDDOWN(IF(AD37*W37&gt;=150000,(((AD37*W37)-150000)*2.7%),0),-1)</f>
      </c>
      <c r="BB37" s="68">
        <f t="shared" ref="BB37" si="577">ROUNDDOWN(IF(AD37*X37&gt;=150000,(((AD37*X37)-150000)*2.7%),0),-1)</f>
      </c>
      <c r="BC37" s="68">
        <f t="shared" ref="BC37" si="578">ROUNDDOWN(IF(AD37*Y37&gt;=150000,(((AD37*Y37)-150000)*2.7%),0),-1)</f>
      </c>
      <c r="BD37" s="68">
        <f t="shared" ref="BD37" si="579">ROUNDDOWN(IF(AD37*Z37&gt;=150000,(((AD37*Z37)-150000)*2.7%),0),-1)</f>
      </c>
      <c r="BE37" s="68"/>
      <c r="BF37" s="69">
        <f>IF(AND(BH37&gt;=60,OR(MID(F37,8,1)="0",MID(F37,8,1)="0",MID(F37,8,1)="0",MID(F37,8,1)="0")),"외국인 고용 연금 제외",
  IF(OR(MID(F37,8,1)="0",MID(F37,8,1)="0",MID(F37,8,1)="0",MID(F37,8,1)="0"),"외국인 고용 제외",
  IF(BH37&gt;=65,"고용 연금 제외",
  IF(BH37&gt;=60,"연금 제외","정상"))))</f>
      </c>
      <c r="BG37" s="69">
        <f>IF(OR(MID(F37,8,1)="5",MID(F37,8,1)="6",MID(F37,8,1)="7",MID(F37,8,1)="8"),
  IF(RIGHT(F37,1)=RIGHT(13-MOD(SUM(MID(F37,1,1)*2,
MID(F37,2,1)*3,
MID(F37,3,1)*4,
MID(F37,4,1)*5,
MID(F37,5,1)*6,
MID(F37,6,1)*7,
MID(F37,8,1)*8,
MID(F37,9,1)*9,
MID(F37,10,1)*2,
MID(F37,11,1)*3,
MID(F37,12,1)*4,
MID(F37,13,1)*5),11),3),"정상","오류"),
 IF(RIGHT(F37,1)=RIGHT(11-MOD(SUM(MID(F37,1,1)*2,
  MID(F37,2,1)*3,
  MID(F37,3,1)*4,
  MID(F37,4,1)*5,
  MID(F37,5,1)*6,
  MID(F37,6,1)*7,
  MID(F37,8,1)*8,
  MID(F37,9,1)*9,
  MID(F37,10,1)*2,
  MID(F37,11,1)*3,
  MID(F37,12,1)*4,
  MID(F37,13,1)*5),11),1),"정상","오류"))</f>
      </c>
      <c r="BH37" s="1">
        <f>DATEDIF(DATE(IF(OR(MID(F37,8,1)="3",
        MID(F37,8,1)="4",
        MID(F37,8,1)="7",
        MID(F37,8,1)="8"),20,19)&amp;LEFT(F37,2),
        MID(F37,3,2),MID(F37,5,2)),TODAY(),"Y")</f>
      </c>
    </row>
    <row r="38" ht="17" customHeight="1" spans="1:60" x14ac:dyDescent="0.25">
      <c r="A38" s="70"/>
      <c r="B38" s="71"/>
      <c r="C38" s="72"/>
      <c r="D38" s="73"/>
      <c r="E38" s="74"/>
      <c r="F38" s="128"/>
      <c r="G38" s="129"/>
      <c r="H38" s="48"/>
      <c r="I38" s="130"/>
      <c r="J38" s="53"/>
      <c r="K38" s="9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80"/>
      <c r="AC38" s="48"/>
      <c r="AD38" s="81"/>
      <c r="AE38" s="82"/>
      <c r="AF38" s="83"/>
      <c r="AG38" s="84"/>
      <c r="AH38" s="84"/>
      <c r="AI38" s="85"/>
      <c r="AJ38" s="84"/>
      <c r="AK38" s="86"/>
      <c r="AL38" s="87"/>
      <c r="AM38" s="88"/>
      <c r="AN38" s="88"/>
      <c r="AO38" s="88"/>
      <c r="AP38" s="67">
        <f t="shared" ref="AP38" si="580">ROUNDDOWN(IF(AD37*L38&gt;=150000,(((AD37*L38)-150000)*2.7%),0),-1)</f>
      </c>
      <c r="AQ38" s="67">
        <f t="shared" ref="AQ38" si="581">ROUNDDOWN(IF(AD37*M38&gt;=150000,(((AD37*M38)-150000)*2.7%),0),-1)</f>
      </c>
      <c r="AR38" s="67">
        <f t="shared" ref="AR38" si="582">ROUNDDOWN(IF(AD37*N38&gt;=150000,(((AD37*N38)-150000)*2.7%),0),-1)</f>
      </c>
      <c r="AS38" s="67">
        <f t="shared" ref="AS38" si="583">ROUNDDOWN(IF(AD37*O38&gt;=150000,(((AD37*O38)-150000)*2.7%),0),-1)</f>
      </c>
      <c r="AT38" s="67">
        <f t="shared" ref="AT38" si="584">ROUNDDOWN(IF(AD37*P38&gt;=150000,(((AD37*P38)-150000)*2.7%),0),-1)</f>
      </c>
      <c r="AU38" s="67">
        <f t="shared" ref="AU38" si="585">ROUNDDOWN(IF(AD37*Q38&gt;=150000,(((AD37*Q38)-150000)*2.7%),0),-1)</f>
      </c>
      <c r="AV38" s="67">
        <f t="shared" ref="AV38" si="586">ROUNDDOWN(IF(AD37*R38&gt;=150000,(((AD37*R38)-150000)*2.7%),0),-1)</f>
      </c>
      <c r="AW38" s="67">
        <f t="shared" ref="AW38" si="587">ROUNDDOWN(IF(AD37*S38&gt;=150000,(((AD37*S38)-150000)*2.7%),0),-1)</f>
      </c>
      <c r="AX38" s="67">
        <f t="shared" ref="AX38" si="588">ROUNDDOWN(IF(AD37*T38&gt;=150000,(((AD37*T38)-150000)*2.7%),0),-1)</f>
      </c>
      <c r="AY38" s="67">
        <f t="shared" ref="AY38" si="589">ROUNDDOWN(IF(AD37*U38&gt;=150000,(((AD37*U38)-150000)*2.7%),0),-1)</f>
      </c>
      <c r="AZ38" s="67">
        <f t="shared" ref="AZ38" si="590">ROUNDDOWN(IF(AD37*V38&gt;=150000,(((AD37*V38)-150000)*2.7%),0),-1)</f>
      </c>
      <c r="BA38" s="67">
        <f t="shared" ref="BA38" si="591">ROUNDDOWN(IF(AD37*W38&gt;=150000,(((AD37*W38)-150000)*2.7%),0),-1)</f>
      </c>
      <c r="BB38" s="67">
        <f t="shared" ref="BB38" si="592">ROUNDDOWN(IF(AD37*X38&gt;=150000,(((AD37*X38)-150000)*2.7%),0),-1)</f>
      </c>
      <c r="BC38" s="67">
        <f t="shared" ref="BC38" si="593">ROUNDDOWN(IF(AD37*Y38&gt;=150000,(((AD37*Y38)-150000)*2.7%),0),-1)</f>
      </c>
      <c r="BD38" s="67">
        <f t="shared" ref="BD38" si="594">ROUNDDOWN(IF(AD37*Z38&gt;=150000,(((AD37*Z38)-150000)*2.7%),0),-1)</f>
      </c>
      <c r="BE38" s="67">
        <f t="shared" ref="BE38" si="595">ROUNDDOWN(IF(AD37*AA38&gt;=150000,(((AD37*AA38)-150000)*2.7%),0),-1)</f>
      </c>
      <c r="BF38" s="69"/>
      <c r="BG38" s="69"/>
      <c r="BH38" s="1"/>
    </row>
    <row r="39" ht="17" customHeight="1" spans="1:60" x14ac:dyDescent="0.25">
      <c r="A39" s="70">
        <v>16</v>
      </c>
      <c r="B39" s="46">
        <f t="shared" ref="B39" si="596">BG39</f>
      </c>
      <c r="C39" s="47">
        <f t="shared" ref="C39" si="597">BF39</f>
      </c>
      <c r="D39" s="48"/>
      <c r="E39" s="49"/>
      <c r="F39" s="125"/>
      <c r="G39" s="126"/>
      <c r="H39" s="92"/>
      <c r="I39" s="127"/>
      <c r="J39" s="53"/>
      <c r="K39" s="98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90"/>
      <c r="AB39" s="91">
        <f t="shared" ref="AB39" si="598">SUM(L39:AA40)</f>
      </c>
      <c r="AC39" s="92">
        <f t="shared" ref="AC39" si="599">COUNT(L39:AA40)</f>
      </c>
      <c r="AD39" s="59"/>
      <c r="AE39" s="60">
        <f t="shared" ref="AE39" si="600">AB39*AD39</f>
      </c>
      <c r="AF39" s="61">
        <f t="shared" ref="AF39" si="601">IF(SUM(AP39:BE40)&gt;=1000,ROUNDDOWN((SUM(AP39:BE40)),-1),0)</f>
      </c>
      <c r="AG39" s="62">
        <f t="shared" ref="AG39" si="602">ROUNDDOWN(AF39*10%,-1)</f>
      </c>
      <c r="AH39" s="62">
        <f t="shared" ref="AH39" si="603">IFERROR(IF(OR(C39="외국인 고용 연금 제외",C39="외국인 고용 제외",C39="고용 연금 제외"),0,ROUNDDOWN(AE39*0.9%,-1)),"")</f>
      </c>
      <c r="AI39" s="63">
        <f t="shared" ref="AI39" si="604">IFERROR(IF(OR(C39="외국인 고용 연금 제외",C39="고용 연금 제외",C39="연금 제외"),0,
   IF(OR(AC39&gt;=8,AE39&gt;=2200000),
    IF(AE39&gt;=5900000,ROUNDDOWN(5900000*4.5%,-1),
     IF(AE39&lt;=370000,ROUNDDOWN(370000*4.5%,-1),ROUNDDOWN(ROUNDDOWN(AE39,-3)*4.5%,-1))),0)),"")</f>
      </c>
      <c r="AJ39" s="62">
        <f t="shared" ref="AJ39" si="605">IF(AC39&gt;=8,IF(AE39&gt;=104536481,ROUNDDOWN(104536481*3.545%,-1),IF(AE39&lt;=279256,ROUNDDOWN(279256*3.545%,-1),ROUNDDOWN(AE39*3.545%,-1))),0)</f>
      </c>
      <c r="AK39" s="64">
        <f>ROUNDDOWN(AJ39*12.95%,-1)</f>
      </c>
      <c r="AL39" s="87">
        <f t="shared" ref="AL39" si="606">SUM(AF39:AK40)</f>
      </c>
      <c r="AM39" s="88"/>
      <c r="AN39" s="66">
        <f t="shared" ref="AN39" si="607">IFERROR(AE39-AL39-AM39,"")</f>
      </c>
      <c r="AO39" s="88"/>
      <c r="AP39" s="67">
        <f t="shared" ref="AP39" si="608">ROUNDDOWN(IF(AD39*L39&gt;=150000,(((AD39*L39)-150000)*2.7%),0),-1)</f>
      </c>
      <c r="AQ39" s="68">
        <f t="shared" ref="AQ39" si="609">ROUNDDOWN(IF(AD39*M39&gt;=150000,(((AD39*M39)-150000)*2.7%),0),-1)</f>
      </c>
      <c r="AR39" s="68">
        <f t="shared" ref="AR39" si="610">ROUNDDOWN(IF(AD39*N39&gt;=150000,(((AD39*N39)-150000)*2.7%),0),-1)</f>
      </c>
      <c r="AS39" s="68">
        <f t="shared" ref="AS39" si="611">ROUNDDOWN(IF(AD39*O39&gt;=150000,(((AD39*O39)-150000)*2.7%),0),-1)</f>
      </c>
      <c r="AT39" s="68">
        <f t="shared" ref="AT39" si="612">ROUNDDOWN(IF(AD39*P39&gt;=150000,(((AD39*P39)-150000)*2.7%),0),-1)</f>
      </c>
      <c r="AU39" s="68">
        <f t="shared" ref="AU39" si="613">ROUNDDOWN(IF(AD39*Q39&gt;=150000,(((AD39*Q39)-150000)*2.7%),0),-1)</f>
      </c>
      <c r="AV39" s="68">
        <f t="shared" ref="AV39" si="614">ROUNDDOWN(IF(AD39*R39&gt;=150000,(((AD39*R39)-150000)*2.7%),0),-1)</f>
      </c>
      <c r="AW39" s="68">
        <f t="shared" ref="AW39" si="615">ROUNDDOWN(IF(AD39*S39&gt;=150000,(((AD39*S39)-150000)*2.7%),0),-1)</f>
      </c>
      <c r="AX39" s="68">
        <f t="shared" ref="AX39" si="616">ROUNDDOWN(IF(AD39*T39&gt;=150000,(((AD39*T39)-150000)*2.7%),0),-1)</f>
      </c>
      <c r="AY39" s="68">
        <f t="shared" ref="AY39" si="617">ROUNDDOWN(IF(AD39*U39&gt;=150000,(((AD39*U39)-150000)*2.7%),0),-1)</f>
      </c>
      <c r="AZ39" s="68">
        <f t="shared" ref="AZ39" si="618">ROUNDDOWN(IF(AD39*V39&gt;=150000,(((AD39*V39)-150000)*2.7%),0),-1)</f>
      </c>
      <c r="BA39" s="68">
        <f t="shared" ref="BA39" si="619">ROUNDDOWN(IF(AD39*W39&gt;=150000,(((AD39*W39)-150000)*2.7%),0),-1)</f>
      </c>
      <c r="BB39" s="68">
        <f t="shared" ref="BB39" si="620">ROUNDDOWN(IF(AD39*X39&gt;=150000,(((AD39*X39)-150000)*2.7%),0),-1)</f>
      </c>
      <c r="BC39" s="68">
        <f t="shared" ref="BC39" si="621">ROUNDDOWN(IF(AD39*Y39&gt;=150000,(((AD39*Y39)-150000)*2.7%),0),-1)</f>
      </c>
      <c r="BD39" s="68">
        <f t="shared" ref="BD39" si="622">ROUNDDOWN(IF(AD39*Z39&gt;=150000,(((AD39*Z39)-150000)*2.7%),0),-1)</f>
      </c>
      <c r="BE39" s="68"/>
      <c r="BF39" s="69">
        <f>IF(AND(BH39&gt;=60,OR(MID(F39,8,1)="0",MID(F39,8,1)="0",MID(F39,8,1)="0",MID(F39,8,1)="0")),"외국인 고용 연금 제외",
  IF(OR(MID(F39,8,1)="0",MID(F39,8,1)="0",MID(F39,8,1)="0",MID(F39,8,1)="0"),"외국인 고용 제외",
  IF(BH39&gt;=65,"고용 연금 제외",
  IF(BH39&gt;=60,"연금 제외","정상"))))</f>
      </c>
      <c r="BG39" s="69">
        <f>IF(OR(MID(F39,8,1)="5",MID(F39,8,1)="6",MID(F39,8,1)="7",MID(F39,8,1)="8"),
  IF(RIGHT(F39,1)=RIGHT(13-MOD(SUM(MID(F39,1,1)*2,
MID(F39,2,1)*3,
MID(F39,3,1)*4,
MID(F39,4,1)*5,
MID(F39,5,1)*6,
MID(F39,6,1)*7,
MID(F39,8,1)*8,
MID(F39,9,1)*9,
MID(F39,10,1)*2,
MID(F39,11,1)*3,
MID(F39,12,1)*4,
MID(F39,13,1)*5),11),3),"정상","오류"),
 IF(RIGHT(F39,1)=RIGHT(11-MOD(SUM(MID(F39,1,1)*2,
  MID(F39,2,1)*3,
  MID(F39,3,1)*4,
  MID(F39,4,1)*5,
  MID(F39,5,1)*6,
  MID(F39,6,1)*7,
  MID(F39,8,1)*8,
  MID(F39,9,1)*9,
  MID(F39,10,1)*2,
  MID(F39,11,1)*3,
  MID(F39,12,1)*4,
  MID(F39,13,1)*5),11),1),"정상","오류"))</f>
      </c>
      <c r="BH39" s="1">
        <f>DATEDIF(DATE(IF(OR(MID(F39,8,1)="3",
        MID(F39,8,1)="4",
        MID(F39,8,1)="7",
        MID(F39,8,1)="8"),20,19)&amp;LEFT(F39,2),
        MID(F39,3,2),MID(F39,5,2)),TODAY(),"Y")</f>
      </c>
    </row>
    <row r="40" ht="17" customHeight="1" spans="1:60" x14ac:dyDescent="0.25">
      <c r="A40" s="70"/>
      <c r="B40" s="71"/>
      <c r="C40" s="72"/>
      <c r="D40" s="73"/>
      <c r="E40" s="74"/>
      <c r="F40" s="128"/>
      <c r="G40" s="129"/>
      <c r="H40" s="48"/>
      <c r="I40" s="130"/>
      <c r="J40" s="53"/>
      <c r="K40" s="9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80"/>
      <c r="AC40" s="48"/>
      <c r="AD40" s="81"/>
      <c r="AE40" s="82"/>
      <c r="AF40" s="83"/>
      <c r="AG40" s="84"/>
      <c r="AH40" s="84"/>
      <c r="AI40" s="85"/>
      <c r="AJ40" s="84"/>
      <c r="AK40" s="86"/>
      <c r="AL40" s="87"/>
      <c r="AM40" s="88"/>
      <c r="AN40" s="88"/>
      <c r="AO40" s="88"/>
      <c r="AP40" s="67">
        <f t="shared" ref="AP40" si="623">ROUNDDOWN(IF(AD39*L40&gt;=150000,(((AD39*L40)-150000)*2.7%),0),-1)</f>
      </c>
      <c r="AQ40" s="67">
        <f t="shared" ref="AQ40" si="624">ROUNDDOWN(IF(AD39*M40&gt;=150000,(((AD39*M40)-150000)*2.7%),0),-1)</f>
      </c>
      <c r="AR40" s="67">
        <f t="shared" ref="AR40" si="625">ROUNDDOWN(IF(AD39*N40&gt;=150000,(((AD39*N40)-150000)*2.7%),0),-1)</f>
      </c>
      <c r="AS40" s="67">
        <f t="shared" ref="AS40" si="626">ROUNDDOWN(IF(AD39*O40&gt;=150000,(((AD39*O40)-150000)*2.7%),0),-1)</f>
      </c>
      <c r="AT40" s="67">
        <f t="shared" ref="AT40" si="627">ROUNDDOWN(IF(AD39*P40&gt;=150000,(((AD39*P40)-150000)*2.7%),0),-1)</f>
      </c>
      <c r="AU40" s="67">
        <f t="shared" ref="AU40" si="628">ROUNDDOWN(IF(AD39*Q40&gt;=150000,(((AD39*Q40)-150000)*2.7%),0),-1)</f>
      </c>
      <c r="AV40" s="67">
        <f t="shared" ref="AV40" si="629">ROUNDDOWN(IF(AD39*R40&gt;=150000,(((AD39*R40)-150000)*2.7%),0),-1)</f>
      </c>
      <c r="AW40" s="67">
        <f t="shared" ref="AW40" si="630">ROUNDDOWN(IF(AD39*S40&gt;=150000,(((AD39*S40)-150000)*2.7%),0),-1)</f>
      </c>
      <c r="AX40" s="67">
        <f t="shared" ref="AX40" si="631">ROUNDDOWN(IF(AD39*T40&gt;=150000,(((AD39*T40)-150000)*2.7%),0),-1)</f>
      </c>
      <c r="AY40" s="67">
        <f t="shared" ref="AY40" si="632">ROUNDDOWN(IF(AD39*U40&gt;=150000,(((AD39*U40)-150000)*2.7%),0),-1)</f>
      </c>
      <c r="AZ40" s="67">
        <f t="shared" ref="AZ40" si="633">ROUNDDOWN(IF(AD39*V40&gt;=150000,(((AD39*V40)-150000)*2.7%),0),-1)</f>
      </c>
      <c r="BA40" s="67">
        <f t="shared" ref="BA40" si="634">ROUNDDOWN(IF(AD39*W40&gt;=150000,(((AD39*W40)-150000)*2.7%),0),-1)</f>
      </c>
      <c r="BB40" s="67">
        <f t="shared" ref="BB40" si="635">ROUNDDOWN(IF(AD39*X40&gt;=150000,(((AD39*X40)-150000)*2.7%),0),-1)</f>
      </c>
      <c r="BC40" s="67">
        <f t="shared" ref="BC40" si="636">ROUNDDOWN(IF(AD39*Y40&gt;=150000,(((AD39*Y40)-150000)*2.7%),0),-1)</f>
      </c>
      <c r="BD40" s="67">
        <f t="shared" ref="BD40" si="637">ROUNDDOWN(IF(AD39*Z40&gt;=150000,(((AD39*Z40)-150000)*2.7%),0),-1)</f>
      </c>
      <c r="BE40" s="67">
        <f t="shared" ref="BE40" si="638">ROUNDDOWN(IF(AD39*AA40&gt;=150000,(((AD39*AA40)-150000)*2.7%),0),-1)</f>
      </c>
      <c r="BF40" s="69"/>
      <c r="BG40" s="69"/>
      <c r="BH40" s="1"/>
    </row>
    <row r="41" ht="16.5" customHeight="1" spans="1:60" x14ac:dyDescent="0.25">
      <c r="A41" s="45">
        <v>17</v>
      </c>
      <c r="B41" s="46">
        <f t="shared" ref="B41" si="639">BG41</f>
      </c>
      <c r="C41" s="47">
        <f t="shared" ref="C41" si="640">BF41</f>
      </c>
      <c r="D41" s="48"/>
      <c r="E41" s="49"/>
      <c r="F41" s="118"/>
      <c r="G41" s="119"/>
      <c r="H41" s="49"/>
      <c r="I41" s="113"/>
      <c r="J41" s="53"/>
      <c r="K41" s="98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90"/>
      <c r="AB41" s="91">
        <f t="shared" ref="AB41" si="641">SUM(L41:AA42)</f>
      </c>
      <c r="AC41" s="92">
        <f t="shared" ref="AC41" si="642">COUNT(L41:AA42)</f>
      </c>
      <c r="AD41" s="59"/>
      <c r="AE41" s="60">
        <f t="shared" ref="AE41" si="643">AB41*AD41</f>
      </c>
      <c r="AF41" s="61">
        <f t="shared" ref="AF41" si="644">IF(SUM(AP41:BE42)&gt;=1000,ROUNDDOWN((SUM(AP41:BE42)),-1),0)</f>
      </c>
      <c r="AG41" s="62">
        <f t="shared" si="1"/>
        <v>0</v>
      </c>
      <c r="AH41" s="62">
        <f t="shared" ref="AH41" si="645">IFERROR(IF(OR(C41="외국인 고용 연금 제외",C41="외국인 고용 제외",C41="고용 연금 제외"),0,ROUNDDOWN(AE41*0.9%,-1)),"")</f>
      </c>
      <c r="AI41" s="63">
        <f t="shared" ref="AI41" si="646">IFERROR(IF(OR(C41="외국인 고용 연금 제외",C41="고용 연금 제외",C41="연금 제외"),0,
   IF(OR(AC41&gt;=8,AE41&gt;=2200000),
    IF(AE41&gt;=5900000,ROUNDDOWN(5900000*4.5%,-1),
     IF(AE41&lt;=370000,ROUNDDOWN(370000*4.5%,-1),ROUNDDOWN(ROUNDDOWN(AE41,-3)*4.5%,-1))),0)),"")</f>
      </c>
      <c r="AJ41" s="62">
        <f t="shared" si="2"/>
        <v>0</v>
      </c>
      <c r="AK41" s="64">
        <f>ROUNDDOWN(AJ41*12.95%,-1)</f>
      </c>
      <c r="AL41" s="87">
        <f t="shared" ref="AL41" si="647">SUM(AF41:AK42)</f>
      </c>
      <c r="AM41" s="88"/>
      <c r="AN41" s="66">
        <f t="shared" ref="AN41" si="648">IFERROR(AE41-AL41-AM41,"")</f>
      </c>
      <c r="AO41" s="88"/>
      <c r="AP41" s="67">
        <f t="shared" ref="AP41" si="649">ROUNDDOWN(IF(AD41*L41&gt;=150000,(((AD41*L41)-150000)*2.7%),0),-1)</f>
      </c>
      <c r="AQ41" s="68">
        <f t="shared" ref="AQ41" si="650">ROUNDDOWN(IF(AD41*M41&gt;=150000,(((AD41*M41)-150000)*2.7%),0),-1)</f>
      </c>
      <c r="AR41" s="68">
        <f t="shared" ref="AR41" si="651">ROUNDDOWN(IF(AD41*N41&gt;=150000,(((AD41*N41)-150000)*2.7%),0),-1)</f>
      </c>
      <c r="AS41" s="68">
        <f t="shared" ref="AS41" si="652">ROUNDDOWN(IF(AD41*O41&gt;=150000,(((AD41*O41)-150000)*2.7%),0),-1)</f>
      </c>
      <c r="AT41" s="68">
        <f t="shared" ref="AT41" si="653">ROUNDDOWN(IF(AD41*P41&gt;=150000,(((AD41*P41)-150000)*2.7%),0),-1)</f>
      </c>
      <c r="AU41" s="68">
        <f t="shared" ref="AU41" si="654">ROUNDDOWN(IF(AD41*Q41&gt;=150000,(((AD41*Q41)-150000)*2.7%),0),-1)</f>
      </c>
      <c r="AV41" s="68">
        <f t="shared" ref="AV41" si="655">ROUNDDOWN(IF(AD41*R41&gt;=150000,(((AD41*R41)-150000)*2.7%),0),-1)</f>
      </c>
      <c r="AW41" s="68">
        <f t="shared" ref="AW41" si="656">ROUNDDOWN(IF(AD41*S41&gt;=150000,(((AD41*S41)-150000)*2.7%),0),-1)</f>
      </c>
      <c r="AX41" s="68">
        <f t="shared" ref="AX41" si="657">ROUNDDOWN(IF(AD41*T41&gt;=150000,(((AD41*T41)-150000)*2.7%),0),-1)</f>
      </c>
      <c r="AY41" s="68">
        <f t="shared" ref="AY41" si="658">ROUNDDOWN(IF(AD41*U41&gt;=150000,(((AD41*U41)-150000)*2.7%),0),-1)</f>
      </c>
      <c r="AZ41" s="68">
        <f t="shared" ref="AZ41" si="659">ROUNDDOWN(IF(AD41*V41&gt;=150000,(((AD41*V41)-150000)*2.7%),0),-1)</f>
      </c>
      <c r="BA41" s="68">
        <f t="shared" ref="BA41" si="660">ROUNDDOWN(IF(AD41*W41&gt;=150000,(((AD41*W41)-150000)*2.7%),0),-1)</f>
      </c>
      <c r="BB41" s="68">
        <f t="shared" ref="BB41" si="661">ROUNDDOWN(IF(AD41*X41&gt;=150000,(((AD41*X41)-150000)*2.7%),0),-1)</f>
      </c>
      <c r="BC41" s="68">
        <f t="shared" ref="BC41" si="662">ROUNDDOWN(IF(AD41*Y41&gt;=150000,(((AD41*Y41)-150000)*2.7%),0),-1)</f>
      </c>
      <c r="BD41" s="68">
        <f t="shared" ref="BD41" si="663">ROUNDDOWN(IF(AD41*Z41&gt;=150000,(((AD41*Z41)-150000)*2.7%),0),-1)</f>
      </c>
      <c r="BE41" s="68"/>
      <c r="BF41" s="69">
        <f>IF(AND(BH41&gt;=60,OR(MID(F41,8,1)="0",MID(F41,8,1)="0",MID(F41,8,1)="0",MID(F41,8,1)="0")),"외국인 고용 연금 제외",
  IF(OR(MID(F41,8,1)="0",MID(F41,8,1)="0",MID(F41,8,1)="0",MID(F41,8,1)="0"),"외국인 고용 제외",
  IF(BH41&gt;=65,"고용 연금 제외",
  IF(BH41&gt;=60,"연금 제외","정상"))))</f>
      </c>
      <c r="BG41" s="69">
        <f>IF(OR(MID(F41,8,1)="5",MID(F41,8,1)="6",MID(F41,8,1)="7",MID(F41,8,1)="8"),
  IF(RIGHT(F41,1)=RIGHT(13-MOD(SUM(MID(F41,1,1)*2,
MID(F41,2,1)*3,
MID(F41,3,1)*4,
MID(F41,4,1)*5,
MID(F41,5,1)*6,
MID(F41,6,1)*7,
MID(F41,8,1)*8,
MID(F41,9,1)*9,
MID(F41,10,1)*2,
MID(F41,11,1)*3,
MID(F41,12,1)*4,
MID(F41,13,1)*5),11),3),"정상","오류"),
 IF(RIGHT(F41,1)=RIGHT(11-MOD(SUM(MID(F41,1,1)*2,
  MID(F41,2,1)*3,
  MID(F41,3,1)*4,
  MID(F41,4,1)*5,
  MID(F41,5,1)*6,
  MID(F41,6,1)*7,
  MID(F41,8,1)*8,
  MID(F41,9,1)*9,
  MID(F41,10,1)*2,
  MID(F41,11,1)*3,
  MID(F41,12,1)*4,
  MID(F41,13,1)*5),11),1),"정상","오류"))</f>
      </c>
      <c r="BH41" s="1">
        <f>DATEDIF(DATE(IF(OR(MID(F41,8,1)="3",
        MID(F41,8,1)="4",
        MID(F41,8,1)="7",
        MID(F41,8,1)="8"),20,19)&amp;LEFT(F41,2),
        MID(F41,3,2),MID(F41,5,2)),TODAY(),"Y")</f>
      </c>
    </row>
    <row r="42" ht="17" customHeight="1" spans="1:60" x14ac:dyDescent="0.25">
      <c r="A42" s="70"/>
      <c r="B42" s="71"/>
      <c r="C42" s="72"/>
      <c r="D42" s="73"/>
      <c r="E42" s="74"/>
      <c r="F42" s="122"/>
      <c r="G42" s="119"/>
      <c r="H42" s="74"/>
      <c r="I42" s="114"/>
      <c r="J42" s="53"/>
      <c r="K42" s="9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80"/>
      <c r="AC42" s="48"/>
      <c r="AD42" s="81"/>
      <c r="AE42" s="82"/>
      <c r="AF42" s="83"/>
      <c r="AG42" s="84"/>
      <c r="AH42" s="84"/>
      <c r="AI42" s="85"/>
      <c r="AJ42" s="84"/>
      <c r="AK42" s="86"/>
      <c r="AL42" s="87"/>
      <c r="AM42" s="88"/>
      <c r="AN42" s="88"/>
      <c r="AO42" s="88"/>
      <c r="AP42" s="67">
        <f t="shared" ref="AP42" si="664">ROUNDDOWN(IF(AD41*L42&gt;=150000,(((AD41*L42)-150000)*2.7%),0),-1)</f>
      </c>
      <c r="AQ42" s="67">
        <f t="shared" ref="AQ42" si="665">ROUNDDOWN(IF(AD41*M42&gt;=150000,(((AD41*M42)-150000)*2.7%),0),-1)</f>
      </c>
      <c r="AR42" s="67">
        <f t="shared" ref="AR42" si="666">ROUNDDOWN(IF(AD41*N42&gt;=150000,(((AD41*N42)-150000)*2.7%),0),-1)</f>
      </c>
      <c r="AS42" s="67">
        <f t="shared" ref="AS42" si="667">ROUNDDOWN(IF(AD41*O42&gt;=150000,(((AD41*O42)-150000)*2.7%),0),-1)</f>
      </c>
      <c r="AT42" s="67">
        <f t="shared" ref="AT42" si="668">ROUNDDOWN(IF(AD41*P42&gt;=150000,(((AD41*P42)-150000)*2.7%),0),-1)</f>
      </c>
      <c r="AU42" s="67">
        <f t="shared" ref="AU42" si="669">ROUNDDOWN(IF(AD41*Q42&gt;=150000,(((AD41*Q42)-150000)*2.7%),0),-1)</f>
      </c>
      <c r="AV42" s="67">
        <f t="shared" ref="AV42" si="670">ROUNDDOWN(IF(AD41*R42&gt;=150000,(((AD41*R42)-150000)*2.7%),0),-1)</f>
      </c>
      <c r="AW42" s="67">
        <f t="shared" ref="AW42" si="671">ROUNDDOWN(IF(AD41*S42&gt;=150000,(((AD41*S42)-150000)*2.7%),0),-1)</f>
      </c>
      <c r="AX42" s="67">
        <f t="shared" ref="AX42" si="672">ROUNDDOWN(IF(AD41*T42&gt;=150000,(((AD41*T42)-150000)*2.7%),0),-1)</f>
      </c>
      <c r="AY42" s="67">
        <f t="shared" ref="AY42" si="673">ROUNDDOWN(IF(AD41*U42&gt;=150000,(((AD41*U42)-150000)*2.7%),0),-1)</f>
      </c>
      <c r="AZ42" s="67">
        <f t="shared" ref="AZ42" si="674">ROUNDDOWN(IF(AD41*V42&gt;=150000,(((AD41*V42)-150000)*2.7%),0),-1)</f>
      </c>
      <c r="BA42" s="67">
        <f t="shared" ref="BA42" si="675">ROUNDDOWN(IF(AD41*W42&gt;=150000,(((AD41*W42)-150000)*2.7%),0),-1)</f>
      </c>
      <c r="BB42" s="67">
        <f t="shared" ref="BB42" si="676">ROUNDDOWN(IF(AD41*X42&gt;=150000,(((AD41*X42)-150000)*2.7%),0),-1)</f>
      </c>
      <c r="BC42" s="67">
        <f t="shared" ref="BC42" si="677">ROUNDDOWN(IF(AD41*Y42&gt;=150000,(((AD41*Y42)-150000)*2.7%),0),-1)</f>
      </c>
      <c r="BD42" s="67">
        <f t="shared" ref="BD42" si="678">ROUNDDOWN(IF(AD41*Z42&gt;=150000,(((AD41*Z42)-150000)*2.7%),0),-1)</f>
      </c>
      <c r="BE42" s="67">
        <f t="shared" ref="BE42" si="679">ROUNDDOWN(IF(AD41*AA42&gt;=150000,(((AD41*AA42)-150000)*2.7%),0),-1)</f>
      </c>
      <c r="BF42" s="69"/>
      <c r="BG42" s="69"/>
      <c r="BH42" s="1"/>
    </row>
    <row r="43" ht="16.5" customHeight="1" spans="1:60" x14ac:dyDescent="0.25">
      <c r="A43" s="70">
        <v>18</v>
      </c>
      <c r="B43" s="46">
        <f t="shared" ref="B43" si="680">BG43</f>
      </c>
      <c r="C43" s="47">
        <f t="shared" ref="C43" si="681">BF43</f>
      </c>
      <c r="D43" s="48"/>
      <c r="E43" s="131"/>
      <c r="F43" s="118"/>
      <c r="G43" s="119"/>
      <c r="H43" s="120"/>
      <c r="I43" s="121"/>
      <c r="J43" s="132"/>
      <c r="K43" s="98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90"/>
      <c r="AB43" s="91">
        <f t="shared" ref="AB43" si="682">SUM(L43:AA44)</f>
      </c>
      <c r="AC43" s="92">
        <f t="shared" ref="AC43" si="683">COUNT(L43:AA44)</f>
      </c>
      <c r="AD43" s="59"/>
      <c r="AE43" s="60">
        <f t="shared" ref="AE43" si="684">AB43*AD43</f>
      </c>
      <c r="AF43" s="61">
        <f t="shared" ref="AF43" si="685">IF(SUM(AP43:BE44)&gt;=1000,ROUNDDOWN((SUM(AP43:BE44)),-1),0)</f>
      </c>
      <c r="AG43" s="62">
        <f t="shared" si="1"/>
        <v>0</v>
      </c>
      <c r="AH43" s="62">
        <f t="shared" ref="AH43" si="686">IFERROR(IF(OR(C43="외국인 고용 연금 제외",C43="외국인 고용 제외",C43="고용 연금 제외"),0,ROUNDDOWN(AE43*0.9%,-1)),"")</f>
      </c>
      <c r="AI43" s="63">
        <f t="shared" ref="AI43" si="687">IFERROR(IF(OR(C43="외국인 고용 연금 제외",C43="고용 연금 제외",C43="연금 제외"),0,
   IF(OR(AC43&gt;=8,AE43&gt;=2200000),
    IF(AE43&gt;=5900000,ROUNDDOWN(5900000*4.5%,-1),
     IF(AE43&lt;=370000,ROUNDDOWN(370000*4.5%,-1),ROUNDDOWN(ROUNDDOWN(AE43,-3)*4.5%,-1))),0)),"")</f>
      </c>
      <c r="AJ43" s="62">
        <f t="shared" si="2"/>
        <v>0</v>
      </c>
      <c r="AK43" s="64">
        <f>ROUNDDOWN(AJ43*12.95%,-1)</f>
      </c>
      <c r="AL43" s="87">
        <f t="shared" ref="AL43" si="688">SUM(AF43:AK44)</f>
      </c>
      <c r="AM43" s="88"/>
      <c r="AN43" s="66">
        <f t="shared" ref="AN43" si="689">IFERROR(AE43-AL43-AM43,"")</f>
      </c>
      <c r="AO43" s="88"/>
      <c r="AP43" s="67">
        <f t="shared" ref="AP43" si="690">ROUNDDOWN(IF(AD43*L43&gt;=150000,(((AD43*L43)-150000)*2.7%),0),-1)</f>
      </c>
      <c r="AQ43" s="68">
        <f t="shared" ref="AQ43" si="691">ROUNDDOWN(IF(AD43*M43&gt;=150000,(((AD43*M43)-150000)*2.7%),0),-1)</f>
      </c>
      <c r="AR43" s="68">
        <f t="shared" ref="AR43" si="692">ROUNDDOWN(IF(AD43*N43&gt;=150000,(((AD43*N43)-150000)*2.7%),0),-1)</f>
      </c>
      <c r="AS43" s="68">
        <f t="shared" ref="AS43" si="693">ROUNDDOWN(IF(AD43*O43&gt;=150000,(((AD43*O43)-150000)*2.7%),0),-1)</f>
      </c>
      <c r="AT43" s="68">
        <f t="shared" ref="AT43" si="694">ROUNDDOWN(IF(AD43*P43&gt;=150000,(((AD43*P43)-150000)*2.7%),0),-1)</f>
      </c>
      <c r="AU43" s="68">
        <f t="shared" ref="AU43" si="695">ROUNDDOWN(IF(AD43*Q43&gt;=150000,(((AD43*Q43)-150000)*2.7%),0),-1)</f>
      </c>
      <c r="AV43" s="68">
        <f t="shared" ref="AV43" si="696">ROUNDDOWN(IF(AD43*R43&gt;=150000,(((AD43*R43)-150000)*2.7%),0),-1)</f>
      </c>
      <c r="AW43" s="68">
        <f t="shared" ref="AW43" si="697">ROUNDDOWN(IF(AD43*S43&gt;=150000,(((AD43*S43)-150000)*2.7%),0),-1)</f>
      </c>
      <c r="AX43" s="68">
        <f t="shared" ref="AX43" si="698">ROUNDDOWN(IF(AD43*T43&gt;=150000,(((AD43*T43)-150000)*2.7%),0),-1)</f>
      </c>
      <c r="AY43" s="68">
        <f t="shared" ref="AY43" si="699">ROUNDDOWN(IF(AD43*U43&gt;=150000,(((AD43*U43)-150000)*2.7%),0),-1)</f>
      </c>
      <c r="AZ43" s="68">
        <f t="shared" ref="AZ43" si="700">ROUNDDOWN(IF(AD43*V43&gt;=150000,(((AD43*V43)-150000)*2.7%),0),-1)</f>
      </c>
      <c r="BA43" s="68">
        <f t="shared" ref="BA43" si="701">ROUNDDOWN(IF(AD43*W43&gt;=150000,(((AD43*W43)-150000)*2.7%),0),-1)</f>
      </c>
      <c r="BB43" s="68">
        <f t="shared" ref="BB43" si="702">ROUNDDOWN(IF(AD43*X43&gt;=150000,(((AD43*X43)-150000)*2.7%),0),-1)</f>
      </c>
      <c r="BC43" s="68">
        <f t="shared" ref="BC43" si="703">ROUNDDOWN(IF(AD43*Y43&gt;=150000,(((AD43*Y43)-150000)*2.7%),0),-1)</f>
      </c>
      <c r="BD43" s="68">
        <f t="shared" ref="BD43" si="704">ROUNDDOWN(IF(AD43*Z43&gt;=150000,(((AD43*Z43)-150000)*2.7%),0),-1)</f>
      </c>
      <c r="BE43" s="68"/>
      <c r="BF43" s="69">
        <f>IF(AND(BH43&gt;=60,OR(MID(F43,8,1)="0",MID(F43,8,1)="0",MID(F43,8,1)="0",MID(F43,8,1)="0")),"외국인 고용 연금 제외",
  IF(OR(MID(F43,8,1)="0",MID(F43,8,1)="0",MID(F43,8,1)="0",MID(F43,8,1)="0"),"외국인 고용 제외",
  IF(BH43&gt;=65,"고용 연금 제외",
  IF(BH43&gt;=60,"연금 제외","정상"))))</f>
      </c>
      <c r="BG43" s="69">
        <f>IF(OR(MID(F43,8,1)="5",MID(F43,8,1)="6",MID(F43,8,1)="7",MID(F43,8,1)="8"),
  IF(RIGHT(F43,1)=RIGHT(13-MOD(SUM(MID(F43,1,1)*2,
MID(F43,2,1)*3,
MID(F43,3,1)*4,
MID(F43,4,1)*5,
MID(F43,5,1)*6,
MID(F43,6,1)*7,
MID(F43,8,1)*8,
MID(F43,9,1)*9,
MID(F43,10,1)*2,
MID(F43,11,1)*3,
MID(F43,12,1)*4,
MID(F43,13,1)*5),11),3),"정상","오류"),
 IF(RIGHT(F43,1)=RIGHT(11-MOD(SUM(MID(F43,1,1)*2,
  MID(F43,2,1)*3,
  MID(F43,3,1)*4,
  MID(F43,4,1)*5,
  MID(F43,5,1)*6,
  MID(F43,6,1)*7,
  MID(F43,8,1)*8,
  MID(F43,9,1)*9,
  MID(F43,10,1)*2,
  MID(F43,11,1)*3,
  MID(F43,12,1)*4,
  MID(F43,13,1)*5),11),1),"정상","오류"))</f>
      </c>
      <c r="BH43" s="1">
        <f>DATEDIF(DATE(IF(OR(MID(F43,8,1)="3",
        MID(F43,8,1)="4",
        MID(F43,8,1)="7",
        MID(F43,8,1)="8"),20,19)&amp;LEFT(F43,2),
        MID(F43,3,2),MID(F43,5,2)),TODAY(),"Y")</f>
      </c>
    </row>
    <row r="44" ht="17" customHeight="1" spans="1:60" x14ac:dyDescent="0.25">
      <c r="A44" s="70"/>
      <c r="B44" s="71"/>
      <c r="C44" s="72"/>
      <c r="D44" s="73"/>
      <c r="E44" s="131"/>
      <c r="F44" s="122"/>
      <c r="G44" s="119"/>
      <c r="H44" s="123"/>
      <c r="I44" s="124"/>
      <c r="J44" s="133"/>
      <c r="K44" s="9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80"/>
      <c r="AC44" s="48"/>
      <c r="AD44" s="81"/>
      <c r="AE44" s="82"/>
      <c r="AF44" s="83"/>
      <c r="AG44" s="84"/>
      <c r="AH44" s="84"/>
      <c r="AI44" s="85"/>
      <c r="AJ44" s="84"/>
      <c r="AK44" s="86"/>
      <c r="AL44" s="87"/>
      <c r="AM44" s="88"/>
      <c r="AN44" s="88"/>
      <c r="AO44" s="88"/>
      <c r="AP44" s="67">
        <f t="shared" ref="AP44" si="705">ROUNDDOWN(IF(AD43*L44&gt;=150000,(((AD43*L44)-150000)*2.7%),0),-1)</f>
      </c>
      <c r="AQ44" s="67">
        <f t="shared" ref="AQ44" si="706">ROUNDDOWN(IF(AD43*M44&gt;=150000,(((AD43*M44)-150000)*2.7%),0),-1)</f>
      </c>
      <c r="AR44" s="67">
        <f t="shared" ref="AR44" si="707">ROUNDDOWN(IF(AD43*N44&gt;=150000,(((AD43*N44)-150000)*2.7%),0),-1)</f>
      </c>
      <c r="AS44" s="67">
        <f t="shared" ref="AS44" si="708">ROUNDDOWN(IF(AD43*O44&gt;=150000,(((AD43*O44)-150000)*2.7%),0),-1)</f>
      </c>
      <c r="AT44" s="67">
        <f t="shared" ref="AT44" si="709">ROUNDDOWN(IF(AD43*P44&gt;=150000,(((AD43*P44)-150000)*2.7%),0),-1)</f>
      </c>
      <c r="AU44" s="67">
        <f t="shared" ref="AU44" si="710">ROUNDDOWN(IF(AD43*Q44&gt;=150000,(((AD43*Q44)-150000)*2.7%),0),-1)</f>
      </c>
      <c r="AV44" s="67">
        <f t="shared" ref="AV44" si="711">ROUNDDOWN(IF(AD43*R44&gt;=150000,(((AD43*R44)-150000)*2.7%),0),-1)</f>
      </c>
      <c r="AW44" s="67">
        <f t="shared" ref="AW44" si="712">ROUNDDOWN(IF(AD43*S44&gt;=150000,(((AD43*S44)-150000)*2.7%),0),-1)</f>
      </c>
      <c r="AX44" s="67">
        <f t="shared" ref="AX44" si="713">ROUNDDOWN(IF(AD43*T44&gt;=150000,(((AD43*T44)-150000)*2.7%),0),-1)</f>
      </c>
      <c r="AY44" s="67">
        <f t="shared" ref="AY44" si="714">ROUNDDOWN(IF(AD43*U44&gt;=150000,(((AD43*U44)-150000)*2.7%),0),-1)</f>
      </c>
      <c r="AZ44" s="67">
        <f t="shared" ref="AZ44" si="715">ROUNDDOWN(IF(AD43*V44&gt;=150000,(((AD43*V44)-150000)*2.7%),0),-1)</f>
      </c>
      <c r="BA44" s="67">
        <f t="shared" ref="BA44" si="716">ROUNDDOWN(IF(AD43*W44&gt;=150000,(((AD43*W44)-150000)*2.7%),0),-1)</f>
      </c>
      <c r="BB44" s="67">
        <f t="shared" ref="BB44" si="717">ROUNDDOWN(IF(AD43*X44&gt;=150000,(((AD43*X44)-150000)*2.7%),0),-1)</f>
      </c>
      <c r="BC44" s="67">
        <f t="shared" ref="BC44" si="718">ROUNDDOWN(IF(AD43*Y44&gt;=150000,(((AD43*Y44)-150000)*2.7%),0),-1)</f>
      </c>
      <c r="BD44" s="67">
        <f t="shared" ref="BD44" si="719">ROUNDDOWN(IF(AD43*Z44&gt;=150000,(((AD43*Z44)-150000)*2.7%),0),-1)</f>
      </c>
      <c r="BE44" s="67">
        <f t="shared" ref="BE44" si="720">ROUNDDOWN(IF(AD43*AA44&gt;=150000,(((AD43*AA44)-150000)*2.7%),0),-1)</f>
      </c>
      <c r="BF44" s="69"/>
      <c r="BG44" s="69"/>
      <c r="BH44" s="1"/>
    </row>
    <row r="45" ht="16.5" customHeight="1" spans="1:60" x14ac:dyDescent="0.25">
      <c r="A45" s="45">
        <v>19</v>
      </c>
      <c r="B45" s="46">
        <f t="shared" ref="B45" si="721">BG45</f>
      </c>
      <c r="C45" s="47">
        <f t="shared" ref="C45" si="722">BF45</f>
      </c>
      <c r="D45" s="48"/>
      <c r="E45" s="131"/>
      <c r="F45" s="134"/>
      <c r="G45" s="119"/>
      <c r="H45" s="120"/>
      <c r="I45" s="121"/>
      <c r="J45" s="132"/>
      <c r="K45" s="98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90"/>
      <c r="AB45" s="91">
        <f t="shared" ref="AB45" si="723">SUM(L45:AA46)</f>
      </c>
      <c r="AC45" s="92">
        <f t="shared" ref="AC45" si="724">COUNT(L45:AA46)</f>
      </c>
      <c r="AD45" s="59"/>
      <c r="AE45" s="60">
        <f t="shared" ref="AE45" si="725">AB45*AD45</f>
      </c>
      <c r="AF45" s="61">
        <f t="shared" ref="AF45" si="726">IF(SUM(AP45:BE46)&gt;=1000,ROUNDDOWN((SUM(AP45:BE46)),-1),0)</f>
      </c>
      <c r="AG45" s="62">
        <f t="shared" ref="AG45" si="727">ROUNDDOWN(AF45*10%,-1)</f>
      </c>
      <c r="AH45" s="62">
        <f t="shared" ref="AH45" si="728">IFERROR(IF(OR(C45="외국인 고용 연금 제외",C45="외국인 고용 제외",C45="고용 연금 제외"),0,ROUNDDOWN(AE45*0.9%,-1)),"")</f>
      </c>
      <c r="AI45" s="63">
        <f t="shared" ref="AI45" si="729">IFERROR(IF(OR(C45="외국인 고용 연금 제외",C45="고용 연금 제외",C45="연금 제외"),0,
   IF(OR(AC45&gt;=8,AE45&gt;=2200000),
    IF(AE45&gt;=5900000,ROUNDDOWN(5900000*4.5%,-1),
     IF(AE45&lt;=370000,ROUNDDOWN(370000*4.5%,-1),ROUNDDOWN(ROUNDDOWN(AE45,-3)*4.5%,-1))),0)),"")</f>
      </c>
      <c r="AJ45" s="62">
        <f t="shared" ref="AJ45" si="730">IF(AC45&gt;=8,IF(AE45&gt;=104536481,ROUNDDOWN(104536481*3.545%,-1),IF(AE45&lt;=279256,ROUNDDOWN(279256*3.545%,-1),ROUNDDOWN(AE45*3.545%,-1))),0)</f>
      </c>
      <c r="AK45" s="64">
        <f>ROUNDDOWN(AJ45*12.95%,-1)</f>
      </c>
      <c r="AL45" s="87">
        <f t="shared" ref="AL45" si="731">SUM(AF45:AK46)</f>
      </c>
      <c r="AM45" s="88"/>
      <c r="AN45" s="66">
        <f t="shared" ref="AN45" si="732">IFERROR(AE45-AL45-AM45,"")</f>
      </c>
      <c r="AO45" s="88"/>
      <c r="AP45" s="67">
        <f t="shared" ref="AP45" si="733">ROUNDDOWN(IF(AD45*L45&gt;=150000,(((AD45*L45)-150000)*2.7%),0),-1)</f>
      </c>
      <c r="AQ45" s="68">
        <f t="shared" ref="AQ45" si="734">ROUNDDOWN(IF(AD45*M45&gt;=150000,(((AD45*M45)-150000)*2.7%),0),-1)</f>
      </c>
      <c r="AR45" s="68">
        <f t="shared" ref="AR45" si="735">ROUNDDOWN(IF(AD45*N45&gt;=150000,(((AD45*N45)-150000)*2.7%),0),-1)</f>
      </c>
      <c r="AS45" s="68">
        <f t="shared" ref="AS45" si="736">ROUNDDOWN(IF(AD45*O45&gt;=150000,(((AD45*O45)-150000)*2.7%),0),-1)</f>
      </c>
      <c r="AT45" s="68">
        <f t="shared" ref="AT45" si="737">ROUNDDOWN(IF(AD45*P45&gt;=150000,(((AD45*P45)-150000)*2.7%),0),-1)</f>
      </c>
      <c r="AU45" s="68">
        <f t="shared" ref="AU45" si="738">ROUNDDOWN(IF(AD45*Q45&gt;=150000,(((AD45*Q45)-150000)*2.7%),0),-1)</f>
      </c>
      <c r="AV45" s="68">
        <f t="shared" ref="AV45" si="739">ROUNDDOWN(IF(AD45*R45&gt;=150000,(((AD45*R45)-150000)*2.7%),0),-1)</f>
      </c>
      <c r="AW45" s="68">
        <f t="shared" ref="AW45" si="740">ROUNDDOWN(IF(AD45*S45&gt;=150000,(((AD45*S45)-150000)*2.7%),0),-1)</f>
      </c>
      <c r="AX45" s="68">
        <f t="shared" ref="AX45" si="741">ROUNDDOWN(IF(AD45*T45&gt;=150000,(((AD45*T45)-150000)*2.7%),0),-1)</f>
      </c>
      <c r="AY45" s="68">
        <f t="shared" ref="AY45" si="742">ROUNDDOWN(IF(AD45*U45&gt;=150000,(((AD45*U45)-150000)*2.7%),0),-1)</f>
      </c>
      <c r="AZ45" s="68">
        <f t="shared" ref="AZ45" si="743">ROUNDDOWN(IF(AD45*V45&gt;=150000,(((AD45*V45)-150000)*2.7%),0),-1)</f>
      </c>
      <c r="BA45" s="68">
        <f t="shared" ref="BA45" si="744">ROUNDDOWN(IF(AD45*W45&gt;=150000,(((AD45*W45)-150000)*2.7%),0),-1)</f>
      </c>
      <c r="BB45" s="68">
        <f t="shared" ref="BB45" si="745">ROUNDDOWN(IF(AD45*X45&gt;=150000,(((AD45*X45)-150000)*2.7%),0),-1)</f>
      </c>
      <c r="BC45" s="68">
        <f t="shared" ref="BC45" si="746">ROUNDDOWN(IF(AD45*Y45&gt;=150000,(((AD45*Y45)-150000)*2.7%),0),-1)</f>
      </c>
      <c r="BD45" s="68">
        <f t="shared" ref="BD45" si="747">ROUNDDOWN(IF(AD45*Z45&gt;=150000,(((AD45*Z45)-150000)*2.7%),0),-1)</f>
      </c>
      <c r="BE45" s="68"/>
      <c r="BF45" s="69">
        <f>IF(AND(BH45&gt;=60,OR(MID(F45,8,1)="0",MID(F45,8,1)="0",MID(F45,8,1)="0",MID(F45,8,1)="0")),"외국인 고용 연금 제외",
  IF(OR(MID(F45,8,1)="0",MID(F45,8,1)="0",MID(F45,8,1)="0",MID(F45,8,1)="0"),"외국인 고용 제외",
  IF(BH45&gt;=65,"고용 연금 제외",
  IF(BH45&gt;=60,"연금 제외","정상"))))</f>
      </c>
      <c r="BG45" s="69">
        <f>IF(OR(MID(F45,8,1)="5",MID(F45,8,1)="6",MID(F45,8,1)="7",MID(F45,8,1)="8"),
  IF(RIGHT(F45,1)=RIGHT(13-MOD(SUM(MID(F45,1,1)*2,
MID(F45,2,1)*3,
MID(F45,3,1)*4,
MID(F45,4,1)*5,
MID(F45,5,1)*6,
MID(F45,6,1)*7,
MID(F45,8,1)*8,
MID(F45,9,1)*9,
MID(F45,10,1)*2,
MID(F45,11,1)*3,
MID(F45,12,1)*4,
MID(F45,13,1)*5),11),3),"정상","오류"),
 IF(RIGHT(F45,1)=RIGHT(11-MOD(SUM(MID(F45,1,1)*2,
  MID(F45,2,1)*3,
  MID(F45,3,1)*4,
  MID(F45,4,1)*5,
  MID(F45,5,1)*6,
  MID(F45,6,1)*7,
  MID(F45,8,1)*8,
  MID(F45,9,1)*9,
  MID(F45,10,1)*2,
  MID(F45,11,1)*3,
  MID(F45,12,1)*4,
  MID(F45,13,1)*5),11),1),"정상","오류"))</f>
      </c>
      <c r="BH45" s="1">
        <f>DATEDIF(DATE(IF(OR(MID(F45,8,1)="3",
        MID(F45,8,1)="4",
        MID(F45,8,1)="7",
        MID(F45,8,1)="8"),20,19)&amp;LEFT(F45,2),
        MID(F45,3,2),MID(F45,5,2)),TODAY(),"Y")</f>
      </c>
    </row>
    <row r="46" ht="17" customHeight="1" spans="1:60" x14ac:dyDescent="0.25">
      <c r="A46" s="70"/>
      <c r="B46" s="71"/>
      <c r="C46" s="72"/>
      <c r="D46" s="73"/>
      <c r="E46" s="131"/>
      <c r="F46" s="134"/>
      <c r="G46" s="119"/>
      <c r="H46" s="123"/>
      <c r="I46" s="124"/>
      <c r="J46" s="133"/>
      <c r="K46" s="9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80"/>
      <c r="AC46" s="48"/>
      <c r="AD46" s="81"/>
      <c r="AE46" s="82"/>
      <c r="AF46" s="83"/>
      <c r="AG46" s="84"/>
      <c r="AH46" s="84"/>
      <c r="AI46" s="85"/>
      <c r="AJ46" s="84"/>
      <c r="AK46" s="86"/>
      <c r="AL46" s="87"/>
      <c r="AM46" s="88"/>
      <c r="AN46" s="88"/>
      <c r="AO46" s="88"/>
      <c r="AP46" s="67">
        <f t="shared" ref="AP46" si="748">ROUNDDOWN(IF(AD45*L46&gt;=150000,(((AD45*L46)-150000)*2.7%),0),-1)</f>
      </c>
      <c r="AQ46" s="67">
        <f t="shared" ref="AQ46" si="749">ROUNDDOWN(IF(AD45*M46&gt;=150000,(((AD45*M46)-150000)*2.7%),0),-1)</f>
      </c>
      <c r="AR46" s="67">
        <f t="shared" ref="AR46" si="750">ROUNDDOWN(IF(AD45*N46&gt;=150000,(((AD45*N46)-150000)*2.7%),0),-1)</f>
      </c>
      <c r="AS46" s="67">
        <f t="shared" ref="AS46" si="751">ROUNDDOWN(IF(AD45*O46&gt;=150000,(((AD45*O46)-150000)*2.7%),0),-1)</f>
      </c>
      <c r="AT46" s="67">
        <f t="shared" ref="AT46" si="752">ROUNDDOWN(IF(AD45*P46&gt;=150000,(((AD45*P46)-150000)*2.7%),0),-1)</f>
      </c>
      <c r="AU46" s="67">
        <f t="shared" ref="AU46" si="753">ROUNDDOWN(IF(AD45*Q46&gt;=150000,(((AD45*Q46)-150000)*2.7%),0),-1)</f>
      </c>
      <c r="AV46" s="67">
        <f t="shared" ref="AV46" si="754">ROUNDDOWN(IF(AD45*R46&gt;=150000,(((AD45*R46)-150000)*2.7%),0),-1)</f>
      </c>
      <c r="AW46" s="67">
        <f t="shared" ref="AW46" si="755">ROUNDDOWN(IF(AD45*S46&gt;=150000,(((AD45*S46)-150000)*2.7%),0),-1)</f>
      </c>
      <c r="AX46" s="67">
        <f t="shared" ref="AX46" si="756">ROUNDDOWN(IF(AD45*T46&gt;=150000,(((AD45*T46)-150000)*2.7%),0),-1)</f>
      </c>
      <c r="AY46" s="67">
        <f t="shared" ref="AY46" si="757">ROUNDDOWN(IF(AD45*U46&gt;=150000,(((AD45*U46)-150000)*2.7%),0),-1)</f>
      </c>
      <c r="AZ46" s="67">
        <f t="shared" ref="AZ46" si="758">ROUNDDOWN(IF(AD45*V46&gt;=150000,(((AD45*V46)-150000)*2.7%),0),-1)</f>
      </c>
      <c r="BA46" s="67">
        <f t="shared" ref="BA46" si="759">ROUNDDOWN(IF(AD45*W46&gt;=150000,(((AD45*W46)-150000)*2.7%),0),-1)</f>
      </c>
      <c r="BB46" s="67">
        <f t="shared" ref="BB46" si="760">ROUNDDOWN(IF(AD45*X46&gt;=150000,(((AD45*X46)-150000)*2.7%),0),-1)</f>
      </c>
      <c r="BC46" s="67">
        <f t="shared" ref="BC46" si="761">ROUNDDOWN(IF(AD45*Y46&gt;=150000,(((AD45*Y46)-150000)*2.7%),0),-1)</f>
      </c>
      <c r="BD46" s="67">
        <f t="shared" ref="BD46" si="762">ROUNDDOWN(IF(AD45*Z46&gt;=150000,(((AD45*Z46)-150000)*2.7%),0),-1)</f>
      </c>
      <c r="BE46" s="67">
        <f t="shared" ref="BE46" si="763">ROUNDDOWN(IF(AD45*AA46&gt;=150000,(((AD45*AA46)-150000)*2.7%),0),-1)</f>
      </c>
      <c r="BF46" s="69"/>
      <c r="BG46" s="69"/>
      <c r="BH46" s="1"/>
    </row>
    <row r="47" ht="17" customHeight="1" spans="1:60" x14ac:dyDescent="0.25">
      <c r="A47" s="45">
        <v>20</v>
      </c>
      <c r="B47" s="46">
        <f t="shared" ref="B47" si="764">BG47</f>
      </c>
      <c r="C47" s="47">
        <f t="shared" ref="C47" si="765">BF47</f>
      </c>
      <c r="D47" s="48"/>
      <c r="E47" s="49"/>
      <c r="F47" s="125"/>
      <c r="G47" s="126"/>
      <c r="H47" s="92"/>
      <c r="I47" s="127"/>
      <c r="J47" s="53"/>
      <c r="K47" s="98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90"/>
      <c r="AB47" s="91">
        <f t="shared" ref="AB47:AB49" si="766">SUM(L47:AA48)</f>
      </c>
      <c r="AC47" s="92">
        <f t="shared" ref="AC47" si="767">COUNT(L47:AA48)</f>
      </c>
      <c r="AD47" s="59"/>
      <c r="AE47" s="60">
        <f t="shared" ref="AE47" si="768">AB47*AD47</f>
      </c>
      <c r="AF47" s="61">
        <f t="shared" ref="AF47" si="769">IF(SUM(AP47:BE48)&gt;=1000,ROUNDDOWN((SUM(AP47:BE48)),-1),0)</f>
      </c>
      <c r="AG47" s="62">
        <f t="shared" ref="AG47" si="770">ROUNDDOWN(AF47*10%,-1)</f>
      </c>
      <c r="AH47" s="62">
        <f t="shared" ref="AH47" si="771">IFERROR(IF(OR(C47="외국인 고용 연금 제외",C47="외국인 고용 제외",C47="고용 연금 제외"),0,ROUNDDOWN(AE47*0.9%,-1)),"")</f>
      </c>
      <c r="AI47" s="63">
        <f t="shared" ref="AI47" si="772">IFERROR(IF(OR(C47="외국인 고용 연금 제외",C47="고용 연금 제외",C47="연금 제외"),0,
   IF(OR(AC47&gt;=8,AE47&gt;=2200000),
    IF(AE47&gt;=5900000,ROUNDDOWN(5900000*4.5%,-1),
     IF(AE47&lt;=370000,ROUNDDOWN(370000*4.5%,-1),ROUNDDOWN(ROUNDDOWN(AE47,-3)*4.5%,-1))),0)),"")</f>
      </c>
      <c r="AJ47" s="62">
        <f t="shared" ref="AJ47" si="773">IF(AC47&gt;=8,IF(AE47&gt;=104536481,ROUNDDOWN(104536481*3.545%,-1),IF(AE47&lt;=279256,ROUNDDOWN(279256*3.545%,-1),ROUNDDOWN(AE47*3.545%,-1))),0)</f>
      </c>
      <c r="AK47" s="64">
        <f>ROUNDDOWN(AJ47*12.95%,-1)</f>
      </c>
      <c r="AL47" s="87">
        <f t="shared" ref="AL47" si="774">SUM(AF47:AK48)</f>
      </c>
      <c r="AM47" s="88"/>
      <c r="AN47" s="66">
        <f t="shared" ref="AN47" si="775">IFERROR(AE47-AL47-AM47,"")</f>
      </c>
      <c r="AO47" s="88"/>
      <c r="AP47" s="67">
        <f t="shared" ref="AP47" si="776">ROUNDDOWN(IF(AD47*L47&gt;=150000,(((AD47*L47)-150000)*2.7%),0),-1)</f>
      </c>
      <c r="AQ47" s="68">
        <f t="shared" ref="AQ47" si="777">ROUNDDOWN(IF(AD47*M47&gt;=150000,(((AD47*M47)-150000)*2.7%),0),-1)</f>
      </c>
      <c r="AR47" s="68">
        <f t="shared" ref="AR47" si="778">ROUNDDOWN(IF(AD47*N47&gt;=150000,(((AD47*N47)-150000)*2.7%),0),-1)</f>
      </c>
      <c r="AS47" s="68">
        <f t="shared" ref="AS47" si="779">ROUNDDOWN(IF(AD47*O47&gt;=150000,(((AD47*O47)-150000)*2.7%),0),-1)</f>
      </c>
      <c r="AT47" s="68">
        <f t="shared" ref="AT47" si="780">ROUNDDOWN(IF(AD47*P47&gt;=150000,(((AD47*P47)-150000)*2.7%),0),-1)</f>
      </c>
      <c r="AU47" s="68">
        <f t="shared" ref="AU47" si="781">ROUNDDOWN(IF(AD47*Q47&gt;=150000,(((AD47*Q47)-150000)*2.7%),0),-1)</f>
      </c>
      <c r="AV47" s="68">
        <f t="shared" ref="AV47" si="782">ROUNDDOWN(IF(AD47*R47&gt;=150000,(((AD47*R47)-150000)*2.7%),0),-1)</f>
      </c>
      <c r="AW47" s="68">
        <f t="shared" ref="AW47" si="783">ROUNDDOWN(IF(AD47*S47&gt;=150000,(((AD47*S47)-150000)*2.7%),0),-1)</f>
      </c>
      <c r="AX47" s="68">
        <f t="shared" ref="AX47" si="784">ROUNDDOWN(IF(AD47*T47&gt;=150000,(((AD47*T47)-150000)*2.7%),0),-1)</f>
      </c>
      <c r="AY47" s="68">
        <f t="shared" ref="AY47" si="785">ROUNDDOWN(IF(AD47*U47&gt;=150000,(((AD47*U47)-150000)*2.7%),0),-1)</f>
      </c>
      <c r="AZ47" s="68">
        <f t="shared" ref="AZ47" si="786">ROUNDDOWN(IF(AD47*V47&gt;=150000,(((AD47*V47)-150000)*2.7%),0),-1)</f>
      </c>
      <c r="BA47" s="68">
        <f t="shared" ref="BA47" si="787">ROUNDDOWN(IF(AD47*W47&gt;=150000,(((AD47*W47)-150000)*2.7%),0),-1)</f>
      </c>
      <c r="BB47" s="68">
        <f t="shared" ref="BB47" si="788">ROUNDDOWN(IF(AD47*X47&gt;=150000,(((AD47*X47)-150000)*2.7%),0),-1)</f>
      </c>
      <c r="BC47" s="68">
        <f t="shared" ref="BC47" si="789">ROUNDDOWN(IF(AD47*Y47&gt;=150000,(((AD47*Y47)-150000)*2.7%),0),-1)</f>
      </c>
      <c r="BD47" s="68">
        <f t="shared" ref="BD47" si="790">ROUNDDOWN(IF(AD47*Z47&gt;=150000,(((AD47*Z47)-150000)*2.7%),0),-1)</f>
      </c>
      <c r="BE47" s="68"/>
      <c r="BF47" s="69">
        <f>IF(AND(BH47&gt;=60,OR(MID(F47,8,1)="0",MID(F47,8,1)="0",MID(F47,8,1)="0",MID(F47,8,1)="0")),"외국인 고용 연금 제외",
  IF(OR(MID(F47,8,1)="0",MID(F47,8,1)="0",MID(F47,8,1)="0",MID(F47,8,1)="0"),"외국인 고용 제외",
  IF(BH47&gt;=65,"고용 연금 제외",
  IF(BH47&gt;=60,"연금 제외","정상"))))</f>
      </c>
      <c r="BG47" s="69">
        <f>IF(OR(MID(F47,8,1)="5",MID(F47,8,1)="6",MID(F47,8,1)="7",MID(F47,8,1)="8"),
  IF(RIGHT(F47,1)=RIGHT(13-MOD(SUM(MID(F47,1,1)*2,
MID(F47,2,1)*3,
MID(F47,3,1)*4,
MID(F47,4,1)*5,
MID(F47,5,1)*6,
MID(F47,6,1)*7,
MID(F47,8,1)*8,
MID(F47,9,1)*9,
MID(F47,10,1)*2,
MID(F47,11,1)*3,
MID(F47,12,1)*4,
MID(F47,13,1)*5),11),3),"정상","오류"),
 IF(RIGHT(F47,1)=RIGHT(11-MOD(SUM(MID(F47,1,1)*2,
  MID(F47,2,1)*3,
  MID(F47,3,1)*4,
  MID(F47,4,1)*5,
  MID(F47,5,1)*6,
  MID(F47,6,1)*7,
  MID(F47,8,1)*8,
  MID(F47,9,1)*9,
  MID(F47,10,1)*2,
  MID(F47,11,1)*3,
  MID(F47,12,1)*4,
  MID(F47,13,1)*5),11),1),"정상","오류"))</f>
      </c>
      <c r="BH47" s="1">
        <f>DATEDIF(DATE(IF(OR(MID(F47,8,1)="3",
        MID(F47,8,1)="4",
        MID(F47,8,1)="7",
        MID(F47,8,1)="8"),20,19)&amp;LEFT(F47,2),
        MID(F47,3,2),MID(F47,5,2)),TODAY(),"Y")</f>
      </c>
    </row>
    <row r="48" ht="17" customHeight="1" spans="1:60" x14ac:dyDescent="0.25">
      <c r="A48" s="70"/>
      <c r="B48" s="71"/>
      <c r="C48" s="72"/>
      <c r="D48" s="73"/>
      <c r="E48" s="74"/>
      <c r="F48" s="128"/>
      <c r="G48" s="129"/>
      <c r="H48" s="48"/>
      <c r="I48" s="130"/>
      <c r="J48" s="53"/>
      <c r="K48" s="9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80"/>
      <c r="AC48" s="48"/>
      <c r="AD48" s="81"/>
      <c r="AE48" s="82"/>
      <c r="AF48" s="83"/>
      <c r="AG48" s="84"/>
      <c r="AH48" s="84"/>
      <c r="AI48" s="85"/>
      <c r="AJ48" s="84"/>
      <c r="AK48" s="86"/>
      <c r="AL48" s="87"/>
      <c r="AM48" s="88"/>
      <c r="AN48" s="88"/>
      <c r="AO48" s="88"/>
      <c r="AP48" s="67">
        <f t="shared" ref="AP48" si="791">ROUNDDOWN(IF(AD47*L48&gt;=150000,(((AD47*L48)-150000)*2.7%),0),-1)</f>
      </c>
      <c r="AQ48" s="67">
        <f t="shared" ref="AQ48" si="792">ROUNDDOWN(IF(AD47*M48&gt;=150000,(((AD47*M48)-150000)*2.7%),0),-1)</f>
      </c>
      <c r="AR48" s="67">
        <f t="shared" ref="AR48" si="793">ROUNDDOWN(IF(AD47*N48&gt;=150000,(((AD47*N48)-150000)*2.7%),0),-1)</f>
      </c>
      <c r="AS48" s="67">
        <f t="shared" ref="AS48" si="794">ROUNDDOWN(IF(AD47*O48&gt;=150000,(((AD47*O48)-150000)*2.7%),0),-1)</f>
      </c>
      <c r="AT48" s="67">
        <f t="shared" ref="AT48" si="795">ROUNDDOWN(IF(AD47*P48&gt;=150000,(((AD47*P48)-150000)*2.7%),0),-1)</f>
      </c>
      <c r="AU48" s="67">
        <f t="shared" ref="AU48" si="796">ROUNDDOWN(IF(AD47*Q48&gt;=150000,(((AD47*Q48)-150000)*2.7%),0),-1)</f>
      </c>
      <c r="AV48" s="67">
        <f t="shared" ref="AV48" si="797">ROUNDDOWN(IF(AD47*R48&gt;=150000,(((AD47*R48)-150000)*2.7%),0),-1)</f>
      </c>
      <c r="AW48" s="67">
        <f t="shared" ref="AW48" si="798">ROUNDDOWN(IF(AD47*S48&gt;=150000,(((AD47*S48)-150000)*2.7%),0),-1)</f>
      </c>
      <c r="AX48" s="67">
        <f t="shared" ref="AX48" si="799">ROUNDDOWN(IF(AD47*T48&gt;=150000,(((AD47*T48)-150000)*2.7%),0),-1)</f>
      </c>
      <c r="AY48" s="67">
        <f t="shared" ref="AY48" si="800">ROUNDDOWN(IF(AD47*U48&gt;=150000,(((AD47*U48)-150000)*2.7%),0),-1)</f>
      </c>
      <c r="AZ48" s="67">
        <f t="shared" ref="AZ48" si="801">ROUNDDOWN(IF(AD47*V48&gt;=150000,(((AD47*V48)-150000)*2.7%),0),-1)</f>
      </c>
      <c r="BA48" s="67">
        <f t="shared" ref="BA48" si="802">ROUNDDOWN(IF(AD47*W48&gt;=150000,(((AD47*W48)-150000)*2.7%),0),-1)</f>
      </c>
      <c r="BB48" s="67">
        <f t="shared" ref="BB48" si="803">ROUNDDOWN(IF(AD47*X48&gt;=150000,(((AD47*X48)-150000)*2.7%),0),-1)</f>
      </c>
      <c r="BC48" s="67">
        <f t="shared" ref="BC48" si="804">ROUNDDOWN(IF(AD47*Y48&gt;=150000,(((AD47*Y48)-150000)*2.7%),0),-1)</f>
      </c>
      <c r="BD48" s="67">
        <f t="shared" ref="BD48" si="805">ROUNDDOWN(IF(AD47*Z48&gt;=150000,(((AD47*Z48)-150000)*2.7%),0),-1)</f>
      </c>
      <c r="BE48" s="67">
        <f t="shared" ref="BE48" si="806">ROUNDDOWN(IF(AD47*AA48&gt;=150000,(((AD47*AA48)-150000)*2.7%),0),-1)</f>
      </c>
      <c r="BF48" s="69"/>
      <c r="BG48" s="69"/>
      <c r="BH48" s="1"/>
    </row>
    <row r="49" ht="17" customHeight="1" spans="1:60" x14ac:dyDescent="0.25">
      <c r="A49" s="70">
        <v>21</v>
      </c>
      <c r="B49" s="46">
        <f t="shared" ref="B49" si="807">BG49</f>
      </c>
      <c r="C49" s="47">
        <f t="shared" ref="C49" si="808">BF49</f>
      </c>
      <c r="D49" s="48"/>
      <c r="E49" s="49"/>
      <c r="F49" s="125"/>
      <c r="G49" s="126"/>
      <c r="H49" s="92"/>
      <c r="I49" s="127"/>
      <c r="J49" s="53"/>
      <c r="K49" s="98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90"/>
      <c r="AB49" s="91">
        <f t="shared" ref="AB49" si="809">SUM(L49:AA50)</f>
      </c>
      <c r="AC49" s="92">
        <f t="shared" ref="AC49" si="810">COUNT(L49:AA50)</f>
      </c>
      <c r="AD49" s="59"/>
      <c r="AE49" s="60">
        <f t="shared" ref="AE49" si="811">AB49*AD49</f>
      </c>
      <c r="AF49" s="61">
        <f t="shared" ref="AF49" si="812">IF(SUM(AP49:BE50)&gt;=1000,ROUNDDOWN((SUM(AP49:BE50)),-1),0)</f>
      </c>
      <c r="AG49" s="62">
        <f t="shared" ref="AG49" si="813">ROUNDDOWN(AF49*10%,-1)</f>
      </c>
      <c r="AH49" s="62">
        <f t="shared" ref="AH49" si="814">IFERROR(IF(OR(C49="외국인 고용 연금 제외",C49="외국인 고용 제외",C49="고용 연금 제외"),0,ROUNDDOWN(AE49*0.9%,-1)),"")</f>
      </c>
      <c r="AI49" s="63">
        <f t="shared" ref="AI49" si="815">IFERROR(IF(OR(C49="외국인 고용 연금 제외",C49="고용 연금 제외",C49="연금 제외"),0,
   IF(OR(AC49&gt;=8,AE49&gt;=2200000),
    IF(AE49&gt;=5900000,ROUNDDOWN(5900000*4.5%,-1),
     IF(AE49&lt;=370000,ROUNDDOWN(370000*4.5%,-1),ROUNDDOWN(ROUNDDOWN(AE49,-3)*4.5%,-1))),0)),"")</f>
      </c>
      <c r="AJ49" s="62">
        <f t="shared" ref="AJ49" si="816">IF(AC49&gt;=8,IF(AE49&gt;=104536481,ROUNDDOWN(104536481*3.545%,-1),IF(AE49&lt;=279256,ROUNDDOWN(279256*3.545%,-1),ROUNDDOWN(AE49*3.545%,-1))),0)</f>
      </c>
      <c r="AK49" s="64">
        <f>ROUNDDOWN(AJ49*12.95%,-1)</f>
      </c>
      <c r="AL49" s="87">
        <f t="shared" ref="AL49" si="817">SUM(AF49:AK50)</f>
      </c>
      <c r="AM49" s="88"/>
      <c r="AN49" s="66">
        <f t="shared" ref="AN49" si="818">IFERROR(AE49-AL49-AM49,"")</f>
      </c>
      <c r="AO49" s="88"/>
      <c r="AP49" s="67">
        <f t="shared" ref="AP49" si="819">ROUNDDOWN(IF(AD49*L49&gt;=150000,(((AD49*L49)-150000)*2.7%),0),-1)</f>
      </c>
      <c r="AQ49" s="68">
        <f t="shared" ref="AQ49" si="820">ROUNDDOWN(IF(AD49*M49&gt;=150000,(((AD49*M49)-150000)*2.7%),0),-1)</f>
      </c>
      <c r="AR49" s="68">
        <f t="shared" ref="AR49" si="821">ROUNDDOWN(IF(AD49*N49&gt;=150000,(((AD49*N49)-150000)*2.7%),0),-1)</f>
      </c>
      <c r="AS49" s="68">
        <f t="shared" ref="AS49" si="822">ROUNDDOWN(IF(AD49*O49&gt;=150000,(((AD49*O49)-150000)*2.7%),0),-1)</f>
      </c>
      <c r="AT49" s="68">
        <f t="shared" ref="AT49" si="823">ROUNDDOWN(IF(AD49*P49&gt;=150000,(((AD49*P49)-150000)*2.7%),0),-1)</f>
      </c>
      <c r="AU49" s="68">
        <f t="shared" ref="AU49" si="824">ROUNDDOWN(IF(AD49*Q49&gt;=150000,(((AD49*Q49)-150000)*2.7%),0),-1)</f>
      </c>
      <c r="AV49" s="68">
        <f t="shared" ref="AV49" si="825">ROUNDDOWN(IF(AD49*R49&gt;=150000,(((AD49*R49)-150000)*2.7%),0),-1)</f>
      </c>
      <c r="AW49" s="68">
        <f t="shared" ref="AW49" si="826">ROUNDDOWN(IF(AD49*S49&gt;=150000,(((AD49*S49)-150000)*2.7%),0),-1)</f>
      </c>
      <c r="AX49" s="68">
        <f t="shared" ref="AX49" si="827">ROUNDDOWN(IF(AD49*T49&gt;=150000,(((AD49*T49)-150000)*2.7%),0),-1)</f>
      </c>
      <c r="AY49" s="68">
        <f t="shared" ref="AY49" si="828">ROUNDDOWN(IF(AD49*U49&gt;=150000,(((AD49*U49)-150000)*2.7%),0),-1)</f>
      </c>
      <c r="AZ49" s="68">
        <f t="shared" ref="AZ49" si="829">ROUNDDOWN(IF(AD49*V49&gt;=150000,(((AD49*V49)-150000)*2.7%),0),-1)</f>
      </c>
      <c r="BA49" s="68">
        <f t="shared" ref="BA49" si="830">ROUNDDOWN(IF(AD49*W49&gt;=150000,(((AD49*W49)-150000)*2.7%),0),-1)</f>
      </c>
      <c r="BB49" s="68">
        <f t="shared" ref="BB49" si="831">ROUNDDOWN(IF(AD49*X49&gt;=150000,(((AD49*X49)-150000)*2.7%),0),-1)</f>
      </c>
      <c r="BC49" s="68">
        <f t="shared" ref="BC49" si="832">ROUNDDOWN(IF(AD49*Y49&gt;=150000,(((AD49*Y49)-150000)*2.7%),0),-1)</f>
      </c>
      <c r="BD49" s="68">
        <f t="shared" ref="BD49" si="833">ROUNDDOWN(IF(AD49*Z49&gt;=150000,(((AD49*Z49)-150000)*2.7%),0),-1)</f>
      </c>
      <c r="BE49" s="68"/>
      <c r="BF49" s="69">
        <f>IF(AND(BH49&gt;=60,OR(MID(F49,8,1)="0",MID(F49,8,1)="0",MID(F49,8,1)="0",MID(F49,8,1)="0")),"외국인 고용 연금 제외",
  IF(OR(MID(F49,8,1)="0",MID(F49,8,1)="0",MID(F49,8,1)="0",MID(F49,8,1)="0"),"외국인 고용 제외",
  IF(BH49&gt;=65,"고용 연금 제외",
  IF(BH49&gt;=60,"연금 제외","정상"))))</f>
      </c>
      <c r="BG49" s="69">
        <f>IF(OR(MID(F49,8,1)="5",MID(F49,8,1)="6",MID(F49,8,1)="7",MID(F49,8,1)="8"),
  IF(RIGHT(F49,1)=RIGHT(13-MOD(SUM(MID(F49,1,1)*2,
MID(F49,2,1)*3,
MID(F49,3,1)*4,
MID(F49,4,1)*5,
MID(F49,5,1)*6,
MID(F49,6,1)*7,
MID(F49,8,1)*8,
MID(F49,9,1)*9,
MID(F49,10,1)*2,
MID(F49,11,1)*3,
MID(F49,12,1)*4,
MID(F49,13,1)*5),11),3),"정상","오류"),
 IF(RIGHT(F49,1)=RIGHT(11-MOD(SUM(MID(F49,1,1)*2,
  MID(F49,2,1)*3,
  MID(F49,3,1)*4,
  MID(F49,4,1)*5,
  MID(F49,5,1)*6,
  MID(F49,6,1)*7,
  MID(F49,8,1)*8,
  MID(F49,9,1)*9,
  MID(F49,10,1)*2,
  MID(F49,11,1)*3,
  MID(F49,12,1)*4,
  MID(F49,13,1)*5),11),1),"정상","오류"))</f>
      </c>
      <c r="BH49" s="1">
        <f>DATEDIF(DATE(IF(OR(MID(F49,8,1)="3",
        MID(F49,8,1)="4",
        MID(F49,8,1)="7",
        MID(F49,8,1)="8"),20,19)&amp;LEFT(F49,2),
        MID(F49,3,2),MID(F49,5,2)),TODAY(),"Y")</f>
      </c>
    </row>
    <row r="50" ht="17" customHeight="1" spans="1:60" x14ac:dyDescent="0.25">
      <c r="A50" s="70"/>
      <c r="B50" s="71"/>
      <c r="C50" s="72"/>
      <c r="D50" s="73"/>
      <c r="E50" s="74"/>
      <c r="F50" s="128"/>
      <c r="G50" s="129"/>
      <c r="H50" s="48"/>
      <c r="I50" s="130"/>
      <c r="J50" s="53"/>
      <c r="K50" s="9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80"/>
      <c r="AC50" s="48"/>
      <c r="AD50" s="81"/>
      <c r="AE50" s="82"/>
      <c r="AF50" s="83"/>
      <c r="AG50" s="84"/>
      <c r="AH50" s="84"/>
      <c r="AI50" s="85"/>
      <c r="AJ50" s="84"/>
      <c r="AK50" s="86"/>
      <c r="AL50" s="87"/>
      <c r="AM50" s="88"/>
      <c r="AN50" s="88"/>
      <c r="AO50" s="88"/>
      <c r="AP50" s="67">
        <f t="shared" ref="AP50" si="834">ROUNDDOWN(IF(AD49*L50&gt;=150000,(((AD49*L50)-150000)*2.7%),0),-1)</f>
      </c>
      <c r="AQ50" s="67">
        <f t="shared" ref="AQ50" si="835">ROUNDDOWN(IF(AD49*M50&gt;=150000,(((AD49*M50)-150000)*2.7%),0),-1)</f>
      </c>
      <c r="AR50" s="67">
        <f t="shared" ref="AR50" si="836">ROUNDDOWN(IF(AD49*N50&gt;=150000,(((AD49*N50)-150000)*2.7%),0),-1)</f>
      </c>
      <c r="AS50" s="67">
        <f t="shared" ref="AS50" si="837">ROUNDDOWN(IF(AD49*O50&gt;=150000,(((AD49*O50)-150000)*2.7%),0),-1)</f>
      </c>
      <c r="AT50" s="67">
        <f t="shared" ref="AT50" si="838">ROUNDDOWN(IF(AD49*P50&gt;=150000,(((AD49*P50)-150000)*2.7%),0),-1)</f>
      </c>
      <c r="AU50" s="67">
        <f t="shared" ref="AU50" si="839">ROUNDDOWN(IF(AD49*Q50&gt;=150000,(((AD49*Q50)-150000)*2.7%),0),-1)</f>
      </c>
      <c r="AV50" s="67">
        <f t="shared" ref="AV50" si="840">ROUNDDOWN(IF(AD49*R50&gt;=150000,(((AD49*R50)-150000)*2.7%),0),-1)</f>
      </c>
      <c r="AW50" s="67">
        <f t="shared" ref="AW50" si="841">ROUNDDOWN(IF(AD49*S50&gt;=150000,(((AD49*S50)-150000)*2.7%),0),-1)</f>
      </c>
      <c r="AX50" s="67">
        <f t="shared" ref="AX50" si="842">ROUNDDOWN(IF(AD49*T50&gt;=150000,(((AD49*T50)-150000)*2.7%),0),-1)</f>
      </c>
      <c r="AY50" s="67">
        <f t="shared" ref="AY50" si="843">ROUNDDOWN(IF(AD49*U50&gt;=150000,(((AD49*U50)-150000)*2.7%),0),-1)</f>
      </c>
      <c r="AZ50" s="67">
        <f t="shared" ref="AZ50" si="844">ROUNDDOWN(IF(AD49*V50&gt;=150000,(((AD49*V50)-150000)*2.7%),0),-1)</f>
      </c>
      <c r="BA50" s="67">
        <f t="shared" ref="BA50" si="845">ROUNDDOWN(IF(AD49*W50&gt;=150000,(((AD49*W50)-150000)*2.7%),0),-1)</f>
      </c>
      <c r="BB50" s="67">
        <f t="shared" ref="BB50" si="846">ROUNDDOWN(IF(AD49*X50&gt;=150000,(((AD49*X50)-150000)*2.7%),0),-1)</f>
      </c>
      <c r="BC50" s="67">
        <f t="shared" ref="BC50" si="847">ROUNDDOWN(IF(AD49*Y50&gt;=150000,(((AD49*Y50)-150000)*2.7%),0),-1)</f>
      </c>
      <c r="BD50" s="67">
        <f t="shared" ref="BD50" si="848">ROUNDDOWN(IF(AD49*Z50&gt;=150000,(((AD49*Z50)-150000)*2.7%),0),-1)</f>
      </c>
      <c r="BE50" s="67">
        <f t="shared" ref="BE50" si="849">ROUNDDOWN(IF(AD49*AA50&gt;=150000,(((AD49*AA50)-150000)*2.7%),0),-1)</f>
      </c>
      <c r="BF50" s="69"/>
      <c r="BG50" s="69"/>
      <c r="BH50" s="1"/>
    </row>
    <row r="51" ht="16.5" customHeight="1" spans="1:60" x14ac:dyDescent="0.25">
      <c r="A51" s="45">
        <v>22</v>
      </c>
      <c r="B51" s="46">
        <f t="shared" ref="B51" si="850">BG51</f>
      </c>
      <c r="C51" s="47">
        <f t="shared" ref="C51" si="851">BF51</f>
      </c>
      <c r="D51" s="48"/>
      <c r="E51" s="49"/>
      <c r="F51" s="118"/>
      <c r="G51" s="119"/>
      <c r="H51" s="49"/>
      <c r="I51" s="113"/>
      <c r="J51" s="53"/>
      <c r="K51" s="98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90"/>
      <c r="AB51" s="91">
        <f t="shared" ref="AB51" si="852">SUM(L51:AA52)</f>
      </c>
      <c r="AC51" s="92">
        <f t="shared" ref="AC51" si="853">COUNT(L51:AA52)</f>
      </c>
      <c r="AD51" s="59"/>
      <c r="AE51" s="60">
        <f t="shared" ref="AE51" si="854">AB51*AD51</f>
      </c>
      <c r="AF51" s="61">
        <f t="shared" ref="AF51" si="855">IF(SUM(AP51:BE52)&gt;=1000,ROUNDDOWN((SUM(AP51:BE52)),-1),0)</f>
      </c>
      <c r="AG51" s="62">
        <f t="shared" ref="AG51:AG56" si="856">ROUNDDOWN(AF51*10%,-1)</f>
      </c>
      <c r="AH51" s="62">
        <f t="shared" ref="AH51" si="857">IFERROR(IF(OR(C51="외국인 고용 연금 제외",C51="외국인 고용 제외",C51="고용 연금 제외"),0,ROUNDDOWN(AE51*0.9%,-1)),"")</f>
      </c>
      <c r="AI51" s="63">
        <f t="shared" ref="AI51" si="858">IFERROR(IF(OR(C51="외국인 고용 연금 제외",C51="고용 연금 제외",C51="연금 제외"),0,
   IF(OR(AC51&gt;=8,AE51&gt;=2200000),
    IF(AE51&gt;=5900000,ROUNDDOWN(5900000*4.5%,-1),
     IF(AE51&lt;=370000,ROUNDDOWN(370000*4.5%,-1),ROUNDDOWN(ROUNDDOWN(AE51,-3)*4.5%,-1))),0)),"")</f>
      </c>
      <c r="AJ51" s="62">
        <f t="shared" ref="AJ51:AJ56" si="859">IF(AC51&gt;=8,IF(AE51&gt;=104536481,ROUNDDOWN(104536481*3.545%,-1),IF(AE51&lt;=279256,ROUNDDOWN(279256*3.545%,-1),ROUNDDOWN(AE51*3.545%,-1))),0)</f>
      </c>
      <c r="AK51" s="64">
        <f>ROUNDDOWN(AJ51*12.95%,-1)</f>
      </c>
      <c r="AL51" s="87">
        <f t="shared" ref="AL51" si="860">SUM(AF51:AK52)</f>
      </c>
      <c r="AM51" s="88"/>
      <c r="AN51" s="66">
        <f t="shared" ref="AN51" si="861">IFERROR(AE51-AL51-AM51,"")</f>
      </c>
      <c r="AO51" s="88"/>
      <c r="AP51" s="67">
        <f t="shared" ref="AP51" si="862">ROUNDDOWN(IF(AD51*L51&gt;=150000,(((AD51*L51)-150000)*2.7%),0),-1)</f>
      </c>
      <c r="AQ51" s="68">
        <f t="shared" ref="AQ51" si="863">ROUNDDOWN(IF(AD51*M51&gt;=150000,(((AD51*M51)-150000)*2.7%),0),-1)</f>
      </c>
      <c r="AR51" s="68">
        <f t="shared" ref="AR51" si="864">ROUNDDOWN(IF(AD51*N51&gt;=150000,(((AD51*N51)-150000)*2.7%),0),-1)</f>
      </c>
      <c r="AS51" s="68">
        <f t="shared" ref="AS51" si="865">ROUNDDOWN(IF(AD51*O51&gt;=150000,(((AD51*O51)-150000)*2.7%),0),-1)</f>
      </c>
      <c r="AT51" s="68">
        <f t="shared" ref="AT51" si="866">ROUNDDOWN(IF(AD51*P51&gt;=150000,(((AD51*P51)-150000)*2.7%),0),-1)</f>
      </c>
      <c r="AU51" s="68">
        <f t="shared" ref="AU51" si="867">ROUNDDOWN(IF(AD51*Q51&gt;=150000,(((AD51*Q51)-150000)*2.7%),0),-1)</f>
      </c>
      <c r="AV51" s="68">
        <f t="shared" ref="AV51" si="868">ROUNDDOWN(IF(AD51*R51&gt;=150000,(((AD51*R51)-150000)*2.7%),0),-1)</f>
      </c>
      <c r="AW51" s="68">
        <f t="shared" ref="AW51" si="869">ROUNDDOWN(IF(AD51*S51&gt;=150000,(((AD51*S51)-150000)*2.7%),0),-1)</f>
      </c>
      <c r="AX51" s="68">
        <f t="shared" ref="AX51" si="870">ROUNDDOWN(IF(AD51*T51&gt;=150000,(((AD51*T51)-150000)*2.7%),0),-1)</f>
      </c>
      <c r="AY51" s="68">
        <f t="shared" ref="AY51" si="871">ROUNDDOWN(IF(AD51*U51&gt;=150000,(((AD51*U51)-150000)*2.7%),0),-1)</f>
      </c>
      <c r="AZ51" s="68">
        <f t="shared" ref="AZ51" si="872">ROUNDDOWN(IF(AD51*V51&gt;=150000,(((AD51*V51)-150000)*2.7%),0),-1)</f>
      </c>
      <c r="BA51" s="68">
        <f t="shared" ref="BA51" si="873">ROUNDDOWN(IF(AD51*W51&gt;=150000,(((AD51*W51)-150000)*2.7%),0),-1)</f>
      </c>
      <c r="BB51" s="68">
        <f t="shared" ref="BB51" si="874">ROUNDDOWN(IF(AD51*X51&gt;=150000,(((AD51*X51)-150000)*2.7%),0),-1)</f>
      </c>
      <c r="BC51" s="68">
        <f t="shared" ref="BC51" si="875">ROUNDDOWN(IF(AD51*Y51&gt;=150000,(((AD51*Y51)-150000)*2.7%),0),-1)</f>
      </c>
      <c r="BD51" s="68">
        <f t="shared" ref="BD51" si="876">ROUNDDOWN(IF(AD51*Z51&gt;=150000,(((AD51*Z51)-150000)*2.7%),0),-1)</f>
      </c>
      <c r="BE51" s="68"/>
      <c r="BF51" s="69">
        <f>IF(AND(BH51&gt;=60,OR(MID(F51,8,1)="0",MID(F51,8,1)="0",MID(F51,8,1)="0",MID(F51,8,1)="0")),"외국인 고용 연금 제외",
  IF(OR(MID(F51,8,1)="0",MID(F51,8,1)="0",MID(F51,8,1)="0",MID(F51,8,1)="0"),"외국인 고용 제외",
  IF(BH51&gt;=65,"고용 연금 제외",
  IF(BH51&gt;=60,"연금 제외","정상"))))</f>
      </c>
      <c r="BG51" s="69">
        <f>IF(OR(MID(F51,8,1)="5",MID(F51,8,1)="6",MID(F51,8,1)="7",MID(F51,8,1)="8"),
  IF(RIGHT(F51,1)=RIGHT(13-MOD(SUM(MID(F51,1,1)*2,
MID(F51,2,1)*3,
MID(F51,3,1)*4,
MID(F51,4,1)*5,
MID(F51,5,1)*6,
MID(F51,6,1)*7,
MID(F51,8,1)*8,
MID(F51,9,1)*9,
MID(F51,10,1)*2,
MID(F51,11,1)*3,
MID(F51,12,1)*4,
MID(F51,13,1)*5),11),3),"정상","오류"),
 IF(RIGHT(F51,1)=RIGHT(11-MOD(SUM(MID(F51,1,1)*2,
  MID(F51,2,1)*3,
  MID(F51,3,1)*4,
  MID(F51,4,1)*5,
  MID(F51,5,1)*6,
  MID(F51,6,1)*7,
  MID(F51,8,1)*8,
  MID(F51,9,1)*9,
  MID(F51,10,1)*2,
  MID(F51,11,1)*3,
  MID(F51,12,1)*4,
  MID(F51,13,1)*5),11),1),"정상","오류"))</f>
      </c>
      <c r="BH51" s="1">
        <f>DATEDIF(DATE(IF(OR(MID(F51,8,1)="3",
        MID(F51,8,1)="4",
        MID(F51,8,1)="7",
        MID(F51,8,1)="8"),20,19)&amp;LEFT(F51,2),
        MID(F51,3,2),MID(F51,5,2)),TODAY(),"Y")</f>
      </c>
    </row>
    <row r="52" ht="17" customHeight="1" spans="1:60" x14ac:dyDescent="0.25">
      <c r="A52" s="70"/>
      <c r="B52" s="71"/>
      <c r="C52" s="72"/>
      <c r="D52" s="73"/>
      <c r="E52" s="74"/>
      <c r="F52" s="122"/>
      <c r="G52" s="119"/>
      <c r="H52" s="74"/>
      <c r="I52" s="114"/>
      <c r="J52" s="53"/>
      <c r="K52" s="9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80"/>
      <c r="AC52" s="48"/>
      <c r="AD52" s="81"/>
      <c r="AE52" s="82"/>
      <c r="AF52" s="83"/>
      <c r="AG52" s="84"/>
      <c r="AH52" s="84"/>
      <c r="AI52" s="85"/>
      <c r="AJ52" s="84"/>
      <c r="AK52" s="86"/>
      <c r="AL52" s="87"/>
      <c r="AM52" s="88"/>
      <c r="AN52" s="88"/>
      <c r="AO52" s="88"/>
      <c r="AP52" s="67">
        <f t="shared" ref="AP52" si="877">ROUNDDOWN(IF(AD51*L52&gt;=150000,(((AD51*L52)-150000)*2.7%),0),-1)</f>
      </c>
      <c r="AQ52" s="67">
        <f t="shared" ref="AQ52" si="878">ROUNDDOWN(IF(AD51*M52&gt;=150000,(((AD51*M52)-150000)*2.7%),0),-1)</f>
      </c>
      <c r="AR52" s="67">
        <f t="shared" ref="AR52" si="879">ROUNDDOWN(IF(AD51*N52&gt;=150000,(((AD51*N52)-150000)*2.7%),0),-1)</f>
      </c>
      <c r="AS52" s="67">
        <f t="shared" ref="AS52" si="880">ROUNDDOWN(IF(AD51*O52&gt;=150000,(((AD51*O52)-150000)*2.7%),0),-1)</f>
      </c>
      <c r="AT52" s="67">
        <f t="shared" ref="AT52" si="881">ROUNDDOWN(IF(AD51*P52&gt;=150000,(((AD51*P52)-150000)*2.7%),0),-1)</f>
      </c>
      <c r="AU52" s="67">
        <f t="shared" ref="AU52" si="882">ROUNDDOWN(IF(AD51*Q52&gt;=150000,(((AD51*Q52)-150000)*2.7%),0),-1)</f>
      </c>
      <c r="AV52" s="67">
        <f t="shared" ref="AV52" si="883">ROUNDDOWN(IF(AD51*R52&gt;=150000,(((AD51*R52)-150000)*2.7%),0),-1)</f>
      </c>
      <c r="AW52" s="67">
        <f t="shared" ref="AW52" si="884">ROUNDDOWN(IF(AD51*S52&gt;=150000,(((AD51*S52)-150000)*2.7%),0),-1)</f>
      </c>
      <c r="AX52" s="67">
        <f t="shared" ref="AX52" si="885">ROUNDDOWN(IF(AD51*T52&gt;=150000,(((AD51*T52)-150000)*2.7%),0),-1)</f>
      </c>
      <c r="AY52" s="67">
        <f t="shared" ref="AY52" si="886">ROUNDDOWN(IF(AD51*U52&gt;=150000,(((AD51*U52)-150000)*2.7%),0),-1)</f>
      </c>
      <c r="AZ52" s="67">
        <f t="shared" ref="AZ52" si="887">ROUNDDOWN(IF(AD51*V52&gt;=150000,(((AD51*V52)-150000)*2.7%),0),-1)</f>
      </c>
      <c r="BA52" s="67">
        <f t="shared" ref="BA52" si="888">ROUNDDOWN(IF(AD51*W52&gt;=150000,(((AD51*W52)-150000)*2.7%),0),-1)</f>
      </c>
      <c r="BB52" s="67">
        <f t="shared" ref="BB52" si="889">ROUNDDOWN(IF(AD51*X52&gt;=150000,(((AD51*X52)-150000)*2.7%),0),-1)</f>
      </c>
      <c r="BC52" s="67">
        <f t="shared" ref="BC52" si="890">ROUNDDOWN(IF(AD51*Y52&gt;=150000,(((AD51*Y52)-150000)*2.7%),0),-1)</f>
      </c>
      <c r="BD52" s="67">
        <f t="shared" ref="BD52" si="891">ROUNDDOWN(IF(AD51*Z52&gt;=150000,(((AD51*Z52)-150000)*2.7%),0),-1)</f>
      </c>
      <c r="BE52" s="67">
        <f t="shared" ref="BE52" si="892">ROUNDDOWN(IF(AD51*AA52&gt;=150000,(((AD51*AA52)-150000)*2.7%),0),-1)</f>
      </c>
      <c r="BF52" s="69"/>
      <c r="BG52" s="69"/>
      <c r="BH52" s="1"/>
    </row>
    <row r="53" ht="16.5" customHeight="1" spans="1:60" x14ac:dyDescent="0.25">
      <c r="A53" s="70">
        <v>23</v>
      </c>
      <c r="B53" s="46">
        <f t="shared" ref="B53" si="893">BG53</f>
      </c>
      <c r="C53" s="47">
        <f t="shared" ref="C53" si="894">BF53</f>
      </c>
      <c r="D53" s="48"/>
      <c r="E53" s="131"/>
      <c r="F53" s="118"/>
      <c r="G53" s="119"/>
      <c r="H53" s="120"/>
      <c r="I53" s="121"/>
      <c r="J53" s="132"/>
      <c r="K53" s="98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90"/>
      <c r="AB53" s="91">
        <f t="shared" ref="AB53" si="895">SUM(L53:AA54)</f>
      </c>
      <c r="AC53" s="92">
        <f t="shared" ref="AC53" si="896">COUNT(L53:AA54)</f>
      </c>
      <c r="AD53" s="59"/>
      <c r="AE53" s="60">
        <f t="shared" ref="AE53" si="897">AB53*AD53</f>
      </c>
      <c r="AF53" s="61">
        <f t="shared" ref="AF53" si="898">IF(SUM(AP53:BE54)&gt;=1000,ROUNDDOWN((SUM(AP53:BE54)),-1),0)</f>
      </c>
      <c r="AG53" s="62">
        <f t="shared" ref="AG53:AG56" si="899">ROUNDDOWN(AF53*10%,-1)</f>
      </c>
      <c r="AH53" s="62">
        <f t="shared" ref="AH53" si="900">IFERROR(IF(OR(C53="외국인 고용 연금 제외",C53="외국인 고용 제외",C53="고용 연금 제외"),0,ROUNDDOWN(AE53*0.9%,-1)),"")</f>
      </c>
      <c r="AI53" s="63">
        <f t="shared" ref="AI53" si="901">IFERROR(IF(OR(C53="외국인 고용 연금 제외",C53="고용 연금 제외",C53="연금 제외"),0,
   IF(OR(AC53&gt;=8,AE53&gt;=2200000),
    IF(AE53&gt;=5900000,ROUNDDOWN(5900000*4.5%,-1),
     IF(AE53&lt;=370000,ROUNDDOWN(370000*4.5%,-1),ROUNDDOWN(ROUNDDOWN(AE53,-3)*4.5%,-1))),0)),"")</f>
      </c>
      <c r="AJ53" s="62">
        <f t="shared" ref="AJ53:AJ56" si="902">IF(AC53&gt;=8,IF(AE53&gt;=104536481,ROUNDDOWN(104536481*3.545%,-1),IF(AE53&lt;=279256,ROUNDDOWN(279256*3.545%,-1),ROUNDDOWN(AE53*3.545%,-1))),0)</f>
      </c>
      <c r="AK53" s="64">
        <f>ROUNDDOWN(AJ53*12.95%,-1)</f>
      </c>
      <c r="AL53" s="87">
        <f t="shared" ref="AL53" si="903">SUM(AF53:AK54)</f>
      </c>
      <c r="AM53" s="88"/>
      <c r="AN53" s="66">
        <f t="shared" ref="AN53" si="904">IFERROR(AE53-AL53-AM53,"")</f>
      </c>
      <c r="AO53" s="88"/>
      <c r="AP53" s="67">
        <f t="shared" ref="AP53" si="905">ROUNDDOWN(IF(AD53*L53&gt;=150000,(((AD53*L53)-150000)*2.7%),0),-1)</f>
      </c>
      <c r="AQ53" s="68">
        <f t="shared" ref="AQ53" si="906">ROUNDDOWN(IF(AD53*M53&gt;=150000,(((AD53*M53)-150000)*2.7%),0),-1)</f>
      </c>
      <c r="AR53" s="68">
        <f t="shared" ref="AR53" si="907">ROUNDDOWN(IF(AD53*N53&gt;=150000,(((AD53*N53)-150000)*2.7%),0),-1)</f>
      </c>
      <c r="AS53" s="68">
        <f t="shared" ref="AS53" si="908">ROUNDDOWN(IF(AD53*O53&gt;=150000,(((AD53*O53)-150000)*2.7%),0),-1)</f>
      </c>
      <c r="AT53" s="68">
        <f t="shared" ref="AT53" si="909">ROUNDDOWN(IF(AD53*P53&gt;=150000,(((AD53*P53)-150000)*2.7%),0),-1)</f>
      </c>
      <c r="AU53" s="68">
        <f t="shared" ref="AU53" si="910">ROUNDDOWN(IF(AD53*Q53&gt;=150000,(((AD53*Q53)-150000)*2.7%),0),-1)</f>
      </c>
      <c r="AV53" s="68">
        <f t="shared" ref="AV53" si="911">ROUNDDOWN(IF(AD53*R53&gt;=150000,(((AD53*R53)-150000)*2.7%),0),-1)</f>
      </c>
      <c r="AW53" s="68">
        <f t="shared" ref="AW53" si="912">ROUNDDOWN(IF(AD53*S53&gt;=150000,(((AD53*S53)-150000)*2.7%),0),-1)</f>
      </c>
      <c r="AX53" s="68">
        <f t="shared" ref="AX53" si="913">ROUNDDOWN(IF(AD53*T53&gt;=150000,(((AD53*T53)-150000)*2.7%),0),-1)</f>
      </c>
      <c r="AY53" s="68">
        <f t="shared" ref="AY53" si="914">ROUNDDOWN(IF(AD53*U53&gt;=150000,(((AD53*U53)-150000)*2.7%),0),-1)</f>
      </c>
      <c r="AZ53" s="68">
        <f t="shared" ref="AZ53" si="915">ROUNDDOWN(IF(AD53*V53&gt;=150000,(((AD53*V53)-150000)*2.7%),0),-1)</f>
      </c>
      <c r="BA53" s="68">
        <f t="shared" ref="BA53" si="916">ROUNDDOWN(IF(AD53*W53&gt;=150000,(((AD53*W53)-150000)*2.7%),0),-1)</f>
      </c>
      <c r="BB53" s="68">
        <f t="shared" ref="BB53" si="917">ROUNDDOWN(IF(AD53*X53&gt;=150000,(((AD53*X53)-150000)*2.7%),0),-1)</f>
      </c>
      <c r="BC53" s="68">
        <f t="shared" ref="BC53" si="918">ROUNDDOWN(IF(AD53*Y53&gt;=150000,(((AD53*Y53)-150000)*2.7%),0),-1)</f>
      </c>
      <c r="BD53" s="68">
        <f t="shared" ref="BD53" si="919">ROUNDDOWN(IF(AD53*Z53&gt;=150000,(((AD53*Z53)-150000)*2.7%),0),-1)</f>
      </c>
      <c r="BE53" s="68"/>
      <c r="BF53" s="69">
        <f>IF(AND(BH53&gt;=60,OR(MID(F53,8,1)="0",MID(F53,8,1)="0",MID(F53,8,1)="0",MID(F53,8,1)="0")),"외국인 고용 연금 제외",
  IF(OR(MID(F53,8,1)="0",MID(F53,8,1)="0",MID(F53,8,1)="0",MID(F53,8,1)="0"),"외국인 고용 제외",
  IF(BH53&gt;=65,"고용 연금 제외",
  IF(BH53&gt;=60,"연금 제외","정상"))))</f>
      </c>
      <c r="BG53" s="69">
        <f>IF(OR(MID(F53,8,1)="5",MID(F53,8,1)="6",MID(F53,8,1)="7",MID(F53,8,1)="8"),
  IF(RIGHT(F53,1)=RIGHT(13-MOD(SUM(MID(F53,1,1)*2,
MID(F53,2,1)*3,
MID(F53,3,1)*4,
MID(F53,4,1)*5,
MID(F53,5,1)*6,
MID(F53,6,1)*7,
MID(F53,8,1)*8,
MID(F53,9,1)*9,
MID(F53,10,1)*2,
MID(F53,11,1)*3,
MID(F53,12,1)*4,
MID(F53,13,1)*5),11),3),"정상","오류"),
 IF(RIGHT(F53,1)=RIGHT(11-MOD(SUM(MID(F53,1,1)*2,
  MID(F53,2,1)*3,
  MID(F53,3,1)*4,
  MID(F53,4,1)*5,
  MID(F53,5,1)*6,
  MID(F53,6,1)*7,
  MID(F53,8,1)*8,
  MID(F53,9,1)*9,
  MID(F53,10,1)*2,
  MID(F53,11,1)*3,
  MID(F53,12,1)*4,
  MID(F53,13,1)*5),11),1),"정상","오류"))</f>
      </c>
      <c r="BH53" s="1">
        <f>DATEDIF(DATE(IF(OR(MID(F53,8,1)="3",
        MID(F53,8,1)="4",
        MID(F53,8,1)="7",
        MID(F53,8,1)="8"),20,19)&amp;LEFT(F53,2),
        MID(F53,3,2),MID(F53,5,2)),TODAY(),"Y")</f>
      </c>
    </row>
    <row r="54" ht="17" customHeight="1" spans="1:60" x14ac:dyDescent="0.25">
      <c r="A54" s="70"/>
      <c r="B54" s="71"/>
      <c r="C54" s="72"/>
      <c r="D54" s="73"/>
      <c r="E54" s="131"/>
      <c r="F54" s="122"/>
      <c r="G54" s="119"/>
      <c r="H54" s="123"/>
      <c r="I54" s="124"/>
      <c r="J54" s="133"/>
      <c r="K54" s="9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80"/>
      <c r="AC54" s="48"/>
      <c r="AD54" s="81"/>
      <c r="AE54" s="82"/>
      <c r="AF54" s="83"/>
      <c r="AG54" s="84"/>
      <c r="AH54" s="84"/>
      <c r="AI54" s="85"/>
      <c r="AJ54" s="84"/>
      <c r="AK54" s="86"/>
      <c r="AL54" s="87"/>
      <c r="AM54" s="88"/>
      <c r="AN54" s="88"/>
      <c r="AO54" s="88"/>
      <c r="AP54" s="67">
        <f t="shared" ref="AP54" si="920">ROUNDDOWN(IF(AD53*L54&gt;=150000,(((AD53*L54)-150000)*2.7%),0),-1)</f>
      </c>
      <c r="AQ54" s="67">
        <f t="shared" ref="AQ54" si="921">ROUNDDOWN(IF(AD53*M54&gt;=150000,(((AD53*M54)-150000)*2.7%),0),-1)</f>
      </c>
      <c r="AR54" s="67">
        <f t="shared" ref="AR54" si="922">ROUNDDOWN(IF(AD53*N54&gt;=150000,(((AD53*N54)-150000)*2.7%),0),-1)</f>
      </c>
      <c r="AS54" s="67">
        <f t="shared" ref="AS54" si="923">ROUNDDOWN(IF(AD53*O54&gt;=150000,(((AD53*O54)-150000)*2.7%),0),-1)</f>
      </c>
      <c r="AT54" s="67">
        <f t="shared" ref="AT54" si="924">ROUNDDOWN(IF(AD53*P54&gt;=150000,(((AD53*P54)-150000)*2.7%),0),-1)</f>
      </c>
      <c r="AU54" s="67">
        <f t="shared" ref="AU54" si="925">ROUNDDOWN(IF(AD53*Q54&gt;=150000,(((AD53*Q54)-150000)*2.7%),0),-1)</f>
      </c>
      <c r="AV54" s="67">
        <f t="shared" ref="AV54" si="926">ROUNDDOWN(IF(AD53*R54&gt;=150000,(((AD53*R54)-150000)*2.7%),0),-1)</f>
      </c>
      <c r="AW54" s="67">
        <f t="shared" ref="AW54" si="927">ROUNDDOWN(IF(AD53*S54&gt;=150000,(((AD53*S54)-150000)*2.7%),0),-1)</f>
      </c>
      <c r="AX54" s="67">
        <f t="shared" ref="AX54" si="928">ROUNDDOWN(IF(AD53*T54&gt;=150000,(((AD53*T54)-150000)*2.7%),0),-1)</f>
      </c>
      <c r="AY54" s="67">
        <f t="shared" ref="AY54" si="929">ROUNDDOWN(IF(AD53*U54&gt;=150000,(((AD53*U54)-150000)*2.7%),0),-1)</f>
      </c>
      <c r="AZ54" s="67">
        <f t="shared" ref="AZ54" si="930">ROUNDDOWN(IF(AD53*V54&gt;=150000,(((AD53*V54)-150000)*2.7%),0),-1)</f>
      </c>
      <c r="BA54" s="67">
        <f t="shared" ref="BA54" si="931">ROUNDDOWN(IF(AD53*W54&gt;=150000,(((AD53*W54)-150000)*2.7%),0),-1)</f>
      </c>
      <c r="BB54" s="67">
        <f t="shared" ref="BB54" si="932">ROUNDDOWN(IF(AD53*X54&gt;=150000,(((AD53*X54)-150000)*2.7%),0),-1)</f>
      </c>
      <c r="BC54" s="67">
        <f t="shared" ref="BC54" si="933">ROUNDDOWN(IF(AD53*Y54&gt;=150000,(((AD53*Y54)-150000)*2.7%),0),-1)</f>
      </c>
      <c r="BD54" s="67">
        <f t="shared" ref="BD54" si="934">ROUNDDOWN(IF(AD53*Z54&gt;=150000,(((AD53*Z54)-150000)*2.7%),0),-1)</f>
      </c>
      <c r="BE54" s="67">
        <f t="shared" ref="BE54" si="935">ROUNDDOWN(IF(AD53*AA54&gt;=150000,(((AD53*AA54)-150000)*2.7%),0),-1)</f>
      </c>
      <c r="BF54" s="69"/>
      <c r="BG54" s="69"/>
      <c r="BH54" s="1"/>
    </row>
    <row r="55" ht="16.5" customHeight="1" spans="1:60" x14ac:dyDescent="0.25">
      <c r="A55" s="45">
        <v>24</v>
      </c>
      <c r="B55" s="46">
        <f t="shared" ref="B55" si="936">BG55</f>
      </c>
      <c r="C55" s="47">
        <f t="shared" ref="C55" si="937">BF55</f>
      </c>
      <c r="D55" s="48"/>
      <c r="E55" s="131"/>
      <c r="F55" s="134"/>
      <c r="G55" s="119"/>
      <c r="H55" s="120"/>
      <c r="I55" s="121"/>
      <c r="J55" s="132"/>
      <c r="K55" s="98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90"/>
      <c r="AB55" s="91">
        <f t="shared" ref="AB55" si="938">SUM(L55:AA56)</f>
      </c>
      <c r="AC55" s="92">
        <f t="shared" ref="AC55" si="939">COUNT(L55:AA56)</f>
      </c>
      <c r="AD55" s="59"/>
      <c r="AE55" s="60">
        <f t="shared" ref="AE55" si="940">AB55*AD55</f>
      </c>
      <c r="AF55" s="61">
        <f t="shared" ref="AF55" si="941">IF(SUM(AP55:BE56)&gt;=1000,ROUNDDOWN((SUM(AP55:BE56)),-1),0)</f>
      </c>
      <c r="AG55" s="62">
        <f t="shared" ref="AG55" si="942">ROUNDDOWN(AF55*10%,-1)</f>
      </c>
      <c r="AH55" s="62">
        <f t="shared" ref="AH55" si="943">IFERROR(IF(OR(C55="외국인 고용 연금 제외",C55="외국인 고용 제외",C55="고용 연금 제외"),0,ROUNDDOWN(AE55*0.9%,-1)),"")</f>
      </c>
      <c r="AI55" s="63">
        <f t="shared" ref="AI55" si="944">IFERROR(IF(OR(C55="외국인 고용 연금 제외",C55="고용 연금 제외",C55="연금 제외"),0,
   IF(OR(AC55&gt;=8,AE55&gt;=2200000),
    IF(AE55&gt;=5900000,ROUNDDOWN(5900000*4.5%,-1),
     IF(AE55&lt;=370000,ROUNDDOWN(370000*4.5%,-1),ROUNDDOWN(ROUNDDOWN(AE55,-3)*4.5%,-1))),0)),"")</f>
      </c>
      <c r="AJ55" s="62">
        <f t="shared" ref="AJ55" si="945">IF(AC55&gt;=8,IF(AE55&gt;=104536481,ROUNDDOWN(104536481*3.545%,-1),IF(AE55&lt;=279256,ROUNDDOWN(279256*3.545%,-1),ROUNDDOWN(AE55*3.545%,-1))),0)</f>
      </c>
      <c r="AK55" s="64">
        <f>ROUNDDOWN(AJ55*12.95%,-1)</f>
      </c>
      <c r="AL55" s="87">
        <f t="shared" ref="AL55" si="946">SUM(AF55:AK56)</f>
      </c>
      <c r="AM55" s="88"/>
      <c r="AN55" s="66">
        <f t="shared" ref="AN55" si="947">IFERROR(AE55-AL55-AM55,"")</f>
      </c>
      <c r="AO55" s="88"/>
      <c r="AP55" s="67">
        <f t="shared" ref="AP55" si="948">ROUNDDOWN(IF(AD55*L55&gt;=150000,(((AD55*L55)-150000)*2.7%),0),-1)</f>
      </c>
      <c r="AQ55" s="68">
        <f t="shared" ref="AQ55" si="949">ROUNDDOWN(IF(AD55*M55&gt;=150000,(((AD55*M55)-150000)*2.7%),0),-1)</f>
      </c>
      <c r="AR55" s="68">
        <f t="shared" ref="AR55" si="950">ROUNDDOWN(IF(AD55*N55&gt;=150000,(((AD55*N55)-150000)*2.7%),0),-1)</f>
      </c>
      <c r="AS55" s="68">
        <f t="shared" ref="AS55" si="951">ROUNDDOWN(IF(AD55*O55&gt;=150000,(((AD55*O55)-150000)*2.7%),0),-1)</f>
      </c>
      <c r="AT55" s="68">
        <f t="shared" ref="AT55" si="952">ROUNDDOWN(IF(AD55*P55&gt;=150000,(((AD55*P55)-150000)*2.7%),0),-1)</f>
      </c>
      <c r="AU55" s="68">
        <f t="shared" ref="AU55" si="953">ROUNDDOWN(IF(AD55*Q55&gt;=150000,(((AD55*Q55)-150000)*2.7%),0),-1)</f>
      </c>
      <c r="AV55" s="68">
        <f t="shared" ref="AV55" si="954">ROUNDDOWN(IF(AD55*R55&gt;=150000,(((AD55*R55)-150000)*2.7%),0),-1)</f>
      </c>
      <c r="AW55" s="68">
        <f t="shared" ref="AW55" si="955">ROUNDDOWN(IF(AD55*S55&gt;=150000,(((AD55*S55)-150000)*2.7%),0),-1)</f>
      </c>
      <c r="AX55" s="68">
        <f t="shared" ref="AX55" si="956">ROUNDDOWN(IF(AD55*T55&gt;=150000,(((AD55*T55)-150000)*2.7%),0),-1)</f>
      </c>
      <c r="AY55" s="68">
        <f t="shared" ref="AY55" si="957">ROUNDDOWN(IF(AD55*U55&gt;=150000,(((AD55*U55)-150000)*2.7%),0),-1)</f>
      </c>
      <c r="AZ55" s="68">
        <f t="shared" ref="AZ55" si="958">ROUNDDOWN(IF(AD55*V55&gt;=150000,(((AD55*V55)-150000)*2.7%),0),-1)</f>
      </c>
      <c r="BA55" s="68">
        <f t="shared" ref="BA55" si="959">ROUNDDOWN(IF(AD55*W55&gt;=150000,(((AD55*W55)-150000)*2.7%),0),-1)</f>
      </c>
      <c r="BB55" s="68">
        <f t="shared" ref="BB55" si="960">ROUNDDOWN(IF(AD55*X55&gt;=150000,(((AD55*X55)-150000)*2.7%),0),-1)</f>
      </c>
      <c r="BC55" s="68">
        <f t="shared" ref="BC55" si="961">ROUNDDOWN(IF(AD55*Y55&gt;=150000,(((AD55*Y55)-150000)*2.7%),0),-1)</f>
      </c>
      <c r="BD55" s="68">
        <f t="shared" ref="BD55" si="962">ROUNDDOWN(IF(AD55*Z55&gt;=150000,(((AD55*Z55)-150000)*2.7%),0),-1)</f>
      </c>
      <c r="BE55" s="68"/>
      <c r="BF55" s="69">
        <f>IF(AND(BH55&gt;=60,OR(MID(F55,8,1)="0",MID(F55,8,1)="0",MID(F55,8,1)="0",MID(F55,8,1)="0")),"외국인 고용 연금 제외",
  IF(OR(MID(F55,8,1)="0",MID(F55,8,1)="0",MID(F55,8,1)="0",MID(F55,8,1)="0"),"외국인 고용 제외",
  IF(BH55&gt;=65,"고용 연금 제외",
  IF(BH55&gt;=60,"연금 제외","정상"))))</f>
      </c>
      <c r="BG55" s="69">
        <f>IF(OR(MID(F55,8,1)="5",MID(F55,8,1)="6",MID(F55,8,1)="7",MID(F55,8,1)="8"),
  IF(RIGHT(F55,1)=RIGHT(13-MOD(SUM(MID(F55,1,1)*2,
MID(F55,2,1)*3,
MID(F55,3,1)*4,
MID(F55,4,1)*5,
MID(F55,5,1)*6,
MID(F55,6,1)*7,
MID(F55,8,1)*8,
MID(F55,9,1)*9,
MID(F55,10,1)*2,
MID(F55,11,1)*3,
MID(F55,12,1)*4,
MID(F55,13,1)*5),11),3),"정상","오류"),
 IF(RIGHT(F55,1)=RIGHT(11-MOD(SUM(MID(F55,1,1)*2,
  MID(F55,2,1)*3,
  MID(F55,3,1)*4,
  MID(F55,4,1)*5,
  MID(F55,5,1)*6,
  MID(F55,6,1)*7,
  MID(F55,8,1)*8,
  MID(F55,9,1)*9,
  MID(F55,10,1)*2,
  MID(F55,11,1)*3,
  MID(F55,12,1)*4,
  MID(F55,13,1)*5),11),1),"정상","오류"))</f>
      </c>
      <c r="BH55" s="1">
        <f>DATEDIF(DATE(IF(OR(MID(F55,8,1)="3",
        MID(F55,8,1)="4",
        MID(F55,8,1)="7",
        MID(F55,8,1)="8"),20,19)&amp;LEFT(F55,2),
        MID(F55,3,2),MID(F55,5,2)),TODAY(),"Y")</f>
      </c>
    </row>
    <row r="56" ht="17" customHeight="1" spans="1:60" x14ac:dyDescent="0.25">
      <c r="A56" s="70"/>
      <c r="B56" s="71"/>
      <c r="C56" s="72"/>
      <c r="D56" s="73"/>
      <c r="E56" s="131"/>
      <c r="F56" s="134"/>
      <c r="G56" s="119"/>
      <c r="H56" s="123"/>
      <c r="I56" s="124"/>
      <c r="J56" s="133"/>
      <c r="K56" s="9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80"/>
      <c r="AC56" s="48"/>
      <c r="AD56" s="81"/>
      <c r="AE56" s="82"/>
      <c r="AF56" s="83"/>
      <c r="AG56" s="84"/>
      <c r="AH56" s="84"/>
      <c r="AI56" s="85"/>
      <c r="AJ56" s="84"/>
      <c r="AK56" s="86"/>
      <c r="AL56" s="87"/>
      <c r="AM56" s="88"/>
      <c r="AN56" s="88"/>
      <c r="AO56" s="88"/>
      <c r="AP56" s="67">
        <f t="shared" ref="AP56" si="963">ROUNDDOWN(IF(AD55*L56&gt;=150000,(((AD55*L56)-150000)*2.7%),0),-1)</f>
      </c>
      <c r="AQ56" s="67">
        <f t="shared" ref="AQ56" si="964">ROUNDDOWN(IF(AD55*M56&gt;=150000,(((AD55*M56)-150000)*2.7%),0),-1)</f>
      </c>
      <c r="AR56" s="67">
        <f t="shared" ref="AR56" si="965">ROUNDDOWN(IF(AD55*N56&gt;=150000,(((AD55*N56)-150000)*2.7%),0),-1)</f>
      </c>
      <c r="AS56" s="67">
        <f t="shared" ref="AS56" si="966">ROUNDDOWN(IF(AD55*O56&gt;=150000,(((AD55*O56)-150000)*2.7%),0),-1)</f>
      </c>
      <c r="AT56" s="67">
        <f t="shared" ref="AT56" si="967">ROUNDDOWN(IF(AD55*P56&gt;=150000,(((AD55*P56)-150000)*2.7%),0),-1)</f>
      </c>
      <c r="AU56" s="67">
        <f t="shared" ref="AU56" si="968">ROUNDDOWN(IF(AD55*Q56&gt;=150000,(((AD55*Q56)-150000)*2.7%),0),-1)</f>
      </c>
      <c r="AV56" s="67">
        <f t="shared" ref="AV56" si="969">ROUNDDOWN(IF(AD55*R56&gt;=150000,(((AD55*R56)-150000)*2.7%),0),-1)</f>
      </c>
      <c r="AW56" s="67">
        <f t="shared" ref="AW56" si="970">ROUNDDOWN(IF(AD55*S56&gt;=150000,(((AD55*S56)-150000)*2.7%),0),-1)</f>
      </c>
      <c r="AX56" s="67">
        <f t="shared" ref="AX56" si="971">ROUNDDOWN(IF(AD55*T56&gt;=150000,(((AD55*T56)-150000)*2.7%),0),-1)</f>
      </c>
      <c r="AY56" s="67">
        <f t="shared" ref="AY56" si="972">ROUNDDOWN(IF(AD55*U56&gt;=150000,(((AD55*U56)-150000)*2.7%),0),-1)</f>
      </c>
      <c r="AZ56" s="67">
        <f t="shared" ref="AZ56" si="973">ROUNDDOWN(IF(AD55*V56&gt;=150000,(((AD55*V56)-150000)*2.7%),0),-1)</f>
      </c>
      <c r="BA56" s="67">
        <f t="shared" ref="BA56" si="974">ROUNDDOWN(IF(AD55*W56&gt;=150000,(((AD55*W56)-150000)*2.7%),0),-1)</f>
      </c>
      <c r="BB56" s="67">
        <f t="shared" ref="BB56" si="975">ROUNDDOWN(IF(AD55*X56&gt;=150000,(((AD55*X56)-150000)*2.7%),0),-1)</f>
      </c>
      <c r="BC56" s="67">
        <f t="shared" ref="BC56" si="976">ROUNDDOWN(IF(AD55*Y56&gt;=150000,(((AD55*Y56)-150000)*2.7%),0),-1)</f>
      </c>
      <c r="BD56" s="67">
        <f t="shared" ref="BD56" si="977">ROUNDDOWN(IF(AD55*Z56&gt;=150000,(((AD55*Z56)-150000)*2.7%),0),-1)</f>
      </c>
      <c r="BE56" s="67">
        <f t="shared" ref="BE56" si="978">ROUNDDOWN(IF(AD55*AA56&gt;=150000,(((AD55*AA56)-150000)*2.7%),0),-1)</f>
      </c>
      <c r="BF56" s="69"/>
      <c r="BG56" s="69"/>
      <c r="BH56" s="1"/>
    </row>
    <row r="57" ht="17" customHeight="1" spans="1:60" x14ac:dyDescent="0.25">
      <c r="A57" s="45">
        <v>25</v>
      </c>
      <c r="B57" s="46">
        <f t="shared" ref="B57" si="979">BG57</f>
      </c>
      <c r="C57" s="47">
        <f t="shared" ref="C57" si="980">BF57</f>
      </c>
      <c r="D57" s="48"/>
      <c r="E57" s="49"/>
      <c r="F57" s="125"/>
      <c r="G57" s="126"/>
      <c r="H57" s="92"/>
      <c r="I57" s="127"/>
      <c r="J57" s="53"/>
      <c r="K57" s="98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90"/>
      <c r="AB57" s="91">
        <f t="shared" ref="AB57:AB59" si="981">SUM(L57:AA58)</f>
      </c>
      <c r="AC57" s="92">
        <f t="shared" ref="AC57" si="982">COUNT(L57:AA58)</f>
      </c>
      <c r="AD57" s="59"/>
      <c r="AE57" s="60">
        <f t="shared" ref="AE57" si="983">AB57*AD57</f>
      </c>
      <c r="AF57" s="61">
        <f t="shared" ref="AF57" si="984">IF(SUM(AP57:BE58)&gt;=1000,ROUNDDOWN((SUM(AP57:BE58)),-1),0)</f>
      </c>
      <c r="AG57" s="62">
        <f t="shared" ref="AG57" si="985">ROUNDDOWN(AF57*10%,-1)</f>
      </c>
      <c r="AH57" s="62">
        <f t="shared" ref="AH57" si="986">IFERROR(IF(OR(C57="외국인 고용 연금 제외",C57="외국인 고용 제외",C57="고용 연금 제외"),0,ROUNDDOWN(AE57*0.9%,-1)),"")</f>
      </c>
      <c r="AI57" s="63">
        <f t="shared" ref="AI57" si="987">IFERROR(IF(OR(C57="외국인 고용 연금 제외",C57="고용 연금 제외",C57="연금 제외"),0,
   IF(OR(AC57&gt;=8,AE57&gt;=2200000),
    IF(AE57&gt;=5900000,ROUNDDOWN(5900000*4.5%,-1),
     IF(AE57&lt;=370000,ROUNDDOWN(370000*4.5%,-1),ROUNDDOWN(ROUNDDOWN(AE57,-3)*4.5%,-1))),0)),"")</f>
      </c>
      <c r="AJ57" s="62">
        <f t="shared" ref="AJ57" si="988">IF(AC57&gt;=8,IF(AE57&gt;=104536481,ROUNDDOWN(104536481*3.545%,-1),IF(AE57&lt;=279256,ROUNDDOWN(279256*3.545%,-1),ROUNDDOWN(AE57*3.545%,-1))),0)</f>
      </c>
      <c r="AK57" s="64">
        <f>ROUNDDOWN(AJ57*12.95%,-1)</f>
      </c>
      <c r="AL57" s="87">
        <f t="shared" ref="AL57" si="989">SUM(AF57:AK58)</f>
      </c>
      <c r="AM57" s="88"/>
      <c r="AN57" s="66">
        <f t="shared" ref="AN57" si="990">IFERROR(AE57-AL57-AM57,"")</f>
      </c>
      <c r="AO57" s="88"/>
      <c r="AP57" s="67">
        <f t="shared" ref="AP57" si="991">ROUNDDOWN(IF(AD57*L57&gt;=150000,(((AD57*L57)-150000)*2.7%),0),-1)</f>
      </c>
      <c r="AQ57" s="68">
        <f t="shared" ref="AQ57" si="992">ROUNDDOWN(IF(AD57*M57&gt;=150000,(((AD57*M57)-150000)*2.7%),0),-1)</f>
      </c>
      <c r="AR57" s="68">
        <f t="shared" ref="AR57" si="993">ROUNDDOWN(IF(AD57*N57&gt;=150000,(((AD57*N57)-150000)*2.7%),0),-1)</f>
      </c>
      <c r="AS57" s="68">
        <f t="shared" ref="AS57" si="994">ROUNDDOWN(IF(AD57*O57&gt;=150000,(((AD57*O57)-150000)*2.7%),0),-1)</f>
      </c>
      <c r="AT57" s="68">
        <f t="shared" ref="AT57" si="995">ROUNDDOWN(IF(AD57*P57&gt;=150000,(((AD57*P57)-150000)*2.7%),0),-1)</f>
      </c>
      <c r="AU57" s="68">
        <f t="shared" ref="AU57" si="996">ROUNDDOWN(IF(AD57*Q57&gt;=150000,(((AD57*Q57)-150000)*2.7%),0),-1)</f>
      </c>
      <c r="AV57" s="68">
        <f t="shared" ref="AV57" si="997">ROUNDDOWN(IF(AD57*R57&gt;=150000,(((AD57*R57)-150000)*2.7%),0),-1)</f>
      </c>
      <c r="AW57" s="68">
        <f t="shared" ref="AW57" si="998">ROUNDDOWN(IF(AD57*S57&gt;=150000,(((AD57*S57)-150000)*2.7%),0),-1)</f>
      </c>
      <c r="AX57" s="68">
        <f t="shared" ref="AX57" si="999">ROUNDDOWN(IF(AD57*T57&gt;=150000,(((AD57*T57)-150000)*2.7%),0),-1)</f>
      </c>
      <c r="AY57" s="68">
        <f t="shared" ref="AY57" si="1000">ROUNDDOWN(IF(AD57*U57&gt;=150000,(((AD57*U57)-150000)*2.7%),0),-1)</f>
      </c>
      <c r="AZ57" s="68">
        <f t="shared" ref="AZ57" si="1001">ROUNDDOWN(IF(AD57*V57&gt;=150000,(((AD57*V57)-150000)*2.7%),0),-1)</f>
      </c>
      <c r="BA57" s="68">
        <f t="shared" ref="BA57" si="1002">ROUNDDOWN(IF(AD57*W57&gt;=150000,(((AD57*W57)-150000)*2.7%),0),-1)</f>
      </c>
      <c r="BB57" s="68">
        <f t="shared" ref="BB57" si="1003">ROUNDDOWN(IF(AD57*X57&gt;=150000,(((AD57*X57)-150000)*2.7%),0),-1)</f>
      </c>
      <c r="BC57" s="68">
        <f t="shared" ref="BC57" si="1004">ROUNDDOWN(IF(AD57*Y57&gt;=150000,(((AD57*Y57)-150000)*2.7%),0),-1)</f>
      </c>
      <c r="BD57" s="68">
        <f t="shared" ref="BD57" si="1005">ROUNDDOWN(IF(AD57*Z57&gt;=150000,(((AD57*Z57)-150000)*2.7%),0),-1)</f>
      </c>
      <c r="BE57" s="68"/>
      <c r="BF57" s="69">
        <f>IF(AND(BH57&gt;=60,OR(MID(F57,8,1)="0",MID(F57,8,1)="0",MID(F57,8,1)="0",MID(F57,8,1)="0")),"외국인 고용 연금 제외",
  IF(OR(MID(F57,8,1)="0",MID(F57,8,1)="0",MID(F57,8,1)="0",MID(F57,8,1)="0"),"외국인 고용 제외",
  IF(BH57&gt;=65,"고용 연금 제외",
  IF(BH57&gt;=60,"연금 제외","정상"))))</f>
      </c>
      <c r="BG57" s="69">
        <f>IF(OR(MID(F57,8,1)="5",MID(F57,8,1)="6",MID(F57,8,1)="7",MID(F57,8,1)="8"),
  IF(RIGHT(F57,1)=RIGHT(13-MOD(SUM(MID(F57,1,1)*2,
MID(F57,2,1)*3,
MID(F57,3,1)*4,
MID(F57,4,1)*5,
MID(F57,5,1)*6,
MID(F57,6,1)*7,
MID(F57,8,1)*8,
MID(F57,9,1)*9,
MID(F57,10,1)*2,
MID(F57,11,1)*3,
MID(F57,12,1)*4,
MID(F57,13,1)*5),11),3),"정상","오류"),
 IF(RIGHT(F57,1)=RIGHT(11-MOD(SUM(MID(F57,1,1)*2,
  MID(F57,2,1)*3,
  MID(F57,3,1)*4,
  MID(F57,4,1)*5,
  MID(F57,5,1)*6,
  MID(F57,6,1)*7,
  MID(F57,8,1)*8,
  MID(F57,9,1)*9,
  MID(F57,10,1)*2,
  MID(F57,11,1)*3,
  MID(F57,12,1)*4,
  MID(F57,13,1)*5),11),1),"정상","오류"))</f>
      </c>
      <c r="BH57" s="1">
        <f>DATEDIF(DATE(IF(OR(MID(F57,8,1)="3",
        MID(F57,8,1)="4",
        MID(F57,8,1)="7",
        MID(F57,8,1)="8"),20,19)&amp;LEFT(F57,2),
        MID(F57,3,2),MID(F57,5,2)),TODAY(),"Y")</f>
      </c>
    </row>
    <row r="58" ht="17" customHeight="1" spans="1:60" x14ac:dyDescent="0.25">
      <c r="A58" s="70"/>
      <c r="B58" s="71"/>
      <c r="C58" s="72"/>
      <c r="D58" s="73"/>
      <c r="E58" s="74"/>
      <c r="F58" s="128"/>
      <c r="G58" s="129"/>
      <c r="H58" s="48"/>
      <c r="I58" s="130"/>
      <c r="J58" s="53"/>
      <c r="K58" s="9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9"/>
      <c r="AB58" s="80"/>
      <c r="AC58" s="48"/>
      <c r="AD58" s="81"/>
      <c r="AE58" s="82"/>
      <c r="AF58" s="83"/>
      <c r="AG58" s="84"/>
      <c r="AH58" s="84"/>
      <c r="AI58" s="85"/>
      <c r="AJ58" s="84"/>
      <c r="AK58" s="86"/>
      <c r="AL58" s="87"/>
      <c r="AM58" s="88"/>
      <c r="AN58" s="88"/>
      <c r="AO58" s="88"/>
      <c r="AP58" s="67">
        <f t="shared" ref="AP58" si="1006">ROUNDDOWN(IF(AD57*L58&gt;=150000,(((AD57*L58)-150000)*2.7%),0),-1)</f>
      </c>
      <c r="AQ58" s="67">
        <f t="shared" ref="AQ58" si="1007">ROUNDDOWN(IF(AD57*M58&gt;=150000,(((AD57*M58)-150000)*2.7%),0),-1)</f>
      </c>
      <c r="AR58" s="67">
        <f t="shared" ref="AR58" si="1008">ROUNDDOWN(IF(AD57*N58&gt;=150000,(((AD57*N58)-150000)*2.7%),0),-1)</f>
      </c>
      <c r="AS58" s="67">
        <f t="shared" ref="AS58" si="1009">ROUNDDOWN(IF(AD57*O58&gt;=150000,(((AD57*O58)-150000)*2.7%),0),-1)</f>
      </c>
      <c r="AT58" s="67">
        <f t="shared" ref="AT58" si="1010">ROUNDDOWN(IF(AD57*P58&gt;=150000,(((AD57*P58)-150000)*2.7%),0),-1)</f>
      </c>
      <c r="AU58" s="67">
        <f t="shared" ref="AU58" si="1011">ROUNDDOWN(IF(AD57*Q58&gt;=150000,(((AD57*Q58)-150000)*2.7%),0),-1)</f>
      </c>
      <c r="AV58" s="67">
        <f t="shared" ref="AV58" si="1012">ROUNDDOWN(IF(AD57*R58&gt;=150000,(((AD57*R58)-150000)*2.7%),0),-1)</f>
      </c>
      <c r="AW58" s="67">
        <f t="shared" ref="AW58" si="1013">ROUNDDOWN(IF(AD57*S58&gt;=150000,(((AD57*S58)-150000)*2.7%),0),-1)</f>
      </c>
      <c r="AX58" s="67">
        <f t="shared" ref="AX58" si="1014">ROUNDDOWN(IF(AD57*T58&gt;=150000,(((AD57*T58)-150000)*2.7%),0),-1)</f>
      </c>
      <c r="AY58" s="67">
        <f t="shared" ref="AY58" si="1015">ROUNDDOWN(IF(AD57*U58&gt;=150000,(((AD57*U58)-150000)*2.7%),0),-1)</f>
      </c>
      <c r="AZ58" s="67">
        <f t="shared" ref="AZ58" si="1016">ROUNDDOWN(IF(AD57*V58&gt;=150000,(((AD57*V58)-150000)*2.7%),0),-1)</f>
      </c>
      <c r="BA58" s="67">
        <f t="shared" ref="BA58" si="1017">ROUNDDOWN(IF(AD57*W58&gt;=150000,(((AD57*W58)-150000)*2.7%),0),-1)</f>
      </c>
      <c r="BB58" s="67">
        <f t="shared" ref="BB58" si="1018">ROUNDDOWN(IF(AD57*X58&gt;=150000,(((AD57*X58)-150000)*2.7%),0),-1)</f>
      </c>
      <c r="BC58" s="67">
        <f t="shared" ref="BC58" si="1019">ROUNDDOWN(IF(AD57*Y58&gt;=150000,(((AD57*Y58)-150000)*2.7%),0),-1)</f>
      </c>
      <c r="BD58" s="67">
        <f t="shared" ref="BD58" si="1020">ROUNDDOWN(IF(AD57*Z58&gt;=150000,(((AD57*Z58)-150000)*2.7%),0),-1)</f>
      </c>
      <c r="BE58" s="67">
        <f t="shared" ref="BE58" si="1021">ROUNDDOWN(IF(AD57*AA58&gt;=150000,(((AD57*AA58)-150000)*2.7%),0),-1)</f>
      </c>
      <c r="BF58" s="69"/>
      <c r="BG58" s="69"/>
      <c r="BH58" s="1"/>
    </row>
    <row r="59" ht="17" customHeight="1" spans="1:60" x14ac:dyDescent="0.25">
      <c r="A59" s="70">
        <v>26</v>
      </c>
      <c r="B59" s="46">
        <f t="shared" ref="B59" si="1022">BG59</f>
      </c>
      <c r="C59" s="47">
        <f t="shared" ref="C59" si="1023">BF59</f>
      </c>
      <c r="D59" s="48"/>
      <c r="E59" s="49"/>
      <c r="F59" s="125"/>
      <c r="G59" s="126"/>
      <c r="H59" s="92"/>
      <c r="I59" s="127"/>
      <c r="J59" s="53"/>
      <c r="K59" s="98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90"/>
      <c r="AB59" s="91">
        <f t="shared" ref="AB59" si="1024">SUM(L59:AA60)</f>
      </c>
      <c r="AC59" s="92">
        <f t="shared" ref="AC59" si="1025">COUNT(L59:AA60)</f>
      </c>
      <c r="AD59" s="59"/>
      <c r="AE59" s="60">
        <f t="shared" ref="AE59" si="1026">AB59*AD59</f>
      </c>
      <c r="AF59" s="61">
        <f t="shared" ref="AF59" si="1027">IF(SUM(AP59:BE60)&gt;=1000,ROUNDDOWN((SUM(AP59:BE60)),-1),0)</f>
      </c>
      <c r="AG59" s="62">
        <f t="shared" ref="AG59" si="1028">ROUNDDOWN(AF59*10%,-1)</f>
      </c>
      <c r="AH59" s="62">
        <f t="shared" ref="AH59" si="1029">IFERROR(IF(OR(C59="외국인 고용 연금 제외",C59="외국인 고용 제외",C59="고용 연금 제외"),0,ROUNDDOWN(AE59*0.9%,-1)),"")</f>
      </c>
      <c r="AI59" s="63">
        <f t="shared" ref="AI59" si="1030">IFERROR(IF(OR(C59="외국인 고용 연금 제외",C59="고용 연금 제외",C59="연금 제외"),0,
   IF(OR(AC59&gt;=8,AE59&gt;=2200000),
    IF(AE59&gt;=5900000,ROUNDDOWN(5900000*4.5%,-1),
     IF(AE59&lt;=370000,ROUNDDOWN(370000*4.5%,-1),ROUNDDOWN(ROUNDDOWN(AE59,-3)*4.5%,-1))),0)),"")</f>
      </c>
      <c r="AJ59" s="62">
        <f t="shared" ref="AJ59" si="1031">IF(AC59&gt;=8,IF(AE59&gt;=104536481,ROUNDDOWN(104536481*3.545%,-1),IF(AE59&lt;=279256,ROUNDDOWN(279256*3.545%,-1),ROUNDDOWN(AE59*3.545%,-1))),0)</f>
      </c>
      <c r="AK59" s="64">
        <f>ROUNDDOWN(AJ59*12.95%,-1)</f>
      </c>
      <c r="AL59" s="87">
        <f t="shared" ref="AL59" si="1032">SUM(AF59:AK60)</f>
      </c>
      <c r="AM59" s="88"/>
      <c r="AN59" s="66">
        <f t="shared" ref="AN59" si="1033">IFERROR(AE59-AL59-AM59,"")</f>
      </c>
      <c r="AO59" s="88"/>
      <c r="AP59" s="67">
        <f t="shared" ref="AP59" si="1034">ROUNDDOWN(IF(AD59*L59&gt;=150000,(((AD59*L59)-150000)*2.7%),0),-1)</f>
      </c>
      <c r="AQ59" s="68">
        <f t="shared" ref="AQ59" si="1035">ROUNDDOWN(IF(AD59*M59&gt;=150000,(((AD59*M59)-150000)*2.7%),0),-1)</f>
      </c>
      <c r="AR59" s="68">
        <f t="shared" ref="AR59" si="1036">ROUNDDOWN(IF(AD59*N59&gt;=150000,(((AD59*N59)-150000)*2.7%),0),-1)</f>
      </c>
      <c r="AS59" s="68">
        <f t="shared" ref="AS59" si="1037">ROUNDDOWN(IF(AD59*O59&gt;=150000,(((AD59*O59)-150000)*2.7%),0),-1)</f>
      </c>
      <c r="AT59" s="68">
        <f t="shared" ref="AT59" si="1038">ROUNDDOWN(IF(AD59*P59&gt;=150000,(((AD59*P59)-150000)*2.7%),0),-1)</f>
      </c>
      <c r="AU59" s="68">
        <f t="shared" ref="AU59" si="1039">ROUNDDOWN(IF(AD59*Q59&gt;=150000,(((AD59*Q59)-150000)*2.7%),0),-1)</f>
      </c>
      <c r="AV59" s="68">
        <f t="shared" ref="AV59" si="1040">ROUNDDOWN(IF(AD59*R59&gt;=150000,(((AD59*R59)-150000)*2.7%),0),-1)</f>
      </c>
      <c r="AW59" s="68">
        <f t="shared" ref="AW59" si="1041">ROUNDDOWN(IF(AD59*S59&gt;=150000,(((AD59*S59)-150000)*2.7%),0),-1)</f>
      </c>
      <c r="AX59" s="68">
        <f t="shared" ref="AX59" si="1042">ROUNDDOWN(IF(AD59*T59&gt;=150000,(((AD59*T59)-150000)*2.7%),0),-1)</f>
      </c>
      <c r="AY59" s="68">
        <f t="shared" ref="AY59" si="1043">ROUNDDOWN(IF(AD59*U59&gt;=150000,(((AD59*U59)-150000)*2.7%),0),-1)</f>
      </c>
      <c r="AZ59" s="68">
        <f t="shared" ref="AZ59" si="1044">ROUNDDOWN(IF(AD59*V59&gt;=150000,(((AD59*V59)-150000)*2.7%),0),-1)</f>
      </c>
      <c r="BA59" s="68">
        <f t="shared" ref="BA59" si="1045">ROUNDDOWN(IF(AD59*W59&gt;=150000,(((AD59*W59)-150000)*2.7%),0),-1)</f>
      </c>
      <c r="BB59" s="68">
        <f t="shared" ref="BB59" si="1046">ROUNDDOWN(IF(AD59*X59&gt;=150000,(((AD59*X59)-150000)*2.7%),0),-1)</f>
      </c>
      <c r="BC59" s="68">
        <f t="shared" ref="BC59" si="1047">ROUNDDOWN(IF(AD59*Y59&gt;=150000,(((AD59*Y59)-150000)*2.7%),0),-1)</f>
      </c>
      <c r="BD59" s="68">
        <f t="shared" ref="BD59" si="1048">ROUNDDOWN(IF(AD59*Z59&gt;=150000,(((AD59*Z59)-150000)*2.7%),0),-1)</f>
      </c>
      <c r="BE59" s="68"/>
      <c r="BF59" s="69">
        <f>IF(AND(BH59&gt;=60,OR(MID(F59,8,1)="0",MID(F59,8,1)="0",MID(F59,8,1)="0",MID(F59,8,1)="0")),"외국인 고용 연금 제외",
  IF(OR(MID(F59,8,1)="0",MID(F59,8,1)="0",MID(F59,8,1)="0",MID(F59,8,1)="0"),"외국인 고용 제외",
  IF(BH59&gt;=65,"고용 연금 제외",
  IF(BH59&gt;=60,"연금 제외","정상"))))</f>
      </c>
      <c r="BG59" s="69">
        <f>IF(OR(MID(F59,8,1)="5",MID(F59,8,1)="6",MID(F59,8,1)="7",MID(F59,8,1)="8"),
  IF(RIGHT(F59,1)=RIGHT(13-MOD(SUM(MID(F59,1,1)*2,
MID(F59,2,1)*3,
MID(F59,3,1)*4,
MID(F59,4,1)*5,
MID(F59,5,1)*6,
MID(F59,6,1)*7,
MID(F59,8,1)*8,
MID(F59,9,1)*9,
MID(F59,10,1)*2,
MID(F59,11,1)*3,
MID(F59,12,1)*4,
MID(F59,13,1)*5),11),3),"정상","오류"),
 IF(RIGHT(F59,1)=RIGHT(11-MOD(SUM(MID(F59,1,1)*2,
  MID(F59,2,1)*3,
  MID(F59,3,1)*4,
  MID(F59,4,1)*5,
  MID(F59,5,1)*6,
  MID(F59,6,1)*7,
  MID(F59,8,1)*8,
  MID(F59,9,1)*9,
  MID(F59,10,1)*2,
  MID(F59,11,1)*3,
  MID(F59,12,1)*4,
  MID(F59,13,1)*5),11),1),"정상","오류"))</f>
      </c>
      <c r="BH59" s="1">
        <f>DATEDIF(DATE(IF(OR(MID(F59,8,1)="3",
        MID(F59,8,1)="4",
        MID(F59,8,1)="7",
        MID(F59,8,1)="8"),20,19)&amp;LEFT(F59,2),
        MID(F59,3,2),MID(F59,5,2)),TODAY(),"Y")</f>
      </c>
    </row>
    <row r="60" ht="17" customHeight="1" spans="1:60" x14ac:dyDescent="0.25">
      <c r="A60" s="70"/>
      <c r="B60" s="71"/>
      <c r="C60" s="72"/>
      <c r="D60" s="73"/>
      <c r="E60" s="74"/>
      <c r="F60" s="128"/>
      <c r="G60" s="129"/>
      <c r="H60" s="48"/>
      <c r="I60" s="130"/>
      <c r="J60" s="53"/>
      <c r="K60" s="9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80"/>
      <c r="AC60" s="48"/>
      <c r="AD60" s="81"/>
      <c r="AE60" s="82"/>
      <c r="AF60" s="83"/>
      <c r="AG60" s="84"/>
      <c r="AH60" s="84"/>
      <c r="AI60" s="85"/>
      <c r="AJ60" s="84"/>
      <c r="AK60" s="86"/>
      <c r="AL60" s="87"/>
      <c r="AM60" s="88"/>
      <c r="AN60" s="88"/>
      <c r="AO60" s="88"/>
      <c r="AP60" s="67">
        <f t="shared" ref="AP60" si="1049">ROUNDDOWN(IF(AD59*L60&gt;=150000,(((AD59*L60)-150000)*2.7%),0),-1)</f>
      </c>
      <c r="AQ60" s="67">
        <f t="shared" ref="AQ60" si="1050">ROUNDDOWN(IF(AD59*M60&gt;=150000,(((AD59*M60)-150000)*2.7%),0),-1)</f>
      </c>
      <c r="AR60" s="67">
        <f t="shared" ref="AR60" si="1051">ROUNDDOWN(IF(AD59*N60&gt;=150000,(((AD59*N60)-150000)*2.7%),0),-1)</f>
      </c>
      <c r="AS60" s="67">
        <f t="shared" ref="AS60" si="1052">ROUNDDOWN(IF(AD59*O60&gt;=150000,(((AD59*O60)-150000)*2.7%),0),-1)</f>
      </c>
      <c r="AT60" s="67">
        <f t="shared" ref="AT60" si="1053">ROUNDDOWN(IF(AD59*P60&gt;=150000,(((AD59*P60)-150000)*2.7%),0),-1)</f>
      </c>
      <c r="AU60" s="67">
        <f t="shared" ref="AU60" si="1054">ROUNDDOWN(IF(AD59*Q60&gt;=150000,(((AD59*Q60)-150000)*2.7%),0),-1)</f>
      </c>
      <c r="AV60" s="67">
        <f t="shared" ref="AV60" si="1055">ROUNDDOWN(IF(AD59*R60&gt;=150000,(((AD59*R60)-150000)*2.7%),0),-1)</f>
      </c>
      <c r="AW60" s="67">
        <f t="shared" ref="AW60" si="1056">ROUNDDOWN(IF(AD59*S60&gt;=150000,(((AD59*S60)-150000)*2.7%),0),-1)</f>
      </c>
      <c r="AX60" s="67">
        <f t="shared" ref="AX60" si="1057">ROUNDDOWN(IF(AD59*T60&gt;=150000,(((AD59*T60)-150000)*2.7%),0),-1)</f>
      </c>
      <c r="AY60" s="67">
        <f t="shared" ref="AY60" si="1058">ROUNDDOWN(IF(AD59*U60&gt;=150000,(((AD59*U60)-150000)*2.7%),0),-1)</f>
      </c>
      <c r="AZ60" s="67">
        <f t="shared" ref="AZ60" si="1059">ROUNDDOWN(IF(AD59*V60&gt;=150000,(((AD59*V60)-150000)*2.7%),0),-1)</f>
      </c>
      <c r="BA60" s="67">
        <f t="shared" ref="BA60" si="1060">ROUNDDOWN(IF(AD59*W60&gt;=150000,(((AD59*W60)-150000)*2.7%),0),-1)</f>
      </c>
      <c r="BB60" s="67">
        <f t="shared" ref="BB60" si="1061">ROUNDDOWN(IF(AD59*X60&gt;=150000,(((AD59*X60)-150000)*2.7%),0),-1)</f>
      </c>
      <c r="BC60" s="67">
        <f t="shared" ref="BC60" si="1062">ROUNDDOWN(IF(AD59*Y60&gt;=150000,(((AD59*Y60)-150000)*2.7%),0),-1)</f>
      </c>
      <c r="BD60" s="67">
        <f t="shared" ref="BD60" si="1063">ROUNDDOWN(IF(AD59*Z60&gt;=150000,(((AD59*Z60)-150000)*2.7%),0),-1)</f>
      </c>
      <c r="BE60" s="67">
        <f t="shared" ref="BE60" si="1064">ROUNDDOWN(IF(AD59*AA60&gt;=150000,(((AD59*AA60)-150000)*2.7%),0),-1)</f>
      </c>
      <c r="BF60" s="69"/>
      <c r="BG60" s="69"/>
      <c r="BH60" s="1"/>
    </row>
    <row r="61" ht="16.5" customHeight="1" spans="1:60" x14ac:dyDescent="0.25">
      <c r="A61" s="45">
        <v>27</v>
      </c>
      <c r="B61" s="46">
        <f t="shared" ref="B61" si="1065">BG61</f>
      </c>
      <c r="C61" s="47">
        <f t="shared" ref="C61" si="1066">BF61</f>
      </c>
      <c r="D61" s="48"/>
      <c r="E61" s="49"/>
      <c r="F61" s="118"/>
      <c r="G61" s="119"/>
      <c r="H61" s="49"/>
      <c r="I61" s="113"/>
      <c r="J61" s="53"/>
      <c r="K61" s="98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90"/>
      <c r="AB61" s="91">
        <f t="shared" ref="AB61" si="1067">SUM(L61:AA62)</f>
      </c>
      <c r="AC61" s="92">
        <f t="shared" ref="AC61" si="1068">COUNT(L61:AA62)</f>
      </c>
      <c r="AD61" s="59"/>
      <c r="AE61" s="60">
        <f t="shared" ref="AE61" si="1069">AB61*AD61</f>
      </c>
      <c r="AF61" s="61">
        <f t="shared" ref="AF61" si="1070">IF(SUM(AP61:BE62)&gt;=1000,ROUNDDOWN((SUM(AP61:BE62)),-1),0)</f>
      </c>
      <c r="AG61" s="62">
        <f t="shared" ref="AG61:AG66" si="1071">ROUNDDOWN(AF61*10%,-1)</f>
      </c>
      <c r="AH61" s="62">
        <f t="shared" ref="AH61" si="1072">IFERROR(IF(OR(C61="외국인 고용 연금 제외",C61="외국인 고용 제외",C61="고용 연금 제외"),0,ROUNDDOWN(AE61*0.9%,-1)),"")</f>
      </c>
      <c r="AI61" s="63">
        <f t="shared" ref="AI61" si="1073">IFERROR(IF(OR(C61="외국인 고용 연금 제외",C61="고용 연금 제외",C61="연금 제외"),0,
   IF(OR(AC61&gt;=8,AE61&gt;=2200000),
    IF(AE61&gt;=5900000,ROUNDDOWN(5900000*4.5%,-1),
     IF(AE61&lt;=370000,ROUNDDOWN(370000*4.5%,-1),ROUNDDOWN(ROUNDDOWN(AE61,-3)*4.5%,-1))),0)),"")</f>
      </c>
      <c r="AJ61" s="62">
        <f t="shared" ref="AJ61:AJ66" si="1074">IF(AC61&gt;=8,IF(AE61&gt;=104536481,ROUNDDOWN(104536481*3.545%,-1),IF(AE61&lt;=279256,ROUNDDOWN(279256*3.545%,-1),ROUNDDOWN(AE61*3.545%,-1))),0)</f>
      </c>
      <c r="AK61" s="64">
        <f>ROUNDDOWN(AJ61*12.95%,-1)</f>
      </c>
      <c r="AL61" s="87">
        <f t="shared" ref="AL61" si="1075">SUM(AF61:AK62)</f>
      </c>
      <c r="AM61" s="88"/>
      <c r="AN61" s="66">
        <f t="shared" ref="AN61" si="1076">IFERROR(AE61-AL61-AM61,"")</f>
      </c>
      <c r="AO61" s="88"/>
      <c r="AP61" s="67">
        <f t="shared" ref="AP61" si="1077">ROUNDDOWN(IF(AD61*L61&gt;=150000,(((AD61*L61)-150000)*2.7%),0),-1)</f>
      </c>
      <c r="AQ61" s="68">
        <f t="shared" ref="AQ61" si="1078">ROUNDDOWN(IF(AD61*M61&gt;=150000,(((AD61*M61)-150000)*2.7%),0),-1)</f>
      </c>
      <c r="AR61" s="68">
        <f t="shared" ref="AR61" si="1079">ROUNDDOWN(IF(AD61*N61&gt;=150000,(((AD61*N61)-150000)*2.7%),0),-1)</f>
      </c>
      <c r="AS61" s="68">
        <f t="shared" ref="AS61" si="1080">ROUNDDOWN(IF(AD61*O61&gt;=150000,(((AD61*O61)-150000)*2.7%),0),-1)</f>
      </c>
      <c r="AT61" s="68">
        <f t="shared" ref="AT61" si="1081">ROUNDDOWN(IF(AD61*P61&gt;=150000,(((AD61*P61)-150000)*2.7%),0),-1)</f>
      </c>
      <c r="AU61" s="68">
        <f t="shared" ref="AU61" si="1082">ROUNDDOWN(IF(AD61*Q61&gt;=150000,(((AD61*Q61)-150000)*2.7%),0),-1)</f>
      </c>
      <c r="AV61" s="68">
        <f t="shared" ref="AV61" si="1083">ROUNDDOWN(IF(AD61*R61&gt;=150000,(((AD61*R61)-150000)*2.7%),0),-1)</f>
      </c>
      <c r="AW61" s="68">
        <f t="shared" ref="AW61" si="1084">ROUNDDOWN(IF(AD61*S61&gt;=150000,(((AD61*S61)-150000)*2.7%),0),-1)</f>
      </c>
      <c r="AX61" s="68">
        <f t="shared" ref="AX61" si="1085">ROUNDDOWN(IF(AD61*T61&gt;=150000,(((AD61*T61)-150000)*2.7%),0),-1)</f>
      </c>
      <c r="AY61" s="68">
        <f t="shared" ref="AY61" si="1086">ROUNDDOWN(IF(AD61*U61&gt;=150000,(((AD61*U61)-150000)*2.7%),0),-1)</f>
      </c>
      <c r="AZ61" s="68">
        <f t="shared" ref="AZ61" si="1087">ROUNDDOWN(IF(AD61*V61&gt;=150000,(((AD61*V61)-150000)*2.7%),0),-1)</f>
      </c>
      <c r="BA61" s="68">
        <f t="shared" ref="BA61" si="1088">ROUNDDOWN(IF(AD61*W61&gt;=150000,(((AD61*W61)-150000)*2.7%),0),-1)</f>
      </c>
      <c r="BB61" s="68">
        <f t="shared" ref="BB61" si="1089">ROUNDDOWN(IF(AD61*X61&gt;=150000,(((AD61*X61)-150000)*2.7%),0),-1)</f>
      </c>
      <c r="BC61" s="68">
        <f t="shared" ref="BC61" si="1090">ROUNDDOWN(IF(AD61*Y61&gt;=150000,(((AD61*Y61)-150000)*2.7%),0),-1)</f>
      </c>
      <c r="BD61" s="68">
        <f t="shared" ref="BD61" si="1091">ROUNDDOWN(IF(AD61*Z61&gt;=150000,(((AD61*Z61)-150000)*2.7%),0),-1)</f>
      </c>
      <c r="BE61" s="68"/>
      <c r="BF61" s="69">
        <f>IF(AND(BH61&gt;=60,OR(MID(F61,8,1)="0",MID(F61,8,1)="0",MID(F61,8,1)="0",MID(F61,8,1)="0")),"외국인 고용 연금 제외",
  IF(OR(MID(F61,8,1)="0",MID(F61,8,1)="0",MID(F61,8,1)="0",MID(F61,8,1)="0"),"외국인 고용 제외",
  IF(BH61&gt;=65,"고용 연금 제외",
  IF(BH61&gt;=60,"연금 제외","정상"))))</f>
      </c>
      <c r="BG61" s="69">
        <f>IF(OR(MID(F61,8,1)="5",MID(F61,8,1)="6",MID(F61,8,1)="7",MID(F61,8,1)="8"),
  IF(RIGHT(F61,1)=RIGHT(13-MOD(SUM(MID(F61,1,1)*2,
MID(F61,2,1)*3,
MID(F61,3,1)*4,
MID(F61,4,1)*5,
MID(F61,5,1)*6,
MID(F61,6,1)*7,
MID(F61,8,1)*8,
MID(F61,9,1)*9,
MID(F61,10,1)*2,
MID(F61,11,1)*3,
MID(F61,12,1)*4,
MID(F61,13,1)*5),11),3),"정상","오류"),
 IF(RIGHT(F61,1)=RIGHT(11-MOD(SUM(MID(F61,1,1)*2,
  MID(F61,2,1)*3,
  MID(F61,3,1)*4,
  MID(F61,4,1)*5,
  MID(F61,5,1)*6,
  MID(F61,6,1)*7,
  MID(F61,8,1)*8,
  MID(F61,9,1)*9,
  MID(F61,10,1)*2,
  MID(F61,11,1)*3,
  MID(F61,12,1)*4,
  MID(F61,13,1)*5),11),1),"정상","오류"))</f>
      </c>
      <c r="BH61" s="1">
        <f>DATEDIF(DATE(IF(OR(MID(F61,8,1)="3",
        MID(F61,8,1)="4",
        MID(F61,8,1)="7",
        MID(F61,8,1)="8"),20,19)&amp;LEFT(F61,2),
        MID(F61,3,2),MID(F61,5,2)),TODAY(),"Y")</f>
      </c>
    </row>
    <row r="62" ht="17" customHeight="1" spans="1:60" x14ac:dyDescent="0.25">
      <c r="A62" s="70"/>
      <c r="B62" s="71"/>
      <c r="C62" s="72"/>
      <c r="D62" s="73"/>
      <c r="E62" s="74"/>
      <c r="F62" s="122"/>
      <c r="G62" s="119"/>
      <c r="H62" s="74"/>
      <c r="I62" s="114"/>
      <c r="J62" s="53"/>
      <c r="K62" s="9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9"/>
      <c r="AB62" s="80"/>
      <c r="AC62" s="48"/>
      <c r="AD62" s="81"/>
      <c r="AE62" s="82"/>
      <c r="AF62" s="83"/>
      <c r="AG62" s="84"/>
      <c r="AH62" s="84"/>
      <c r="AI62" s="85"/>
      <c r="AJ62" s="84"/>
      <c r="AK62" s="86"/>
      <c r="AL62" s="87"/>
      <c r="AM62" s="88"/>
      <c r="AN62" s="88"/>
      <c r="AO62" s="88"/>
      <c r="AP62" s="67">
        <f t="shared" ref="AP62" si="1092">ROUNDDOWN(IF(AD61*L62&gt;=150000,(((AD61*L62)-150000)*2.7%),0),-1)</f>
      </c>
      <c r="AQ62" s="67">
        <f t="shared" ref="AQ62" si="1093">ROUNDDOWN(IF(AD61*M62&gt;=150000,(((AD61*M62)-150000)*2.7%),0),-1)</f>
      </c>
      <c r="AR62" s="67">
        <f t="shared" ref="AR62" si="1094">ROUNDDOWN(IF(AD61*N62&gt;=150000,(((AD61*N62)-150000)*2.7%),0),-1)</f>
      </c>
      <c r="AS62" s="67">
        <f t="shared" ref="AS62" si="1095">ROUNDDOWN(IF(AD61*O62&gt;=150000,(((AD61*O62)-150000)*2.7%),0),-1)</f>
      </c>
      <c r="AT62" s="67">
        <f t="shared" ref="AT62" si="1096">ROUNDDOWN(IF(AD61*P62&gt;=150000,(((AD61*P62)-150000)*2.7%),0),-1)</f>
      </c>
      <c r="AU62" s="67">
        <f t="shared" ref="AU62" si="1097">ROUNDDOWN(IF(AD61*Q62&gt;=150000,(((AD61*Q62)-150000)*2.7%),0),-1)</f>
      </c>
      <c r="AV62" s="67">
        <f t="shared" ref="AV62" si="1098">ROUNDDOWN(IF(AD61*R62&gt;=150000,(((AD61*R62)-150000)*2.7%),0),-1)</f>
      </c>
      <c r="AW62" s="67">
        <f t="shared" ref="AW62" si="1099">ROUNDDOWN(IF(AD61*S62&gt;=150000,(((AD61*S62)-150000)*2.7%),0),-1)</f>
      </c>
      <c r="AX62" s="67">
        <f t="shared" ref="AX62" si="1100">ROUNDDOWN(IF(AD61*T62&gt;=150000,(((AD61*T62)-150000)*2.7%),0),-1)</f>
      </c>
      <c r="AY62" s="67">
        <f t="shared" ref="AY62" si="1101">ROUNDDOWN(IF(AD61*U62&gt;=150000,(((AD61*U62)-150000)*2.7%),0),-1)</f>
      </c>
      <c r="AZ62" s="67">
        <f t="shared" ref="AZ62" si="1102">ROUNDDOWN(IF(AD61*V62&gt;=150000,(((AD61*V62)-150000)*2.7%),0),-1)</f>
      </c>
      <c r="BA62" s="67">
        <f t="shared" ref="BA62" si="1103">ROUNDDOWN(IF(AD61*W62&gt;=150000,(((AD61*W62)-150000)*2.7%),0),-1)</f>
      </c>
      <c r="BB62" s="67">
        <f t="shared" ref="BB62" si="1104">ROUNDDOWN(IF(AD61*X62&gt;=150000,(((AD61*X62)-150000)*2.7%),0),-1)</f>
      </c>
      <c r="BC62" s="67">
        <f t="shared" ref="BC62" si="1105">ROUNDDOWN(IF(AD61*Y62&gt;=150000,(((AD61*Y62)-150000)*2.7%),0),-1)</f>
      </c>
      <c r="BD62" s="67">
        <f t="shared" ref="BD62" si="1106">ROUNDDOWN(IF(AD61*Z62&gt;=150000,(((AD61*Z62)-150000)*2.7%),0),-1)</f>
      </c>
      <c r="BE62" s="67">
        <f t="shared" ref="BE62" si="1107">ROUNDDOWN(IF(AD61*AA62&gt;=150000,(((AD61*AA62)-150000)*2.7%),0),-1)</f>
      </c>
      <c r="BF62" s="69"/>
      <c r="BG62" s="69"/>
      <c r="BH62" s="1"/>
    </row>
    <row r="63" ht="16.5" customHeight="1" spans="1:60" x14ac:dyDescent="0.25">
      <c r="A63" s="70">
        <v>28</v>
      </c>
      <c r="B63" s="46">
        <f t="shared" ref="B63" si="1108">BG63</f>
      </c>
      <c r="C63" s="47">
        <f t="shared" ref="C63" si="1109">BF63</f>
      </c>
      <c r="D63" s="48"/>
      <c r="E63" s="131"/>
      <c r="F63" s="118"/>
      <c r="G63" s="119"/>
      <c r="H63" s="120"/>
      <c r="I63" s="121"/>
      <c r="J63" s="132"/>
      <c r="K63" s="98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90"/>
      <c r="AB63" s="91">
        <f t="shared" ref="AB63" si="1110">SUM(L63:AA64)</f>
      </c>
      <c r="AC63" s="92">
        <f t="shared" ref="AC63" si="1111">COUNT(L63:AA64)</f>
      </c>
      <c r="AD63" s="59"/>
      <c r="AE63" s="60">
        <f t="shared" ref="AE63" si="1112">AB63*AD63</f>
      </c>
      <c r="AF63" s="61">
        <f t="shared" ref="AF63" si="1113">IF(SUM(AP63:BE64)&gt;=1000,ROUNDDOWN((SUM(AP63:BE64)),-1),0)</f>
      </c>
      <c r="AG63" s="62">
        <f t="shared" ref="AG63:AG66" si="1114">ROUNDDOWN(AF63*10%,-1)</f>
      </c>
      <c r="AH63" s="62">
        <f t="shared" ref="AH63" si="1115">IFERROR(IF(OR(C63="외국인 고용 연금 제외",C63="외국인 고용 제외",C63="고용 연금 제외"),0,ROUNDDOWN(AE63*0.9%,-1)),"")</f>
      </c>
      <c r="AI63" s="63">
        <f t="shared" ref="AI63" si="1116">IFERROR(IF(OR(C63="외국인 고용 연금 제외",C63="고용 연금 제외",C63="연금 제외"),0,
   IF(OR(AC63&gt;=8,AE63&gt;=2200000),
    IF(AE63&gt;=5900000,ROUNDDOWN(5900000*4.5%,-1),
     IF(AE63&lt;=370000,ROUNDDOWN(370000*4.5%,-1),ROUNDDOWN(ROUNDDOWN(AE63,-3)*4.5%,-1))),0)),"")</f>
      </c>
      <c r="AJ63" s="62">
        <f t="shared" ref="AJ63:AJ66" si="1117">IF(AC63&gt;=8,IF(AE63&gt;=104536481,ROUNDDOWN(104536481*3.545%,-1),IF(AE63&lt;=279256,ROUNDDOWN(279256*3.545%,-1),ROUNDDOWN(AE63*3.545%,-1))),0)</f>
      </c>
      <c r="AK63" s="64">
        <f>ROUNDDOWN(AJ63*12.95%,-1)</f>
      </c>
      <c r="AL63" s="87">
        <f t="shared" ref="AL63" si="1118">SUM(AF63:AK64)</f>
      </c>
      <c r="AM63" s="88"/>
      <c r="AN63" s="66">
        <f t="shared" ref="AN63" si="1119">IFERROR(AE63-AL63-AM63,"")</f>
      </c>
      <c r="AO63" s="88"/>
      <c r="AP63" s="67">
        <f t="shared" ref="AP63" si="1120">ROUNDDOWN(IF(AD63*L63&gt;=150000,(((AD63*L63)-150000)*2.7%),0),-1)</f>
      </c>
      <c r="AQ63" s="68">
        <f t="shared" ref="AQ63" si="1121">ROUNDDOWN(IF(AD63*M63&gt;=150000,(((AD63*M63)-150000)*2.7%),0),-1)</f>
      </c>
      <c r="AR63" s="68">
        <f t="shared" ref="AR63" si="1122">ROUNDDOWN(IF(AD63*N63&gt;=150000,(((AD63*N63)-150000)*2.7%),0),-1)</f>
      </c>
      <c r="AS63" s="68">
        <f t="shared" ref="AS63" si="1123">ROUNDDOWN(IF(AD63*O63&gt;=150000,(((AD63*O63)-150000)*2.7%),0),-1)</f>
      </c>
      <c r="AT63" s="68">
        <f t="shared" ref="AT63" si="1124">ROUNDDOWN(IF(AD63*P63&gt;=150000,(((AD63*P63)-150000)*2.7%),0),-1)</f>
      </c>
      <c r="AU63" s="68">
        <f t="shared" ref="AU63" si="1125">ROUNDDOWN(IF(AD63*Q63&gt;=150000,(((AD63*Q63)-150000)*2.7%),0),-1)</f>
      </c>
      <c r="AV63" s="68">
        <f t="shared" ref="AV63" si="1126">ROUNDDOWN(IF(AD63*R63&gt;=150000,(((AD63*R63)-150000)*2.7%),0),-1)</f>
      </c>
      <c r="AW63" s="68">
        <f t="shared" ref="AW63" si="1127">ROUNDDOWN(IF(AD63*S63&gt;=150000,(((AD63*S63)-150000)*2.7%),0),-1)</f>
      </c>
      <c r="AX63" s="68">
        <f t="shared" ref="AX63" si="1128">ROUNDDOWN(IF(AD63*T63&gt;=150000,(((AD63*T63)-150000)*2.7%),0),-1)</f>
      </c>
      <c r="AY63" s="68">
        <f t="shared" ref="AY63" si="1129">ROUNDDOWN(IF(AD63*U63&gt;=150000,(((AD63*U63)-150000)*2.7%),0),-1)</f>
      </c>
      <c r="AZ63" s="68">
        <f t="shared" ref="AZ63" si="1130">ROUNDDOWN(IF(AD63*V63&gt;=150000,(((AD63*V63)-150000)*2.7%),0),-1)</f>
      </c>
      <c r="BA63" s="68">
        <f t="shared" ref="BA63" si="1131">ROUNDDOWN(IF(AD63*W63&gt;=150000,(((AD63*W63)-150000)*2.7%),0),-1)</f>
      </c>
      <c r="BB63" s="68">
        <f t="shared" ref="BB63" si="1132">ROUNDDOWN(IF(AD63*X63&gt;=150000,(((AD63*X63)-150000)*2.7%),0),-1)</f>
      </c>
      <c r="BC63" s="68">
        <f t="shared" ref="BC63" si="1133">ROUNDDOWN(IF(AD63*Y63&gt;=150000,(((AD63*Y63)-150000)*2.7%),0),-1)</f>
      </c>
      <c r="BD63" s="68">
        <f t="shared" ref="BD63" si="1134">ROUNDDOWN(IF(AD63*Z63&gt;=150000,(((AD63*Z63)-150000)*2.7%),0),-1)</f>
      </c>
      <c r="BE63" s="68"/>
      <c r="BF63" s="69">
        <f>IF(AND(BH63&gt;=60,OR(MID(F63,8,1)="0",MID(F63,8,1)="0",MID(F63,8,1)="0",MID(F63,8,1)="0")),"외국인 고용 연금 제외",
  IF(OR(MID(F63,8,1)="0",MID(F63,8,1)="0",MID(F63,8,1)="0",MID(F63,8,1)="0"),"외국인 고용 제외",
  IF(BH63&gt;=65,"고용 연금 제외",
  IF(BH63&gt;=60,"연금 제외","정상"))))</f>
      </c>
      <c r="BG63" s="69">
        <f>IF(OR(MID(F63,8,1)="5",MID(F63,8,1)="6",MID(F63,8,1)="7",MID(F63,8,1)="8"),
  IF(RIGHT(F63,1)=RIGHT(13-MOD(SUM(MID(F63,1,1)*2,
MID(F63,2,1)*3,
MID(F63,3,1)*4,
MID(F63,4,1)*5,
MID(F63,5,1)*6,
MID(F63,6,1)*7,
MID(F63,8,1)*8,
MID(F63,9,1)*9,
MID(F63,10,1)*2,
MID(F63,11,1)*3,
MID(F63,12,1)*4,
MID(F63,13,1)*5),11),3),"정상","오류"),
 IF(RIGHT(F63,1)=RIGHT(11-MOD(SUM(MID(F63,1,1)*2,
  MID(F63,2,1)*3,
  MID(F63,3,1)*4,
  MID(F63,4,1)*5,
  MID(F63,5,1)*6,
  MID(F63,6,1)*7,
  MID(F63,8,1)*8,
  MID(F63,9,1)*9,
  MID(F63,10,1)*2,
  MID(F63,11,1)*3,
  MID(F63,12,1)*4,
  MID(F63,13,1)*5),11),1),"정상","오류"))</f>
      </c>
      <c r="BH63" s="1">
        <f>DATEDIF(DATE(IF(OR(MID(F63,8,1)="3",
        MID(F63,8,1)="4",
        MID(F63,8,1)="7",
        MID(F63,8,1)="8"),20,19)&amp;LEFT(F63,2),
        MID(F63,3,2),MID(F63,5,2)),TODAY(),"Y")</f>
      </c>
    </row>
    <row r="64" ht="17" customHeight="1" spans="1:60" x14ac:dyDescent="0.25">
      <c r="A64" s="70"/>
      <c r="B64" s="71"/>
      <c r="C64" s="72"/>
      <c r="D64" s="73"/>
      <c r="E64" s="131"/>
      <c r="F64" s="122"/>
      <c r="G64" s="119"/>
      <c r="H64" s="123"/>
      <c r="I64" s="124"/>
      <c r="J64" s="133"/>
      <c r="K64" s="9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9"/>
      <c r="AB64" s="80"/>
      <c r="AC64" s="48"/>
      <c r="AD64" s="81"/>
      <c r="AE64" s="82"/>
      <c r="AF64" s="83"/>
      <c r="AG64" s="84"/>
      <c r="AH64" s="84"/>
      <c r="AI64" s="85"/>
      <c r="AJ64" s="84"/>
      <c r="AK64" s="86"/>
      <c r="AL64" s="87"/>
      <c r="AM64" s="88"/>
      <c r="AN64" s="88"/>
      <c r="AO64" s="88"/>
      <c r="AP64" s="67">
        <f t="shared" ref="AP64" si="1135">ROUNDDOWN(IF(AD63*L64&gt;=150000,(((AD63*L64)-150000)*2.7%),0),-1)</f>
      </c>
      <c r="AQ64" s="67">
        <f t="shared" ref="AQ64" si="1136">ROUNDDOWN(IF(AD63*M64&gt;=150000,(((AD63*M64)-150000)*2.7%),0),-1)</f>
      </c>
      <c r="AR64" s="67">
        <f t="shared" ref="AR64" si="1137">ROUNDDOWN(IF(AD63*N64&gt;=150000,(((AD63*N64)-150000)*2.7%),0),-1)</f>
      </c>
      <c r="AS64" s="67">
        <f t="shared" ref="AS64" si="1138">ROUNDDOWN(IF(AD63*O64&gt;=150000,(((AD63*O64)-150000)*2.7%),0),-1)</f>
      </c>
      <c r="AT64" s="67">
        <f t="shared" ref="AT64" si="1139">ROUNDDOWN(IF(AD63*P64&gt;=150000,(((AD63*P64)-150000)*2.7%),0),-1)</f>
      </c>
      <c r="AU64" s="67">
        <f t="shared" ref="AU64" si="1140">ROUNDDOWN(IF(AD63*Q64&gt;=150000,(((AD63*Q64)-150000)*2.7%),0),-1)</f>
      </c>
      <c r="AV64" s="67">
        <f t="shared" ref="AV64" si="1141">ROUNDDOWN(IF(AD63*R64&gt;=150000,(((AD63*R64)-150000)*2.7%),0),-1)</f>
      </c>
      <c r="AW64" s="67">
        <f t="shared" ref="AW64" si="1142">ROUNDDOWN(IF(AD63*S64&gt;=150000,(((AD63*S64)-150000)*2.7%),0),-1)</f>
      </c>
      <c r="AX64" s="67">
        <f t="shared" ref="AX64" si="1143">ROUNDDOWN(IF(AD63*T64&gt;=150000,(((AD63*T64)-150000)*2.7%),0),-1)</f>
      </c>
      <c r="AY64" s="67">
        <f t="shared" ref="AY64" si="1144">ROUNDDOWN(IF(AD63*U64&gt;=150000,(((AD63*U64)-150000)*2.7%),0),-1)</f>
      </c>
      <c r="AZ64" s="67">
        <f t="shared" ref="AZ64" si="1145">ROUNDDOWN(IF(AD63*V64&gt;=150000,(((AD63*V64)-150000)*2.7%),0),-1)</f>
      </c>
      <c r="BA64" s="67">
        <f t="shared" ref="BA64" si="1146">ROUNDDOWN(IF(AD63*W64&gt;=150000,(((AD63*W64)-150000)*2.7%),0),-1)</f>
      </c>
      <c r="BB64" s="67">
        <f t="shared" ref="BB64" si="1147">ROUNDDOWN(IF(AD63*X64&gt;=150000,(((AD63*X64)-150000)*2.7%),0),-1)</f>
      </c>
      <c r="BC64" s="67">
        <f t="shared" ref="BC64" si="1148">ROUNDDOWN(IF(AD63*Y64&gt;=150000,(((AD63*Y64)-150000)*2.7%),0),-1)</f>
      </c>
      <c r="BD64" s="67">
        <f t="shared" ref="BD64" si="1149">ROUNDDOWN(IF(AD63*Z64&gt;=150000,(((AD63*Z64)-150000)*2.7%),0),-1)</f>
      </c>
      <c r="BE64" s="67">
        <f t="shared" ref="BE64" si="1150">ROUNDDOWN(IF(AD63*AA64&gt;=150000,(((AD63*AA64)-150000)*2.7%),0),-1)</f>
      </c>
      <c r="BF64" s="69"/>
      <c r="BG64" s="69"/>
      <c r="BH64" s="1"/>
    </row>
    <row r="65" ht="16.5" customHeight="1" spans="1:60" x14ac:dyDescent="0.25">
      <c r="A65" s="45">
        <v>29</v>
      </c>
      <c r="B65" s="46">
        <f t="shared" ref="B65" si="1151">BG65</f>
      </c>
      <c r="C65" s="47">
        <f t="shared" ref="C65" si="1152">BF65</f>
      </c>
      <c r="D65" s="48"/>
      <c r="E65" s="131"/>
      <c r="F65" s="134"/>
      <c r="G65" s="119"/>
      <c r="H65" s="120"/>
      <c r="I65" s="121"/>
      <c r="J65" s="132"/>
      <c r="K65" s="98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90"/>
      <c r="AB65" s="91">
        <f t="shared" ref="AB65" si="1153">SUM(L65:AA66)</f>
      </c>
      <c r="AC65" s="92">
        <f t="shared" ref="AC65" si="1154">COUNT(L65:AA66)</f>
      </c>
      <c r="AD65" s="59"/>
      <c r="AE65" s="60">
        <f t="shared" ref="AE65" si="1155">AB65*AD65</f>
      </c>
      <c r="AF65" s="61">
        <f t="shared" ref="AF65" si="1156">IF(SUM(AP65:BE66)&gt;=1000,ROUNDDOWN((SUM(AP65:BE66)),-1),0)</f>
      </c>
      <c r="AG65" s="62">
        <f t="shared" ref="AG65" si="1157">ROUNDDOWN(AF65*10%,-1)</f>
      </c>
      <c r="AH65" s="62">
        <f t="shared" ref="AH65" si="1158">IFERROR(IF(OR(C65="외국인 고용 연금 제외",C65="외국인 고용 제외",C65="고용 연금 제외"),0,ROUNDDOWN(AE65*0.9%,-1)),"")</f>
      </c>
      <c r="AI65" s="63">
        <f t="shared" ref="AI65" si="1159">IFERROR(IF(OR(C65="외국인 고용 연금 제외",C65="고용 연금 제외",C65="연금 제외"),0,
   IF(OR(AC65&gt;=8,AE65&gt;=2200000),
    IF(AE65&gt;=5900000,ROUNDDOWN(5900000*4.5%,-1),
     IF(AE65&lt;=370000,ROUNDDOWN(370000*4.5%,-1),ROUNDDOWN(ROUNDDOWN(AE65,-3)*4.5%,-1))),0)),"")</f>
      </c>
      <c r="AJ65" s="62">
        <f t="shared" ref="AJ65" si="1160">IF(AC65&gt;=8,IF(AE65&gt;=104536481,ROUNDDOWN(104536481*3.545%,-1),IF(AE65&lt;=279256,ROUNDDOWN(279256*3.545%,-1),ROUNDDOWN(AE65*3.545%,-1))),0)</f>
      </c>
      <c r="AK65" s="64">
        <f>ROUNDDOWN(AJ65*12.95%,-1)</f>
      </c>
      <c r="AL65" s="87">
        <f t="shared" ref="AL65" si="1161">SUM(AF65:AK66)</f>
      </c>
      <c r="AM65" s="88"/>
      <c r="AN65" s="66">
        <f t="shared" ref="AN65" si="1162">IFERROR(AE65-AL65-AM65,"")</f>
      </c>
      <c r="AO65" s="88"/>
      <c r="AP65" s="67">
        <f t="shared" ref="AP65" si="1163">ROUNDDOWN(IF(AD65*L65&gt;=150000,(((AD65*L65)-150000)*2.7%),0),-1)</f>
      </c>
      <c r="AQ65" s="68">
        <f t="shared" ref="AQ65" si="1164">ROUNDDOWN(IF(AD65*M65&gt;=150000,(((AD65*M65)-150000)*2.7%),0),-1)</f>
      </c>
      <c r="AR65" s="68">
        <f t="shared" ref="AR65" si="1165">ROUNDDOWN(IF(AD65*N65&gt;=150000,(((AD65*N65)-150000)*2.7%),0),-1)</f>
      </c>
      <c r="AS65" s="68">
        <f t="shared" ref="AS65" si="1166">ROUNDDOWN(IF(AD65*O65&gt;=150000,(((AD65*O65)-150000)*2.7%),0),-1)</f>
      </c>
      <c r="AT65" s="68">
        <f t="shared" ref="AT65" si="1167">ROUNDDOWN(IF(AD65*P65&gt;=150000,(((AD65*P65)-150000)*2.7%),0),-1)</f>
      </c>
      <c r="AU65" s="68">
        <f t="shared" ref="AU65" si="1168">ROUNDDOWN(IF(AD65*Q65&gt;=150000,(((AD65*Q65)-150000)*2.7%),0),-1)</f>
      </c>
      <c r="AV65" s="68">
        <f t="shared" ref="AV65" si="1169">ROUNDDOWN(IF(AD65*R65&gt;=150000,(((AD65*R65)-150000)*2.7%),0),-1)</f>
      </c>
      <c r="AW65" s="68">
        <f t="shared" ref="AW65" si="1170">ROUNDDOWN(IF(AD65*S65&gt;=150000,(((AD65*S65)-150000)*2.7%),0),-1)</f>
      </c>
      <c r="AX65" s="68">
        <f t="shared" ref="AX65" si="1171">ROUNDDOWN(IF(AD65*T65&gt;=150000,(((AD65*T65)-150000)*2.7%),0),-1)</f>
      </c>
      <c r="AY65" s="68">
        <f t="shared" ref="AY65" si="1172">ROUNDDOWN(IF(AD65*U65&gt;=150000,(((AD65*U65)-150000)*2.7%),0),-1)</f>
      </c>
      <c r="AZ65" s="68">
        <f t="shared" ref="AZ65" si="1173">ROUNDDOWN(IF(AD65*V65&gt;=150000,(((AD65*V65)-150000)*2.7%),0),-1)</f>
      </c>
      <c r="BA65" s="68">
        <f t="shared" ref="BA65" si="1174">ROUNDDOWN(IF(AD65*W65&gt;=150000,(((AD65*W65)-150000)*2.7%),0),-1)</f>
      </c>
      <c r="BB65" s="68">
        <f t="shared" ref="BB65" si="1175">ROUNDDOWN(IF(AD65*X65&gt;=150000,(((AD65*X65)-150000)*2.7%),0),-1)</f>
      </c>
      <c r="BC65" s="68">
        <f t="shared" ref="BC65" si="1176">ROUNDDOWN(IF(AD65*Y65&gt;=150000,(((AD65*Y65)-150000)*2.7%),0),-1)</f>
      </c>
      <c r="BD65" s="68">
        <f t="shared" ref="BD65" si="1177">ROUNDDOWN(IF(AD65*Z65&gt;=150000,(((AD65*Z65)-150000)*2.7%),0),-1)</f>
      </c>
      <c r="BE65" s="68"/>
      <c r="BF65" s="69">
        <f>IF(AND(BH65&gt;=60,OR(MID(F65,8,1)="0",MID(F65,8,1)="0",MID(F65,8,1)="0",MID(F65,8,1)="0")),"외국인 고용 연금 제외",
  IF(OR(MID(F65,8,1)="0",MID(F65,8,1)="0",MID(F65,8,1)="0",MID(F65,8,1)="0"),"외국인 고용 제외",
  IF(BH65&gt;=65,"고용 연금 제외",
  IF(BH65&gt;=60,"연금 제외","정상"))))</f>
      </c>
      <c r="BG65" s="69">
        <f>IF(OR(MID(F65,8,1)="5",MID(F65,8,1)="6",MID(F65,8,1)="7",MID(F65,8,1)="8"),
  IF(RIGHT(F65,1)=RIGHT(13-MOD(SUM(MID(F65,1,1)*2,
MID(F65,2,1)*3,
MID(F65,3,1)*4,
MID(F65,4,1)*5,
MID(F65,5,1)*6,
MID(F65,6,1)*7,
MID(F65,8,1)*8,
MID(F65,9,1)*9,
MID(F65,10,1)*2,
MID(F65,11,1)*3,
MID(F65,12,1)*4,
MID(F65,13,1)*5),11),3),"정상","오류"),
 IF(RIGHT(F65,1)=RIGHT(11-MOD(SUM(MID(F65,1,1)*2,
  MID(F65,2,1)*3,
  MID(F65,3,1)*4,
  MID(F65,4,1)*5,
  MID(F65,5,1)*6,
  MID(F65,6,1)*7,
  MID(F65,8,1)*8,
  MID(F65,9,1)*9,
  MID(F65,10,1)*2,
  MID(F65,11,1)*3,
  MID(F65,12,1)*4,
  MID(F65,13,1)*5),11),1),"정상","오류"))</f>
      </c>
      <c r="BH65" s="1">
        <f>DATEDIF(DATE(IF(OR(MID(F65,8,1)="3",
        MID(F65,8,1)="4",
        MID(F65,8,1)="7",
        MID(F65,8,1)="8"),20,19)&amp;LEFT(F65,2),
        MID(F65,3,2),MID(F65,5,2)),TODAY(),"Y")</f>
      </c>
    </row>
    <row r="66" ht="17" customHeight="1" spans="1:60" x14ac:dyDescent="0.25">
      <c r="A66" s="70"/>
      <c r="B66" s="71"/>
      <c r="C66" s="72"/>
      <c r="D66" s="73"/>
      <c r="E66" s="131"/>
      <c r="F66" s="134"/>
      <c r="G66" s="119"/>
      <c r="H66" s="123"/>
      <c r="I66" s="124"/>
      <c r="J66" s="133"/>
      <c r="K66" s="9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9"/>
      <c r="AB66" s="80"/>
      <c r="AC66" s="48"/>
      <c r="AD66" s="81"/>
      <c r="AE66" s="82"/>
      <c r="AF66" s="83"/>
      <c r="AG66" s="84"/>
      <c r="AH66" s="84"/>
      <c r="AI66" s="85"/>
      <c r="AJ66" s="84"/>
      <c r="AK66" s="86"/>
      <c r="AL66" s="87"/>
      <c r="AM66" s="88"/>
      <c r="AN66" s="88"/>
      <c r="AO66" s="88"/>
      <c r="AP66" s="67">
        <f t="shared" ref="AP66" si="1178">ROUNDDOWN(IF(AD65*L66&gt;=150000,(((AD65*L66)-150000)*2.7%),0),-1)</f>
      </c>
      <c r="AQ66" s="67">
        <f t="shared" ref="AQ66" si="1179">ROUNDDOWN(IF(AD65*M66&gt;=150000,(((AD65*M66)-150000)*2.7%),0),-1)</f>
      </c>
      <c r="AR66" s="67">
        <f t="shared" ref="AR66" si="1180">ROUNDDOWN(IF(AD65*N66&gt;=150000,(((AD65*N66)-150000)*2.7%),0),-1)</f>
      </c>
      <c r="AS66" s="67">
        <f t="shared" ref="AS66" si="1181">ROUNDDOWN(IF(AD65*O66&gt;=150000,(((AD65*O66)-150000)*2.7%),0),-1)</f>
      </c>
      <c r="AT66" s="67">
        <f t="shared" ref="AT66" si="1182">ROUNDDOWN(IF(AD65*P66&gt;=150000,(((AD65*P66)-150000)*2.7%),0),-1)</f>
      </c>
      <c r="AU66" s="67">
        <f t="shared" ref="AU66" si="1183">ROUNDDOWN(IF(AD65*Q66&gt;=150000,(((AD65*Q66)-150000)*2.7%),0),-1)</f>
      </c>
      <c r="AV66" s="67">
        <f t="shared" ref="AV66" si="1184">ROUNDDOWN(IF(AD65*R66&gt;=150000,(((AD65*R66)-150000)*2.7%),0),-1)</f>
      </c>
      <c r="AW66" s="67">
        <f t="shared" ref="AW66" si="1185">ROUNDDOWN(IF(AD65*S66&gt;=150000,(((AD65*S66)-150000)*2.7%),0),-1)</f>
      </c>
      <c r="AX66" s="67">
        <f t="shared" ref="AX66" si="1186">ROUNDDOWN(IF(AD65*T66&gt;=150000,(((AD65*T66)-150000)*2.7%),0),-1)</f>
      </c>
      <c r="AY66" s="67">
        <f t="shared" ref="AY66" si="1187">ROUNDDOWN(IF(AD65*U66&gt;=150000,(((AD65*U66)-150000)*2.7%),0),-1)</f>
      </c>
      <c r="AZ66" s="67">
        <f t="shared" ref="AZ66" si="1188">ROUNDDOWN(IF(AD65*V66&gt;=150000,(((AD65*V66)-150000)*2.7%),0),-1)</f>
      </c>
      <c r="BA66" s="67">
        <f t="shared" ref="BA66" si="1189">ROUNDDOWN(IF(AD65*W66&gt;=150000,(((AD65*W66)-150000)*2.7%),0),-1)</f>
      </c>
      <c r="BB66" s="67">
        <f t="shared" ref="BB66" si="1190">ROUNDDOWN(IF(AD65*X66&gt;=150000,(((AD65*X66)-150000)*2.7%),0),-1)</f>
      </c>
      <c r="BC66" s="67">
        <f t="shared" ref="BC66" si="1191">ROUNDDOWN(IF(AD65*Y66&gt;=150000,(((AD65*Y66)-150000)*2.7%),0),-1)</f>
      </c>
      <c r="BD66" s="67">
        <f t="shared" ref="BD66" si="1192">ROUNDDOWN(IF(AD65*Z66&gt;=150000,(((AD65*Z66)-150000)*2.7%),0),-1)</f>
      </c>
      <c r="BE66" s="67">
        <f t="shared" ref="BE66" si="1193">ROUNDDOWN(IF(AD65*AA66&gt;=150000,(((AD65*AA66)-150000)*2.7%),0),-1)</f>
      </c>
      <c r="BF66" s="69"/>
      <c r="BG66" s="69"/>
      <c r="BH66" s="1"/>
    </row>
    <row r="67" ht="16.5" customHeight="1" spans="1:60" x14ac:dyDescent="0.25">
      <c r="A67" s="70">
        <v>30</v>
      </c>
      <c r="B67" s="46">
        <f t="shared" ref="B67" si="1194">BG67</f>
      </c>
      <c r="C67" s="47">
        <f t="shared" ref="C67" si="1195">BF67</f>
      </c>
      <c r="D67" s="48"/>
      <c r="E67" s="73"/>
      <c r="F67" s="125"/>
      <c r="G67" s="126"/>
      <c r="H67" s="135"/>
      <c r="I67" s="136"/>
      <c r="J67" s="98"/>
      <c r="K67" s="98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90"/>
      <c r="AB67" s="91">
        <f t="shared" ref="AB67" si="1196">SUM(L67:AA68)</f>
      </c>
      <c r="AC67" s="92">
        <f t="shared" ref="AC67" si="1197">COUNT(L67:AA68)</f>
      </c>
      <c r="AD67" s="59"/>
      <c r="AE67" s="60">
        <f t="shared" ref="AE67" si="1198">AB67*AD67</f>
      </c>
      <c r="AF67" s="61">
        <f t="shared" ref="AF67" si="1199">IF(SUM(AP67:BE68)&gt;=1000,ROUNDDOWN((SUM(AP67:BE68)),-1),0)</f>
      </c>
      <c r="AG67" s="62">
        <f t="shared" ref="AG67" si="1200">ROUNDDOWN(AF67*10%,-1)</f>
      </c>
      <c r="AH67" s="62">
        <f t="shared" ref="AH67" si="1201">IFERROR(IF(OR(C67="외국인 고용 연금 제외",C67="외국인 고용 제외",C67="고용 연금 제외"),0,ROUNDDOWN(AE67*0.9%,-1)),"")</f>
      </c>
      <c r="AI67" s="63">
        <f t="shared" ref="AI67" si="1202">IFERROR(IF(OR(C67="외국인 고용 연금 제외",C67="고용 연금 제외",C67="연금 제외"),0,
   IF(OR(AC67&gt;=8,AE67&gt;=2200000),
    IF(AE67&gt;=5900000,ROUNDDOWN(5900000*4.5%,-1),
     IF(AE67&lt;=370000,ROUNDDOWN(370000*4.5%,-1),ROUNDDOWN(ROUNDDOWN(AE67,-3)*4.5%,-1))),0)),"")</f>
      </c>
      <c r="AJ67" s="62">
        <f t="shared" ref="AJ67" si="1203">IF(AC67&gt;=8,IF(AE67&gt;=104536481,ROUNDDOWN(104536481*3.545%,-1),IF(AE67&lt;=279256,ROUNDDOWN(279256*3.545%,-1),ROUNDDOWN(AE67*3.545%,-1))),0)</f>
      </c>
      <c r="AK67" s="64">
        <f>ROUNDDOWN(AJ67*12.95%,-1)</f>
      </c>
      <c r="AL67" s="87">
        <f t="shared" ref="AL67" si="1204">SUM(AF67:AK68)</f>
      </c>
      <c r="AM67" s="88"/>
      <c r="AN67" s="66">
        <f t="shared" ref="AN67" si="1205">IFERROR(AE67-AL67-AM67,"")</f>
      </c>
      <c r="AO67" s="88"/>
      <c r="AP67" s="67">
        <f t="shared" ref="AP67" si="1206">ROUNDDOWN(IF(AD67*L67&gt;=150000,(((AD67*L67)-150000)*2.7%),0),-1)</f>
      </c>
      <c r="AQ67" s="68">
        <f t="shared" ref="AQ67" si="1207">ROUNDDOWN(IF(AD67*M67&gt;=150000,(((AD67*M67)-150000)*2.7%),0),-1)</f>
      </c>
      <c r="AR67" s="68">
        <f t="shared" ref="AR67" si="1208">ROUNDDOWN(IF(AD67*N67&gt;=150000,(((AD67*N67)-150000)*2.7%),0),-1)</f>
      </c>
      <c r="AS67" s="68">
        <f t="shared" ref="AS67" si="1209">ROUNDDOWN(IF(AD67*O67&gt;=150000,(((AD67*O67)-150000)*2.7%),0),-1)</f>
      </c>
      <c r="AT67" s="68">
        <f t="shared" ref="AT67" si="1210">ROUNDDOWN(IF(AD67*P67&gt;=150000,(((AD67*P67)-150000)*2.7%),0),-1)</f>
      </c>
      <c r="AU67" s="68">
        <f t="shared" ref="AU67" si="1211">ROUNDDOWN(IF(AD67*Q67&gt;=150000,(((AD67*Q67)-150000)*2.7%),0),-1)</f>
      </c>
      <c r="AV67" s="68">
        <f t="shared" ref="AV67" si="1212">ROUNDDOWN(IF(AD67*R67&gt;=150000,(((AD67*R67)-150000)*2.7%),0),-1)</f>
      </c>
      <c r="AW67" s="68">
        <f t="shared" ref="AW67" si="1213">ROUNDDOWN(IF(AD67*S67&gt;=150000,(((AD67*S67)-150000)*2.7%),0),-1)</f>
      </c>
      <c r="AX67" s="68">
        <f t="shared" ref="AX67" si="1214">ROUNDDOWN(IF(AD67*T67&gt;=150000,(((AD67*T67)-150000)*2.7%),0),-1)</f>
      </c>
      <c r="AY67" s="68">
        <f t="shared" ref="AY67" si="1215">ROUNDDOWN(IF(AD67*U67&gt;=150000,(((AD67*U67)-150000)*2.7%),0),-1)</f>
      </c>
      <c r="AZ67" s="68">
        <f t="shared" ref="AZ67" si="1216">ROUNDDOWN(IF(AD67*V67&gt;=150000,(((AD67*V67)-150000)*2.7%),0),-1)</f>
      </c>
      <c r="BA67" s="68">
        <f t="shared" ref="BA67" si="1217">ROUNDDOWN(IF(AD67*W67&gt;=150000,(((AD67*W67)-150000)*2.7%),0),-1)</f>
      </c>
      <c r="BB67" s="68">
        <f t="shared" ref="BB67" si="1218">ROUNDDOWN(IF(AD67*X67&gt;=150000,(((AD67*X67)-150000)*2.7%),0),-1)</f>
      </c>
      <c r="BC67" s="68">
        <f t="shared" ref="BC67" si="1219">ROUNDDOWN(IF(AD67*Y67&gt;=150000,(((AD67*Y67)-150000)*2.7%),0),-1)</f>
      </c>
      <c r="BD67" s="68">
        <f t="shared" ref="BD67" si="1220">ROUNDDOWN(IF(AD67*Z67&gt;=150000,(((AD67*Z67)-150000)*2.7%),0),-1)</f>
      </c>
      <c r="BE67" s="68"/>
      <c r="BF67" s="69">
        <f>IF(AND(BH67&gt;=60,OR(MID(F67,8,1)="0",MID(F67,8,1)="0",MID(F67,8,1)="0",MID(F67,8,1)="0")),"외국인 고용 연금 제외",
  IF(OR(MID(F67,8,1)="0",MID(F67,8,1)="0",MID(F67,8,1)="0",MID(F67,8,1)="0"),"외국인 고용 제외",
  IF(BH67&gt;=65,"고용 연금 제외",
  IF(BH67&gt;=60,"연금 제외","정상"))))</f>
      </c>
      <c r="BG67" s="69">
        <f>IF(OR(MID(F67,8,1)="5",MID(F67,8,1)="6",MID(F67,8,1)="7",MID(F67,8,1)="8"),
  IF(RIGHT(F67,1)=RIGHT(13-MOD(SUM(MID(F67,1,1)*2,
MID(F67,2,1)*3,
MID(F67,3,1)*4,
MID(F67,4,1)*5,
MID(F67,5,1)*6,
MID(F67,6,1)*7,
MID(F67,8,1)*8,
MID(F67,9,1)*9,
MID(F67,10,1)*2,
MID(F67,11,1)*3,
MID(F67,12,1)*4,
MID(F67,13,1)*5),11),3),"정상","오류"),
 IF(RIGHT(F67,1)=RIGHT(11-MOD(SUM(MID(F67,1,1)*2,
  MID(F67,2,1)*3,
  MID(F67,3,1)*4,
  MID(F67,4,1)*5,
  MID(F67,5,1)*6,
  MID(F67,6,1)*7,
  MID(F67,8,1)*8,
  MID(F67,9,1)*9,
  MID(F67,10,1)*2,
  MID(F67,11,1)*3,
  MID(F67,12,1)*4,
  MID(F67,13,1)*5),11),1),"정상","오류"))</f>
      </c>
      <c r="BH67" s="1">
        <f>DATEDIF(DATE(IF(OR(MID(F67,8,1)="3",
        MID(F67,8,1)="4",
        MID(F67,8,1)="7",
        MID(F67,8,1)="8"),20,19)&amp;LEFT(F67,2),
        MID(F67,3,2),MID(F67,5,2)),TODAY(),"Y")</f>
      </c>
    </row>
    <row r="68" ht="17" customHeight="1" spans="1:60" x14ac:dyDescent="0.25">
      <c r="A68" s="70"/>
      <c r="B68" s="71"/>
      <c r="C68" s="72"/>
      <c r="D68" s="73"/>
      <c r="E68" s="73"/>
      <c r="F68" s="128"/>
      <c r="G68" s="129"/>
      <c r="H68" s="137"/>
      <c r="I68" s="136"/>
      <c r="J68" s="98"/>
      <c r="K68" s="9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9"/>
      <c r="AB68" s="80"/>
      <c r="AC68" s="48"/>
      <c r="AD68" s="81"/>
      <c r="AE68" s="82"/>
      <c r="AF68" s="83"/>
      <c r="AG68" s="84"/>
      <c r="AH68" s="84"/>
      <c r="AI68" s="85"/>
      <c r="AJ68" s="84"/>
      <c r="AK68" s="86"/>
      <c r="AL68" s="87"/>
      <c r="AM68" s="88"/>
      <c r="AN68" s="88"/>
      <c r="AO68" s="88"/>
      <c r="AP68" s="67">
        <f t="shared" ref="AP68" si="1221">ROUNDDOWN(IF(AD67*L68&gt;=150000,(((AD67*L68)-150000)*2.7%),0),-1)</f>
      </c>
      <c r="AQ68" s="67">
        <f t="shared" ref="AQ68" si="1222">ROUNDDOWN(IF(AD67*M68&gt;=150000,(((AD67*M68)-150000)*2.7%),0),-1)</f>
      </c>
      <c r="AR68" s="67">
        <f t="shared" ref="AR68" si="1223">ROUNDDOWN(IF(AD67*N68&gt;=150000,(((AD67*N68)-150000)*2.7%),0),-1)</f>
      </c>
      <c r="AS68" s="67">
        <f t="shared" ref="AS68" si="1224">ROUNDDOWN(IF(AD67*O68&gt;=150000,(((AD67*O68)-150000)*2.7%),0),-1)</f>
      </c>
      <c r="AT68" s="67">
        <f t="shared" ref="AT68" si="1225">ROUNDDOWN(IF(AD67*P68&gt;=150000,(((AD67*P68)-150000)*2.7%),0),-1)</f>
      </c>
      <c r="AU68" s="67">
        <f t="shared" ref="AU68" si="1226">ROUNDDOWN(IF(AD67*Q68&gt;=150000,(((AD67*Q68)-150000)*2.7%),0),-1)</f>
      </c>
      <c r="AV68" s="67">
        <f t="shared" ref="AV68" si="1227">ROUNDDOWN(IF(AD67*R68&gt;=150000,(((AD67*R68)-150000)*2.7%),0),-1)</f>
      </c>
      <c r="AW68" s="67">
        <f t="shared" ref="AW68" si="1228">ROUNDDOWN(IF(AD67*S68&gt;=150000,(((AD67*S68)-150000)*2.7%),0),-1)</f>
      </c>
      <c r="AX68" s="67">
        <f t="shared" ref="AX68" si="1229">ROUNDDOWN(IF(AD67*T68&gt;=150000,(((AD67*T68)-150000)*2.7%),0),-1)</f>
      </c>
      <c r="AY68" s="67">
        <f t="shared" ref="AY68" si="1230">ROUNDDOWN(IF(AD67*U68&gt;=150000,(((AD67*U68)-150000)*2.7%),0),-1)</f>
      </c>
      <c r="AZ68" s="67">
        <f t="shared" ref="AZ68" si="1231">ROUNDDOWN(IF(AD67*V68&gt;=150000,(((AD67*V68)-150000)*2.7%),0),-1)</f>
      </c>
      <c r="BA68" s="67">
        <f t="shared" ref="BA68" si="1232">ROUNDDOWN(IF(AD67*W68&gt;=150000,(((AD67*W68)-150000)*2.7%),0),-1)</f>
      </c>
      <c r="BB68" s="67">
        <f t="shared" ref="BB68" si="1233">ROUNDDOWN(IF(AD67*X68&gt;=150000,(((AD67*X68)-150000)*2.7%),0),-1)</f>
      </c>
      <c r="BC68" s="67">
        <f t="shared" ref="BC68" si="1234">ROUNDDOWN(IF(AD67*Y68&gt;=150000,(((AD67*Y68)-150000)*2.7%),0),-1)</f>
      </c>
      <c r="BD68" s="67">
        <f t="shared" ref="BD68" si="1235">ROUNDDOWN(IF(AD67*Z68&gt;=150000,(((AD67*Z68)-150000)*2.7%),0),-1)</f>
      </c>
      <c r="BE68" s="67">
        <f t="shared" ref="BE68" si="1236">ROUNDDOWN(IF(AD67*AA68&gt;=150000,(((AD67*AA68)-150000)*2.7%),0),-1)</f>
      </c>
      <c r="BF68" s="69"/>
      <c r="BG68" s="69"/>
      <c r="BH68" s="1"/>
    </row>
    <row r="69" ht="17" customHeight="1" spans="1:60" x14ac:dyDescent="0.25">
      <c r="A69" s="45">
        <v>31</v>
      </c>
      <c r="B69" s="46">
        <f t="shared" ref="B69" si="1237">BG69</f>
      </c>
      <c r="C69" s="47">
        <f t="shared" ref="C69" si="1238">BF69</f>
      </c>
      <c r="D69" s="48"/>
      <c r="E69" s="73"/>
      <c r="F69" s="125"/>
      <c r="G69" s="126"/>
      <c r="H69" s="135"/>
      <c r="I69" s="98"/>
      <c r="J69" s="98"/>
      <c r="K69" s="98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90"/>
      <c r="AB69" s="91">
        <f t="shared" ref="AB69" si="1239">SUM(L69:AA70)</f>
      </c>
      <c r="AC69" s="92">
        <f t="shared" ref="AC69" si="1240">COUNT(L69:AA70)</f>
      </c>
      <c r="AD69" s="59"/>
      <c r="AE69" s="60">
        <f t="shared" ref="AE69" si="1241">AB69*AD69</f>
      </c>
      <c r="AF69" s="61">
        <f t="shared" ref="AF69" si="1242">IF(SUM(AP69:BE70)&gt;=1000,ROUNDDOWN((SUM(AP69:BE70)),-1),0)</f>
      </c>
      <c r="AG69" s="62">
        <f t="shared" ref="AG69" si="1243">ROUNDDOWN(AF69*10%,-1)</f>
      </c>
      <c r="AH69" s="62">
        <f t="shared" ref="AH69" si="1244">IFERROR(IF(OR(C69="외국인 고용 연금 제외",C69="외국인 고용 제외",C69="고용 연금 제외"),0,ROUNDDOWN(AE69*0.9%,-1)),"")</f>
      </c>
      <c r="AI69" s="63">
        <f t="shared" ref="AI69" si="1245">IFERROR(IF(OR(C69="외국인 고용 연금 제외",C69="고용 연금 제외",C69="연금 제외"),0,
   IF(OR(AC69&gt;=8,AE69&gt;=2200000),
    IF(AE69&gt;=5900000,ROUNDDOWN(5900000*4.5%,-1),
     IF(AE69&lt;=370000,ROUNDDOWN(370000*4.5%,-1),ROUNDDOWN(ROUNDDOWN(AE69,-3)*4.5%,-1))),0)),"")</f>
      </c>
      <c r="AJ69" s="62">
        <f t="shared" ref="AJ69" si="1246">IF(AC69&gt;=8,IF(AE69&gt;=104536481,ROUNDDOWN(104536481*3.545%,-1),IF(AE69&lt;=279256,ROUNDDOWN(279256*3.545%,-1),ROUNDDOWN(AE69*3.545%,-1))),0)</f>
      </c>
      <c r="AK69" s="64">
        <f>ROUNDDOWN(AJ69*12.95%,-1)</f>
      </c>
      <c r="AL69" s="87">
        <f t="shared" ref="AL69" si="1247">SUM(AF69:AK70)</f>
      </c>
      <c r="AM69" s="88"/>
      <c r="AN69" s="66">
        <f t="shared" ref="AN69" si="1248">IFERROR(AE69-AL69-AM69,"")</f>
      </c>
      <c r="AO69" s="88"/>
      <c r="AP69" s="67">
        <f t="shared" ref="AP69" si="1249">ROUNDDOWN(IF(AD69*L69&gt;=150000,(((AD69*L69)-150000)*2.7%),0),-1)</f>
      </c>
      <c r="AQ69" s="68">
        <f t="shared" ref="AQ69" si="1250">ROUNDDOWN(IF(AD69*M69&gt;=150000,(((AD69*M69)-150000)*2.7%),0),-1)</f>
      </c>
      <c r="AR69" s="68">
        <f t="shared" ref="AR69" si="1251">ROUNDDOWN(IF(AD69*N69&gt;=150000,(((AD69*N69)-150000)*2.7%),0),-1)</f>
      </c>
      <c r="AS69" s="68">
        <f t="shared" ref="AS69" si="1252">ROUNDDOWN(IF(AD69*O69&gt;=150000,(((AD69*O69)-150000)*2.7%),0),-1)</f>
      </c>
      <c r="AT69" s="68">
        <f t="shared" ref="AT69" si="1253">ROUNDDOWN(IF(AD69*P69&gt;=150000,(((AD69*P69)-150000)*2.7%),0),-1)</f>
      </c>
      <c r="AU69" s="68">
        <f t="shared" ref="AU69" si="1254">ROUNDDOWN(IF(AD69*Q69&gt;=150000,(((AD69*Q69)-150000)*2.7%),0),-1)</f>
      </c>
      <c r="AV69" s="68">
        <f t="shared" ref="AV69" si="1255">ROUNDDOWN(IF(AD69*R69&gt;=150000,(((AD69*R69)-150000)*2.7%),0),-1)</f>
      </c>
      <c r="AW69" s="68">
        <f t="shared" ref="AW69" si="1256">ROUNDDOWN(IF(AD69*S69&gt;=150000,(((AD69*S69)-150000)*2.7%),0),-1)</f>
      </c>
      <c r="AX69" s="68">
        <f t="shared" ref="AX69" si="1257">ROUNDDOWN(IF(AD69*T69&gt;=150000,(((AD69*T69)-150000)*2.7%),0),-1)</f>
      </c>
      <c r="AY69" s="68">
        <f t="shared" ref="AY69" si="1258">ROUNDDOWN(IF(AD69*U69&gt;=150000,(((AD69*U69)-150000)*2.7%),0),-1)</f>
      </c>
      <c r="AZ69" s="68">
        <f t="shared" ref="AZ69" si="1259">ROUNDDOWN(IF(AD69*V69&gt;=150000,(((AD69*V69)-150000)*2.7%),0),-1)</f>
      </c>
      <c r="BA69" s="68">
        <f t="shared" ref="BA69" si="1260">ROUNDDOWN(IF(AD69*W69&gt;=150000,(((AD69*W69)-150000)*2.7%),0),-1)</f>
      </c>
      <c r="BB69" s="68">
        <f t="shared" ref="BB69" si="1261">ROUNDDOWN(IF(AD69*X69&gt;=150000,(((AD69*X69)-150000)*2.7%),0),-1)</f>
      </c>
      <c r="BC69" s="68">
        <f t="shared" ref="BC69" si="1262">ROUNDDOWN(IF(AD69*Y69&gt;=150000,(((AD69*Y69)-150000)*2.7%),0),-1)</f>
      </c>
      <c r="BD69" s="68">
        <f t="shared" ref="BD69" si="1263">ROUNDDOWN(IF(AD69*Z69&gt;=150000,(((AD69*Z69)-150000)*2.7%),0),-1)</f>
      </c>
      <c r="BE69" s="68"/>
      <c r="BF69" s="69">
        <f>IF(AND(BH69&gt;=60,OR(MID(F69,8,1)="0",MID(F69,8,1)="0",MID(F69,8,1)="0",MID(F69,8,1)="0")),"외국인 고용 연금 제외",
  IF(OR(MID(F69,8,1)="0",MID(F69,8,1)="0",MID(F69,8,1)="0",MID(F69,8,1)="0"),"외국인 고용 제외",
  IF(BH69&gt;=65,"고용 연금 제외",
  IF(BH69&gt;=60,"연금 제외","정상"))))</f>
      </c>
      <c r="BG69" s="69">
        <f>IF(OR(MID(F69,8,1)="5",MID(F69,8,1)="6",MID(F69,8,1)="7",MID(F69,8,1)="8"),
  IF(RIGHT(F69,1)=RIGHT(13-MOD(SUM(MID(F69,1,1)*2,
MID(F69,2,1)*3,
MID(F69,3,1)*4,
MID(F69,4,1)*5,
MID(F69,5,1)*6,
MID(F69,6,1)*7,
MID(F69,8,1)*8,
MID(F69,9,1)*9,
MID(F69,10,1)*2,
MID(F69,11,1)*3,
MID(F69,12,1)*4,
MID(F69,13,1)*5),11),3),"정상","오류"),
 IF(RIGHT(F69,1)=RIGHT(11-MOD(SUM(MID(F69,1,1)*2,
  MID(F69,2,1)*3,
  MID(F69,3,1)*4,
  MID(F69,4,1)*5,
  MID(F69,5,1)*6,
  MID(F69,6,1)*7,
  MID(F69,8,1)*8,
  MID(F69,9,1)*9,
  MID(F69,10,1)*2,
  MID(F69,11,1)*3,
  MID(F69,12,1)*4,
  MID(F69,13,1)*5),11),1),"정상","오류"))</f>
      </c>
      <c r="BH69" s="1">
        <f>DATEDIF(DATE(IF(OR(MID(F69,8,1)="3",
        MID(F69,8,1)="4",
        MID(F69,8,1)="7",
        MID(F69,8,1)="8"),20,19)&amp;LEFT(F69,2),
        MID(F69,3,2),MID(F69,5,2)),TODAY(),"Y")</f>
      </c>
    </row>
    <row r="70" ht="17" customHeight="1" spans="1:60" x14ac:dyDescent="0.25">
      <c r="A70" s="70"/>
      <c r="B70" s="71"/>
      <c r="C70" s="72"/>
      <c r="D70" s="73"/>
      <c r="E70" s="73"/>
      <c r="F70" s="128"/>
      <c r="G70" s="129"/>
      <c r="H70" s="137"/>
      <c r="I70" s="98"/>
      <c r="J70" s="98"/>
      <c r="K70" s="98"/>
      <c r="L70" s="138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40"/>
      <c r="AB70" s="80"/>
      <c r="AC70" s="48"/>
      <c r="AD70" s="81"/>
      <c r="AE70" s="82"/>
      <c r="AF70" s="83"/>
      <c r="AG70" s="84"/>
      <c r="AH70" s="84"/>
      <c r="AI70" s="85"/>
      <c r="AJ70" s="84"/>
      <c r="AK70" s="86"/>
      <c r="AL70" s="87"/>
      <c r="AM70" s="88"/>
      <c r="AN70" s="88"/>
      <c r="AO70" s="88"/>
      <c r="AP70" s="67">
        <f t="shared" ref="AP70" si="1264">ROUNDDOWN(IF(AD69*L70&gt;=150000,(((AD69*L70)-150000)*2.7%),0),-1)</f>
      </c>
      <c r="AQ70" s="67">
        <f t="shared" ref="AQ70" si="1265">ROUNDDOWN(IF(AD69*M70&gt;=150000,(((AD69*M70)-150000)*2.7%),0),-1)</f>
      </c>
      <c r="AR70" s="67">
        <f t="shared" ref="AR70" si="1266">ROUNDDOWN(IF(AD69*N70&gt;=150000,(((AD69*N70)-150000)*2.7%),0),-1)</f>
      </c>
      <c r="AS70" s="67">
        <f t="shared" ref="AS70" si="1267">ROUNDDOWN(IF(AD69*O70&gt;=150000,(((AD69*O70)-150000)*2.7%),0),-1)</f>
      </c>
      <c r="AT70" s="67">
        <f t="shared" ref="AT70" si="1268">ROUNDDOWN(IF(AD69*P70&gt;=150000,(((AD69*P70)-150000)*2.7%),0),-1)</f>
      </c>
      <c r="AU70" s="67">
        <f t="shared" ref="AU70" si="1269">ROUNDDOWN(IF(AD69*Q70&gt;=150000,(((AD69*Q70)-150000)*2.7%),0),-1)</f>
      </c>
      <c r="AV70" s="67">
        <f t="shared" ref="AV70" si="1270">ROUNDDOWN(IF(AD69*R70&gt;=150000,(((AD69*R70)-150000)*2.7%),0),-1)</f>
      </c>
      <c r="AW70" s="67">
        <f t="shared" ref="AW70" si="1271">ROUNDDOWN(IF(AD69*S70&gt;=150000,(((AD69*S70)-150000)*2.7%),0),-1)</f>
      </c>
      <c r="AX70" s="67">
        <f t="shared" ref="AX70" si="1272">ROUNDDOWN(IF(AD69*T70&gt;=150000,(((AD69*T70)-150000)*2.7%),0),-1)</f>
      </c>
      <c r="AY70" s="67">
        <f t="shared" ref="AY70" si="1273">ROUNDDOWN(IF(AD69*U70&gt;=150000,(((AD69*U70)-150000)*2.7%),0),-1)</f>
      </c>
      <c r="AZ70" s="67">
        <f t="shared" ref="AZ70" si="1274">ROUNDDOWN(IF(AD69*V70&gt;=150000,(((AD69*V70)-150000)*2.7%),0),-1)</f>
      </c>
      <c r="BA70" s="67">
        <f t="shared" ref="BA70" si="1275">ROUNDDOWN(IF(AD69*W70&gt;=150000,(((AD69*W70)-150000)*2.7%),0),-1)</f>
      </c>
      <c r="BB70" s="67">
        <f t="shared" ref="BB70" si="1276">ROUNDDOWN(IF(AD69*X70&gt;=150000,(((AD69*X70)-150000)*2.7%),0),-1)</f>
      </c>
      <c r="BC70" s="67">
        <f t="shared" ref="BC70" si="1277">ROUNDDOWN(IF(AD69*Y70&gt;=150000,(((AD69*Y70)-150000)*2.7%),0),-1)</f>
      </c>
      <c r="BD70" s="67">
        <f t="shared" ref="BD70" si="1278">ROUNDDOWN(IF(AD69*Z70&gt;=150000,(((AD69*Z70)-150000)*2.7%),0),-1)</f>
      </c>
      <c r="BE70" s="67">
        <f t="shared" ref="BE70" si="1279">ROUNDDOWN(IF(AD69*AA70&gt;=150000,(((AD69*AA70)-150000)*2.7%),0),-1)</f>
      </c>
      <c r="BF70" s="69"/>
      <c r="BG70" s="69"/>
      <c r="BH70" s="1"/>
    </row>
    <row r="71" ht="17" customHeight="1" spans="1:60" x14ac:dyDescent="0.25">
      <c r="A71" s="70">
        <v>32</v>
      </c>
      <c r="B71" s="46">
        <f t="shared" ref="B71" si="1280">BG71</f>
      </c>
      <c r="C71" s="47">
        <f t="shared" ref="C71" si="1281">BF71</f>
      </c>
      <c r="D71" s="109"/>
      <c r="E71" s="49"/>
      <c r="F71" s="141"/>
      <c r="G71" s="126"/>
      <c r="H71" s="142"/>
      <c r="I71" s="143"/>
      <c r="J71" s="53"/>
      <c r="K71" s="98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90"/>
      <c r="AB71" s="91">
        <f t="shared" ref="AB71" si="1282">SUM(L71:AA72)</f>
      </c>
      <c r="AC71" s="92">
        <f t="shared" ref="AC71" si="1283">COUNT(L71:AA72)</f>
      </c>
      <c r="AD71" s="59"/>
      <c r="AE71" s="60">
        <f t="shared" ref="AE71" si="1284">AB71*AD71</f>
      </c>
      <c r="AF71" s="61">
        <f t="shared" ref="AF71" si="1285">IF(SUM(AP71:BE72)&gt;=1000,ROUNDDOWN((SUM(AP71:BE72)),-1),0)</f>
      </c>
      <c r="AG71" s="62">
        <f t="shared" ref="AG71" si="1286">ROUNDDOWN(AF71*10%,-1)</f>
      </c>
      <c r="AH71" s="62">
        <f t="shared" ref="AH71" si="1287">IFERROR(IF(OR(C71="외국인 고용 연금 제외",C71="외국인 고용 제외",C71="고용 연금 제외"),0,ROUNDDOWN(AE71*0.9%,-1)),"")</f>
      </c>
      <c r="AI71" s="63">
        <f t="shared" ref="AI71" si="1288">IFERROR(IF(OR(C71="외국인 고용 연금 제외",C71="고용 연금 제외",C71="연금 제외"),0,
   IF(OR(AC71&gt;=8,AE71&gt;=2200000),
    IF(AE71&gt;=5900000,ROUNDDOWN(5900000*4.5%,-1),
     IF(AE71&lt;=370000,ROUNDDOWN(370000*4.5%,-1),ROUNDDOWN(ROUNDDOWN(AE71,-3)*4.5%,-1))),0)),"")</f>
      </c>
      <c r="AJ71" s="62">
        <f t="shared" ref="AJ71" si="1289">IF(AC71&gt;=8,IF(AE71&gt;=104536481,ROUNDDOWN(104536481*3.545%,-1),IF(AE71&lt;=279256,ROUNDDOWN(279256*3.545%,-1),ROUNDDOWN(AE71*3.545%,-1))),0)</f>
      </c>
      <c r="AK71" s="64">
        <f>ROUNDDOWN(AJ71*12.95%,-1)</f>
      </c>
      <c r="AL71" s="87">
        <f t="shared" ref="AL71" si="1290">SUM(AF71:AK72)</f>
      </c>
      <c r="AM71" s="88"/>
      <c r="AN71" s="66">
        <f t="shared" ref="AN71" si="1291">IFERROR(AE71-AL71-AM71,"")</f>
      </c>
      <c r="AO71" s="88"/>
      <c r="AP71" s="67">
        <f t="shared" ref="AP71" si="1292">ROUNDDOWN(IF(AD71*L71&gt;=150000,(((AD71*L71)-150000)*2.7%),0),-1)</f>
      </c>
      <c r="AQ71" s="68">
        <f t="shared" ref="AQ71" si="1293">ROUNDDOWN(IF(AD71*M71&gt;=150000,(((AD71*M71)-150000)*2.7%),0),-1)</f>
      </c>
      <c r="AR71" s="68">
        <f t="shared" ref="AR71" si="1294">ROUNDDOWN(IF(AD71*N71&gt;=150000,(((AD71*N71)-150000)*2.7%),0),-1)</f>
      </c>
      <c r="AS71" s="68">
        <f t="shared" ref="AS71" si="1295">ROUNDDOWN(IF(AD71*O71&gt;=150000,(((AD71*O71)-150000)*2.7%),0),-1)</f>
      </c>
      <c r="AT71" s="68">
        <f t="shared" ref="AT71" si="1296">ROUNDDOWN(IF(AD71*P71&gt;=150000,(((AD71*P71)-150000)*2.7%),0),-1)</f>
      </c>
      <c r="AU71" s="68">
        <f t="shared" ref="AU71" si="1297">ROUNDDOWN(IF(AD71*Q71&gt;=150000,(((AD71*Q71)-150000)*2.7%),0),-1)</f>
      </c>
      <c r="AV71" s="68">
        <f t="shared" ref="AV71" si="1298">ROUNDDOWN(IF(AD71*R71&gt;=150000,(((AD71*R71)-150000)*2.7%),0),-1)</f>
      </c>
      <c r="AW71" s="68">
        <f t="shared" ref="AW71" si="1299">ROUNDDOWN(IF(AD71*S71&gt;=150000,(((AD71*S71)-150000)*2.7%),0),-1)</f>
      </c>
      <c r="AX71" s="68">
        <f t="shared" ref="AX71" si="1300">ROUNDDOWN(IF(AD71*T71&gt;=150000,(((AD71*T71)-150000)*2.7%),0),-1)</f>
      </c>
      <c r="AY71" s="68">
        <f t="shared" ref="AY71" si="1301">ROUNDDOWN(IF(AD71*U71&gt;=150000,(((AD71*U71)-150000)*2.7%),0),-1)</f>
      </c>
      <c r="AZ71" s="68">
        <f t="shared" ref="AZ71" si="1302">ROUNDDOWN(IF(AD71*V71&gt;=150000,(((AD71*V71)-150000)*2.7%),0),-1)</f>
      </c>
      <c r="BA71" s="68">
        <f t="shared" ref="BA71" si="1303">ROUNDDOWN(IF(AD71*W71&gt;=150000,(((AD71*W71)-150000)*2.7%),0),-1)</f>
      </c>
      <c r="BB71" s="68">
        <f t="shared" ref="BB71" si="1304">ROUNDDOWN(IF(AD71*X71&gt;=150000,(((AD71*X71)-150000)*2.7%),0),-1)</f>
      </c>
      <c r="BC71" s="68">
        <f t="shared" ref="BC71" si="1305">ROUNDDOWN(IF(AD71*Y71&gt;=150000,(((AD71*Y71)-150000)*2.7%),0),-1)</f>
      </c>
      <c r="BD71" s="68">
        <f t="shared" ref="BD71" si="1306">ROUNDDOWN(IF(AD71*Z71&gt;=150000,(((AD71*Z71)-150000)*2.7%),0),-1)</f>
      </c>
      <c r="BE71" s="68"/>
      <c r="BF71" s="69">
        <f>IF(AND(BH71&gt;=60,OR(MID(F71,8,1)="0",MID(F71,8,1)="0",MID(F71,8,1)="0",MID(F71,8,1)="0")),"외국인 고용 연금 제외",
  IF(OR(MID(F71,8,1)="0",MID(F71,8,1)="0",MID(F71,8,1)="0",MID(F71,8,1)="0"),"외국인 고용 제외",
  IF(BH71&gt;=65,"고용 연금 제외",
  IF(BH71&gt;=60,"연금 제외","정상"))))</f>
      </c>
      <c r="BG71" s="69">
        <f>IF(OR(MID(F71,8,1)="5",MID(F71,8,1)="6",MID(F71,8,1)="7",MID(F71,8,1)="8"),
  IF(RIGHT(F71,1)=RIGHT(13-MOD(SUM(MID(F71,1,1)*2,
MID(F71,2,1)*3,
MID(F71,3,1)*4,
MID(F71,4,1)*5,
MID(F71,5,1)*6,
MID(F71,6,1)*7,
MID(F71,8,1)*8,
MID(F71,9,1)*9,
MID(F71,10,1)*2,
MID(F71,11,1)*3,
MID(F71,12,1)*4,
MID(F71,13,1)*5),11),3),"정상","오류"),
 IF(RIGHT(F71,1)=RIGHT(11-MOD(SUM(MID(F71,1,1)*2,
  MID(F71,2,1)*3,
  MID(F71,3,1)*4,
  MID(F71,4,1)*5,
  MID(F71,5,1)*6,
  MID(F71,6,1)*7,
  MID(F71,8,1)*8,
  MID(F71,9,1)*9,
  MID(F71,10,1)*2,
  MID(F71,11,1)*3,
  MID(F71,12,1)*4,
  MID(F71,13,1)*5),11),1),"정상","오류"))</f>
      </c>
      <c r="BH71" s="1">
        <f>DATEDIF(DATE(IF(OR(MID(F71,8,1)="3",
        MID(F71,8,1)="4",
        MID(F71,8,1)="7",
        MID(F71,8,1)="8"),20,19)&amp;LEFT(F71,2),
        MID(F71,3,2),MID(F71,5,2)),TODAY(),"Y")</f>
      </c>
    </row>
    <row r="72" ht="17.25" customHeight="1" spans="1:60" x14ac:dyDescent="0.25">
      <c r="A72" s="70"/>
      <c r="B72" s="71"/>
      <c r="C72" s="72"/>
      <c r="D72" s="112"/>
      <c r="E72" s="74"/>
      <c r="F72" s="104"/>
      <c r="G72" s="129"/>
      <c r="H72" s="109"/>
      <c r="I72" s="144"/>
      <c r="J72" s="53"/>
      <c r="K72" s="145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7"/>
      <c r="AB72" s="80"/>
      <c r="AC72" s="48"/>
      <c r="AD72" s="81"/>
      <c r="AE72" s="82"/>
      <c r="AF72" s="83"/>
      <c r="AG72" s="84"/>
      <c r="AH72" s="84"/>
      <c r="AI72" s="85"/>
      <c r="AJ72" s="84"/>
      <c r="AK72" s="86"/>
      <c r="AL72" s="87"/>
      <c r="AM72" s="88"/>
      <c r="AN72" s="88"/>
      <c r="AO72" s="88"/>
      <c r="AP72" s="67">
        <f t="shared" ref="AP72" si="1307">ROUNDDOWN(IF(AD71*L72&gt;=150000,(((AD71*L72)-150000)*2.7%),0),-1)</f>
      </c>
      <c r="AQ72" s="67">
        <f t="shared" ref="AQ72" si="1308">ROUNDDOWN(IF(AD71*M72&gt;=150000,(((AD71*M72)-150000)*2.7%),0),-1)</f>
      </c>
      <c r="AR72" s="67">
        <f t="shared" ref="AR72" si="1309">ROUNDDOWN(IF(AD71*N72&gt;=150000,(((AD71*N72)-150000)*2.7%),0),-1)</f>
      </c>
      <c r="AS72" s="67">
        <f t="shared" ref="AS72" si="1310">ROUNDDOWN(IF(AD71*O72&gt;=150000,(((AD71*O72)-150000)*2.7%),0),-1)</f>
      </c>
      <c r="AT72" s="67">
        <f t="shared" ref="AT72" si="1311">ROUNDDOWN(IF(AD71*P72&gt;=150000,(((AD71*P72)-150000)*2.7%),0),-1)</f>
      </c>
      <c r="AU72" s="67">
        <f t="shared" ref="AU72" si="1312">ROUNDDOWN(IF(AD71*Q72&gt;=150000,(((AD71*Q72)-150000)*2.7%),0),-1)</f>
      </c>
      <c r="AV72" s="67">
        <f t="shared" ref="AV72" si="1313">ROUNDDOWN(IF(AD71*R72&gt;=150000,(((AD71*R72)-150000)*2.7%),0),-1)</f>
      </c>
      <c r="AW72" s="67">
        <f t="shared" ref="AW72" si="1314">ROUNDDOWN(IF(AD71*S72&gt;=150000,(((AD71*S72)-150000)*2.7%),0),-1)</f>
      </c>
      <c r="AX72" s="67">
        <f t="shared" ref="AX72" si="1315">ROUNDDOWN(IF(AD71*T72&gt;=150000,(((AD71*T72)-150000)*2.7%),0),-1)</f>
      </c>
      <c r="AY72" s="67">
        <f t="shared" ref="AY72" si="1316">ROUNDDOWN(IF(AD71*U72&gt;=150000,(((AD71*U72)-150000)*2.7%),0),-1)</f>
      </c>
      <c r="AZ72" s="67">
        <f t="shared" ref="AZ72" si="1317">ROUNDDOWN(IF(AD71*V72&gt;=150000,(((AD71*V72)-150000)*2.7%),0),-1)</f>
      </c>
      <c r="BA72" s="67">
        <f t="shared" ref="BA72" si="1318">ROUNDDOWN(IF(AD71*W72&gt;=150000,(((AD71*W72)-150000)*2.7%),0),-1)</f>
      </c>
      <c r="BB72" s="67">
        <f t="shared" ref="BB72" si="1319">ROUNDDOWN(IF(AD71*X72&gt;=150000,(((AD71*X72)-150000)*2.7%),0),-1)</f>
      </c>
      <c r="BC72" s="67">
        <f t="shared" ref="BC72" si="1320">ROUNDDOWN(IF(AD71*Y72&gt;=150000,(((AD71*Y72)-150000)*2.7%),0),-1)</f>
      </c>
      <c r="BD72" s="67">
        <f t="shared" ref="BD72" si="1321">ROUNDDOWN(IF(AD71*Z72&gt;=150000,(((AD71*Z72)-150000)*2.7%),0),-1)</f>
      </c>
      <c r="BE72" s="67">
        <f t="shared" ref="BE72" si="1322">ROUNDDOWN(IF(AD71*AA72&gt;=150000,(((AD71*AA72)-150000)*2.7%),0),-1)</f>
      </c>
      <c r="BF72" s="69"/>
      <c r="BG72" s="69"/>
      <c r="BH72" s="1"/>
    </row>
    <row r="73" ht="29.25" customHeight="1" spans="1:41" x14ac:dyDescent="0.25">
      <c r="A73" s="148" t="s">
        <v>37</v>
      </c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50"/>
      <c r="AB73" s="151">
        <f>SUM(AB9:AB72)</f>
      </c>
      <c r="AC73" s="152">
        <f>SUM(AC9:AC72)</f>
      </c>
      <c r="AD73" s="153"/>
      <c r="AE73" s="154">
        <f>SUM(AE9:AE72)</f>
      </c>
      <c r="AF73" s="155">
        <f>SUM(AF9:AF72)</f>
      </c>
      <c r="AG73" s="156">
        <f t="shared" ref="AE73:AN73" si="1323">SUM(AG9:AG72)</f>
      </c>
      <c r="AH73" s="156">
        <f t="shared" si="1323"/>
        <v>0</v>
      </c>
      <c r="AI73" s="156">
        <f t="shared" si="1323"/>
        <v>0</v>
      </c>
      <c r="AJ73" s="156">
        <f t="shared" si="1323"/>
        <v>0</v>
      </c>
      <c r="AK73" s="154">
        <f t="shared" si="1323"/>
        <v>0</v>
      </c>
      <c r="AL73" s="157">
        <f t="shared" si="1323"/>
        <v>0</v>
      </c>
      <c r="AM73" s="158">
        <f t="shared" si="1323"/>
        <v>0</v>
      </c>
      <c r="AN73" s="158">
        <f t="shared" si="1323"/>
        <v>0</v>
      </c>
      <c r="AO73" s="158"/>
    </row>
    <row r="74" ht="17" customHeight="1" spans="1:41" x14ac:dyDescent="0.25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</row>
  </sheetData>
  <mergeCells count="939">
    <mergeCell ref="A1:I5"/>
    <mergeCell ref="L1:N3"/>
    <mergeCell ref="O1:V3"/>
    <mergeCell ref="W1:Z1"/>
    <mergeCell ref="AA1:AO1"/>
    <mergeCell ref="W2:Z2"/>
    <mergeCell ref="AA2:AO2"/>
    <mergeCell ref="W3:Z3"/>
    <mergeCell ref="AA3:AO3"/>
    <mergeCell ref="L4:N5"/>
    <mergeCell ref="O4:V4"/>
    <mergeCell ref="W4:AB4"/>
    <mergeCell ref="AE4:AG4"/>
    <mergeCell ref="AH4:AO4"/>
    <mergeCell ref="O5:V5"/>
    <mergeCell ref="W5:AB5"/>
    <mergeCell ref="AE5:AG5"/>
    <mergeCell ref="AH5:AO5"/>
    <mergeCell ref="L6:AB6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M6:AM8"/>
    <mergeCell ref="AN6:AN8"/>
    <mergeCell ref="AO6:AO8"/>
    <mergeCell ref="AB7:AB8"/>
    <mergeCell ref="AC7:AC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BF9:BF10"/>
    <mergeCell ref="BG9:BG10"/>
    <mergeCell ref="BH9:BH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BF11:BF12"/>
    <mergeCell ref="BG11:BG12"/>
    <mergeCell ref="BH11:BH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BF13:BF14"/>
    <mergeCell ref="BG13:BG14"/>
    <mergeCell ref="BH13:BH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BF15:BF16"/>
    <mergeCell ref="BG15:BG16"/>
    <mergeCell ref="BH15:BH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BF17:BF18"/>
    <mergeCell ref="BG17:BG18"/>
    <mergeCell ref="BH17:BH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BF19:BF20"/>
    <mergeCell ref="BG19:BG20"/>
    <mergeCell ref="BH19:BH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BF21:BF22"/>
    <mergeCell ref="BG21:BG22"/>
    <mergeCell ref="BH21:BH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BF23:BF24"/>
    <mergeCell ref="BG23:BG24"/>
    <mergeCell ref="BH23:BH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AK25:AK26"/>
    <mergeCell ref="AL25:AL26"/>
    <mergeCell ref="AM25:AM26"/>
    <mergeCell ref="AN25:AN26"/>
    <mergeCell ref="AO25:AO26"/>
    <mergeCell ref="BF25:BF26"/>
    <mergeCell ref="BG25:BG26"/>
    <mergeCell ref="BH25:BH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AB27:AB28"/>
    <mergeCell ref="AC27:AC28"/>
    <mergeCell ref="AD27:AD28"/>
    <mergeCell ref="AE27:AE28"/>
    <mergeCell ref="AF27:AF28"/>
    <mergeCell ref="AG27:AG28"/>
    <mergeCell ref="AH27:AH28"/>
    <mergeCell ref="AI27:AI28"/>
    <mergeCell ref="AJ27:AJ28"/>
    <mergeCell ref="AK27:AK28"/>
    <mergeCell ref="AL27:AL28"/>
    <mergeCell ref="AM27:AM28"/>
    <mergeCell ref="AN27:AN28"/>
    <mergeCell ref="AO27:AO28"/>
    <mergeCell ref="BF27:BF28"/>
    <mergeCell ref="BG27:BG28"/>
    <mergeCell ref="BH27:BH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AB29:AB30"/>
    <mergeCell ref="AC29:AC30"/>
    <mergeCell ref="AD29:AD30"/>
    <mergeCell ref="AE29:AE30"/>
    <mergeCell ref="AF29:AF30"/>
    <mergeCell ref="AG29:AG30"/>
    <mergeCell ref="AH29:AH30"/>
    <mergeCell ref="AI29:AI30"/>
    <mergeCell ref="AJ29:AJ30"/>
    <mergeCell ref="AK29:AK30"/>
    <mergeCell ref="AL29:AL30"/>
    <mergeCell ref="AM29:AM30"/>
    <mergeCell ref="AN29:AN30"/>
    <mergeCell ref="AO29:AO30"/>
    <mergeCell ref="BF29:BF30"/>
    <mergeCell ref="BG29:BG30"/>
    <mergeCell ref="BH29:BH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B31:AB32"/>
    <mergeCell ref="AC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BF31:BF32"/>
    <mergeCell ref="BG31:BG32"/>
    <mergeCell ref="BH31:BH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AJ33:AJ34"/>
    <mergeCell ref="AK33:AK34"/>
    <mergeCell ref="AL33:AL34"/>
    <mergeCell ref="AM33:AM34"/>
    <mergeCell ref="AN33:AN34"/>
    <mergeCell ref="AO33:AO34"/>
    <mergeCell ref="BF33:BF34"/>
    <mergeCell ref="BG33:BG34"/>
    <mergeCell ref="BH33:BH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BF35:BF36"/>
    <mergeCell ref="BG35:BG36"/>
    <mergeCell ref="BH35:BH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AB37:AB38"/>
    <mergeCell ref="AC37:AC38"/>
    <mergeCell ref="AD37:AD38"/>
    <mergeCell ref="AE37:AE38"/>
    <mergeCell ref="AF37:AF38"/>
    <mergeCell ref="AG37:AG38"/>
    <mergeCell ref="AH37:AH38"/>
    <mergeCell ref="AI37:AI38"/>
    <mergeCell ref="AJ37:AJ38"/>
    <mergeCell ref="AK37:AK38"/>
    <mergeCell ref="AL37:AL38"/>
    <mergeCell ref="AM37:AM38"/>
    <mergeCell ref="AN37:AN38"/>
    <mergeCell ref="AO37:AO38"/>
    <mergeCell ref="BF37:BF38"/>
    <mergeCell ref="BG37:BG38"/>
    <mergeCell ref="BH37:BH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AB39:AB40"/>
    <mergeCell ref="AC39:AC40"/>
    <mergeCell ref="AD39:AD40"/>
    <mergeCell ref="AE39:AE40"/>
    <mergeCell ref="AF39:AF40"/>
    <mergeCell ref="AG39:AG40"/>
    <mergeCell ref="AH39:AH40"/>
    <mergeCell ref="AI39:AI40"/>
    <mergeCell ref="AJ39:AJ40"/>
    <mergeCell ref="AK39:AK40"/>
    <mergeCell ref="AL39:AL40"/>
    <mergeCell ref="AM39:AM40"/>
    <mergeCell ref="AN39:AN40"/>
    <mergeCell ref="AO39:AO40"/>
    <mergeCell ref="BF39:BF40"/>
    <mergeCell ref="BG39:BG40"/>
    <mergeCell ref="BH39:BH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AB41:AB42"/>
    <mergeCell ref="AC41:AC42"/>
    <mergeCell ref="AD41:AD42"/>
    <mergeCell ref="AE41:AE42"/>
    <mergeCell ref="AF41:AF42"/>
    <mergeCell ref="AG41:AG42"/>
    <mergeCell ref="AH41:AH42"/>
    <mergeCell ref="AI41:AI42"/>
    <mergeCell ref="AJ41:AJ42"/>
    <mergeCell ref="AK41:AK42"/>
    <mergeCell ref="AL41:AL42"/>
    <mergeCell ref="AM41:AM42"/>
    <mergeCell ref="AN41:AN42"/>
    <mergeCell ref="AO41:AO42"/>
    <mergeCell ref="BF41:BF42"/>
    <mergeCell ref="BG41:BG42"/>
    <mergeCell ref="BH41:BH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AB43:AB44"/>
    <mergeCell ref="AC43:AC44"/>
    <mergeCell ref="AD43:AD44"/>
    <mergeCell ref="AE43:AE44"/>
    <mergeCell ref="AF43:AF44"/>
    <mergeCell ref="AG43:AG44"/>
    <mergeCell ref="AH43:AH44"/>
    <mergeCell ref="AI43:AI44"/>
    <mergeCell ref="AJ43:AJ44"/>
    <mergeCell ref="AK43:AK44"/>
    <mergeCell ref="AL43:AL44"/>
    <mergeCell ref="AM43:AM44"/>
    <mergeCell ref="AN43:AN44"/>
    <mergeCell ref="AO43:AO44"/>
    <mergeCell ref="BF43:BF44"/>
    <mergeCell ref="BG43:BG44"/>
    <mergeCell ref="BH43:BH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AB45:AB46"/>
    <mergeCell ref="AC45:AC46"/>
    <mergeCell ref="AD45:AD46"/>
    <mergeCell ref="AE45:AE46"/>
    <mergeCell ref="AF45:AF46"/>
    <mergeCell ref="AG45:AG46"/>
    <mergeCell ref="AH45:AH46"/>
    <mergeCell ref="AI45:AI46"/>
    <mergeCell ref="AJ45:AJ46"/>
    <mergeCell ref="AK45:AK46"/>
    <mergeCell ref="AL45:AL46"/>
    <mergeCell ref="AM45:AM46"/>
    <mergeCell ref="AN45:AN46"/>
    <mergeCell ref="AO45:AO46"/>
    <mergeCell ref="BF45:BF46"/>
    <mergeCell ref="BG45:BG46"/>
    <mergeCell ref="BH45:BH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N47:AN48"/>
    <mergeCell ref="AO47:AO48"/>
    <mergeCell ref="BF47:BF48"/>
    <mergeCell ref="BG47:BG48"/>
    <mergeCell ref="BH47:BH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AB49:AB50"/>
    <mergeCell ref="AC49:AC50"/>
    <mergeCell ref="AD49:AD50"/>
    <mergeCell ref="AE49:AE50"/>
    <mergeCell ref="AF49:AF50"/>
    <mergeCell ref="AG49:AG50"/>
    <mergeCell ref="AH49:AH50"/>
    <mergeCell ref="AI49:AI50"/>
    <mergeCell ref="AJ49:AJ50"/>
    <mergeCell ref="AK49:AK50"/>
    <mergeCell ref="AL49:AL50"/>
    <mergeCell ref="AM49:AM50"/>
    <mergeCell ref="AN49:AN50"/>
    <mergeCell ref="AO49:AO50"/>
    <mergeCell ref="BF49:BF50"/>
    <mergeCell ref="BG49:BG50"/>
    <mergeCell ref="BH49:BH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AB51:AB52"/>
    <mergeCell ref="AC51:AC52"/>
    <mergeCell ref="AD51:AD52"/>
    <mergeCell ref="AE51:AE52"/>
    <mergeCell ref="AF51:AF52"/>
    <mergeCell ref="AG51:AG52"/>
    <mergeCell ref="AH51:AH52"/>
    <mergeCell ref="AI51:AI52"/>
    <mergeCell ref="AJ51:AJ52"/>
    <mergeCell ref="AK51:AK52"/>
    <mergeCell ref="AL51:AL52"/>
    <mergeCell ref="AM51:AM52"/>
    <mergeCell ref="AN51:AN52"/>
    <mergeCell ref="AO51:AO52"/>
    <mergeCell ref="BF51:BF52"/>
    <mergeCell ref="BG51:BG52"/>
    <mergeCell ref="BH51:BH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AB53:AB54"/>
    <mergeCell ref="AC53:AC54"/>
    <mergeCell ref="AD53:AD54"/>
    <mergeCell ref="AE53:AE54"/>
    <mergeCell ref="AF53:AF54"/>
    <mergeCell ref="AG53:AG54"/>
    <mergeCell ref="AH53:AH54"/>
    <mergeCell ref="AI53:AI54"/>
    <mergeCell ref="AJ53:AJ54"/>
    <mergeCell ref="AK53:AK54"/>
    <mergeCell ref="AL53:AL54"/>
    <mergeCell ref="AM53:AM54"/>
    <mergeCell ref="AN53:AN54"/>
    <mergeCell ref="AO53:AO54"/>
    <mergeCell ref="BF53:BF54"/>
    <mergeCell ref="BG53:BG54"/>
    <mergeCell ref="BH53:BH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AB55:AB56"/>
    <mergeCell ref="AC55:AC56"/>
    <mergeCell ref="AD55:AD56"/>
    <mergeCell ref="AE55:AE56"/>
    <mergeCell ref="AF55:AF56"/>
    <mergeCell ref="AG55:AG56"/>
    <mergeCell ref="AH55:AH56"/>
    <mergeCell ref="AI55:AI56"/>
    <mergeCell ref="AJ55:AJ56"/>
    <mergeCell ref="AK55:AK56"/>
    <mergeCell ref="AL55:AL56"/>
    <mergeCell ref="AM55:AM56"/>
    <mergeCell ref="AN55:AN56"/>
    <mergeCell ref="AO55:AO56"/>
    <mergeCell ref="BF55:BF56"/>
    <mergeCell ref="BG55:BG56"/>
    <mergeCell ref="BH55:BH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AB57:AB58"/>
    <mergeCell ref="AC57:AC58"/>
    <mergeCell ref="AD57:AD58"/>
    <mergeCell ref="AE57:AE58"/>
    <mergeCell ref="AF57:AF58"/>
    <mergeCell ref="AG57:AG58"/>
    <mergeCell ref="AH57:AH58"/>
    <mergeCell ref="AI57:AI58"/>
    <mergeCell ref="AJ57:AJ58"/>
    <mergeCell ref="AK57:AK58"/>
    <mergeCell ref="AL57:AL58"/>
    <mergeCell ref="AM57:AM58"/>
    <mergeCell ref="AN57:AN58"/>
    <mergeCell ref="AO57:AO58"/>
    <mergeCell ref="BF57:BF58"/>
    <mergeCell ref="BG57:BG58"/>
    <mergeCell ref="BH57:BH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AB59:AB60"/>
    <mergeCell ref="AC59:AC60"/>
    <mergeCell ref="AD59:AD60"/>
    <mergeCell ref="AE59:AE60"/>
    <mergeCell ref="AF59:AF60"/>
    <mergeCell ref="AG59:AG60"/>
    <mergeCell ref="AH59:AH60"/>
    <mergeCell ref="AI59:AI60"/>
    <mergeCell ref="AJ59:AJ60"/>
    <mergeCell ref="AK59:AK60"/>
    <mergeCell ref="AL59:AL60"/>
    <mergeCell ref="AM59:AM60"/>
    <mergeCell ref="AN59:AN60"/>
    <mergeCell ref="AO59:AO60"/>
    <mergeCell ref="BF59:BF60"/>
    <mergeCell ref="BG59:BG60"/>
    <mergeCell ref="BH59:BH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  <mergeCell ref="AK61:AK62"/>
    <mergeCell ref="AL61:AL62"/>
    <mergeCell ref="AM61:AM62"/>
    <mergeCell ref="AN61:AN62"/>
    <mergeCell ref="AO61:AO62"/>
    <mergeCell ref="BF61:BF62"/>
    <mergeCell ref="BG61:BG62"/>
    <mergeCell ref="BH61:BH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AB63:AB64"/>
    <mergeCell ref="AC63:AC64"/>
    <mergeCell ref="AD63:AD64"/>
    <mergeCell ref="AE63:AE64"/>
    <mergeCell ref="AF63:AF64"/>
    <mergeCell ref="AG63:AG64"/>
    <mergeCell ref="AH63:AH64"/>
    <mergeCell ref="AI63:AI64"/>
    <mergeCell ref="AJ63:AJ64"/>
    <mergeCell ref="AK63:AK64"/>
    <mergeCell ref="AL63:AL64"/>
    <mergeCell ref="AM63:AM64"/>
    <mergeCell ref="AN63:AN64"/>
    <mergeCell ref="AO63:AO64"/>
    <mergeCell ref="BF63:BF64"/>
    <mergeCell ref="BG63:BG64"/>
    <mergeCell ref="BH63:BH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AB65:AB66"/>
    <mergeCell ref="AC65:AC66"/>
    <mergeCell ref="AD65:AD66"/>
    <mergeCell ref="AE65:AE66"/>
    <mergeCell ref="AF65:AF66"/>
    <mergeCell ref="AG65:AG66"/>
    <mergeCell ref="AH65:AH66"/>
    <mergeCell ref="AI65:AI66"/>
    <mergeCell ref="AJ65:AJ66"/>
    <mergeCell ref="AK65:AK66"/>
    <mergeCell ref="AL65:AL66"/>
    <mergeCell ref="AM65:AM66"/>
    <mergeCell ref="AN65:AN66"/>
    <mergeCell ref="AO65:AO66"/>
    <mergeCell ref="BF65:BF66"/>
    <mergeCell ref="BG65:BG66"/>
    <mergeCell ref="BH65:BH66"/>
    <mergeCell ref="A67:A68"/>
    <mergeCell ref="B67:B68"/>
    <mergeCell ref="C67:C68"/>
    <mergeCell ref="D67:D68"/>
    <mergeCell ref="E67:E68"/>
    <mergeCell ref="F67:F68"/>
    <mergeCell ref="G67:G68"/>
    <mergeCell ref="I67:I68"/>
    <mergeCell ref="J67:J68"/>
    <mergeCell ref="K67:K68"/>
    <mergeCell ref="AB67:AB68"/>
    <mergeCell ref="AC67:AC68"/>
    <mergeCell ref="AD67:AD68"/>
    <mergeCell ref="AE67:AE68"/>
    <mergeCell ref="AF67:AF68"/>
    <mergeCell ref="AG67:AG68"/>
    <mergeCell ref="AH67:AH68"/>
    <mergeCell ref="AI67:AI68"/>
    <mergeCell ref="AJ67:AJ68"/>
    <mergeCell ref="AK67:AK68"/>
    <mergeCell ref="AL67:AL68"/>
    <mergeCell ref="AM67:AM68"/>
    <mergeCell ref="AN67:AN68"/>
    <mergeCell ref="AO67:AO68"/>
    <mergeCell ref="BF67:BF68"/>
    <mergeCell ref="BG67:BG68"/>
    <mergeCell ref="BH67:BH68"/>
    <mergeCell ref="A69:A70"/>
    <mergeCell ref="B69:B70"/>
    <mergeCell ref="C69:C70"/>
    <mergeCell ref="D69:D70"/>
    <mergeCell ref="E69:E70"/>
    <mergeCell ref="F69:F70"/>
    <mergeCell ref="G69:G70"/>
    <mergeCell ref="I69:I70"/>
    <mergeCell ref="J69:J70"/>
    <mergeCell ref="K69:K70"/>
    <mergeCell ref="AB69:AB70"/>
    <mergeCell ref="AC69:AC70"/>
    <mergeCell ref="AD69:AD70"/>
    <mergeCell ref="AE69:AE70"/>
    <mergeCell ref="AF69:AF70"/>
    <mergeCell ref="AG69:AG70"/>
    <mergeCell ref="AH69:AH70"/>
    <mergeCell ref="AI69:AI70"/>
    <mergeCell ref="AJ69:AJ70"/>
    <mergeCell ref="AK69:AK70"/>
    <mergeCell ref="AL69:AL70"/>
    <mergeCell ref="AM69:AM70"/>
    <mergeCell ref="AN69:AN70"/>
    <mergeCell ref="AO69:AO70"/>
    <mergeCell ref="BF69:BF70"/>
    <mergeCell ref="BG69:BG70"/>
    <mergeCell ref="BH69:BH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AB71:AB72"/>
    <mergeCell ref="AC71:AC72"/>
    <mergeCell ref="AD71:AD72"/>
    <mergeCell ref="AE71:AE72"/>
    <mergeCell ref="AF71:AF72"/>
    <mergeCell ref="AG71:AG72"/>
    <mergeCell ref="AH71:AH72"/>
    <mergeCell ref="AI71:AI72"/>
    <mergeCell ref="AJ71:AJ72"/>
    <mergeCell ref="AK71:AK72"/>
    <mergeCell ref="AL71:AL72"/>
    <mergeCell ref="AM71:AM72"/>
    <mergeCell ref="AN71:AN72"/>
    <mergeCell ref="AO71:AO72"/>
    <mergeCell ref="BF71:BF72"/>
    <mergeCell ref="BG71:BG72"/>
    <mergeCell ref="BH71:BH72"/>
    <mergeCell ref="A73:AA73"/>
  </mergeCells>
  <pageMargins left="0" right="0" top="0.35433070866141736" bottom="0.35433070866141736" header="0.11811023622047245" footer="0.11811023622047245"/>
  <pageSetup paperSize="9" orientation="landscape" horizontalDpi="4294967295" verticalDpi="4294967295" scale="44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노임대장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2024-06-27T05:10:32Z</dcterms:created>
  <dcterms:modified xsi:type="dcterms:W3CDTF">2026-05-16T11:14:46Z</dcterms:modified>
</cp:coreProperties>
</file>