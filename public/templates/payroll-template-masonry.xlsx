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kenny/Desktop/Task/Yeseong/"/>
    </mc:Choice>
  </mc:AlternateContent>
  <xr:revisionPtr revIDLastSave="0" documentId="13_ncr:1_{77B4E087-2FC2-F14F-877D-34A28DCE7A22}" xr6:coauthVersionLast="47" xr6:coauthVersionMax="47" xr10:uidLastSave="{00000000-0000-0000-0000-000000000000}"/>
  <bookViews>
    <workbookView xWindow="0" yWindow="500" windowWidth="65660" windowHeight="26780" tabRatio="933" xr2:uid="{00000000-000D-0000-FFFF-FFFF00000000}"/>
  </bookViews>
  <sheets>
    <sheet name="sheet" sheetId="18" r:id="rId1"/>
    <sheet name="계좌(노임)" sheetId="7" state="hidden" r:id="rId2"/>
    <sheet name="계좌(장비)" sheetId="14" state="hidden" r:id="rId3"/>
  </sheets>
  <definedNames>
    <definedName name="_">#REF!</definedName>
    <definedName name="__">#REF!</definedName>
    <definedName name="___">#REF!</definedName>
    <definedName name="____" hidden="1">#REF!</definedName>
    <definedName name="_____">#REF!</definedName>
    <definedName name="______" hidden="1">#REF!</definedName>
    <definedName name="_______">#REF!</definedName>
    <definedName name="________" hidden="1">#REF!</definedName>
    <definedName name="_________" hidden="1">#REF!</definedName>
    <definedName name="__________" hidden="1">#REF!</definedName>
    <definedName name="___________" hidden="1">#REF!</definedName>
    <definedName name="____________" hidden="1">#REF!</definedName>
    <definedName name="_____________" hidden="1">#REF!</definedName>
    <definedName name="______________" hidden="1">#REF!</definedName>
    <definedName name="_______________" hidden="1">#REF!</definedName>
    <definedName name="________________" hidden="1">#REF!</definedName>
    <definedName name="_________________QQ1" hidden="1">{#N/A,#N/A,FALSE,"단가표지"}</definedName>
    <definedName name="_________________QW1" hidden="1">{#N/A,#N/A,FALSE,"단가표지"}</definedName>
    <definedName name="_________________SS1" hidden="1">{#N/A,#N/A,FALSE,"운반시간"}</definedName>
    <definedName name="_________________TC1" hidden="1">{#N/A,#N/A,FALSE,"물량산출"}</definedName>
    <definedName name="________________a1">#N/A</definedName>
    <definedName name="________________a10">#N/A</definedName>
    <definedName name="________________a11">#N/A</definedName>
    <definedName name="________________a12">#N/A</definedName>
    <definedName name="________________a122" hidden="1">{#N/A,#N/A,FALSE,"속도"}</definedName>
    <definedName name="________________a13">#N/A</definedName>
    <definedName name="________________a14">#N/A</definedName>
    <definedName name="________________a15">#N/A</definedName>
    <definedName name="________________a16">#N/A</definedName>
    <definedName name="________________a17">#N/A</definedName>
    <definedName name="________________a2">#N/A</definedName>
    <definedName name="________________a3">#N/A</definedName>
    <definedName name="________________a4">#N/A</definedName>
    <definedName name="________________a5">#N/A</definedName>
    <definedName name="________________a6">#N/A</definedName>
    <definedName name="________________a7">#N/A</definedName>
    <definedName name="________________a8">#N/A</definedName>
    <definedName name="________________a9">#N/A</definedName>
    <definedName name="________________aa11" hidden="1">{#N/A,#N/A,FALSE,"운반시간"}</definedName>
    <definedName name="________________EE1" hidden="1">{#N/A,#N/A,FALSE,"단가표지"}</definedName>
    <definedName name="________________QQ1" hidden="1">{#N/A,#N/A,FALSE,"단가표지"}</definedName>
    <definedName name="________________QW1" hidden="1">{#N/A,#N/A,FALSE,"단가표지"}</definedName>
    <definedName name="________________SS1" hidden="1">{#N/A,#N/A,FALSE,"운반시간"}</definedName>
    <definedName name="________________ss122" hidden="1">{#N/A,#N/A,FALSE,"조골재"}</definedName>
    <definedName name="________________sss11" hidden="1">{#N/A,#N/A,FALSE,"조골재"}</definedName>
    <definedName name="_______________a1">#N/A</definedName>
    <definedName name="_______________a10">#N/A</definedName>
    <definedName name="_______________a11">#N/A</definedName>
    <definedName name="_______________a12">#N/A</definedName>
    <definedName name="_______________a122" hidden="1">{#N/A,#N/A,FALSE,"속도"}</definedName>
    <definedName name="_______________a13">#N/A</definedName>
    <definedName name="_______________a14">#N/A</definedName>
    <definedName name="_______________a15">#N/A</definedName>
    <definedName name="_______________a16">#N/A</definedName>
    <definedName name="_______________a17">#N/A</definedName>
    <definedName name="_______________a2">#N/A</definedName>
    <definedName name="_______________a3">#N/A</definedName>
    <definedName name="_______________a4">#N/A</definedName>
    <definedName name="_______________a5">#N/A</definedName>
    <definedName name="_______________a6">#N/A</definedName>
    <definedName name="_______________a7">#N/A</definedName>
    <definedName name="_______________a8">#N/A</definedName>
    <definedName name="_______________a9">#N/A</definedName>
    <definedName name="_______________aa11" hidden="1">{#N/A,#N/A,FALSE,"운반시간"}</definedName>
    <definedName name="_______________EE1" hidden="1">{#N/A,#N/A,FALSE,"단가표지"}</definedName>
    <definedName name="_______________QQ1" hidden="1">{#N/A,#N/A,FALSE,"단가표지"}</definedName>
    <definedName name="_______________QW1" hidden="1">{#N/A,#N/A,FALSE,"단가표지"}</definedName>
    <definedName name="_______________sp1">#REF!</definedName>
    <definedName name="_______________sp2">#REF!</definedName>
    <definedName name="_______________sp3">#REF!</definedName>
    <definedName name="_______________SS1" hidden="1">{#N/A,#N/A,FALSE,"운반시간"}</definedName>
    <definedName name="_______________ss122" hidden="1">{#N/A,#N/A,FALSE,"조골재"}</definedName>
    <definedName name="_______________sss11" hidden="1">{#N/A,#N/A,FALSE,"조골재"}</definedName>
    <definedName name="_______________TC1" hidden="1">{#N/A,#N/A,FALSE,"물량산출"}</definedName>
    <definedName name="______________a1">#N/A</definedName>
    <definedName name="______________a10">#N/A</definedName>
    <definedName name="______________a11">#N/A</definedName>
    <definedName name="______________a12">#N/A</definedName>
    <definedName name="______________a122" hidden="1">{#N/A,#N/A,FALSE,"속도"}</definedName>
    <definedName name="______________a13">#N/A</definedName>
    <definedName name="______________a14">#N/A</definedName>
    <definedName name="______________a15">#N/A</definedName>
    <definedName name="______________a16">#N/A</definedName>
    <definedName name="______________a17">#N/A</definedName>
    <definedName name="______________A18">#REF!</definedName>
    <definedName name="______________A19">#REF!</definedName>
    <definedName name="______________a2">#N/A</definedName>
    <definedName name="______________a20">#REF!</definedName>
    <definedName name="______________A21">#REF!</definedName>
    <definedName name="______________A22">#REF!</definedName>
    <definedName name="______________A23">#REF!</definedName>
    <definedName name="______________A24">#REF!</definedName>
    <definedName name="______________A25">#REF!</definedName>
    <definedName name="______________A26">#REF!</definedName>
    <definedName name="______________A27">#REF!</definedName>
    <definedName name="______________A28">#REF!</definedName>
    <definedName name="______________A29">#REF!</definedName>
    <definedName name="______________a3">#N/A</definedName>
    <definedName name="______________A30">#REF!</definedName>
    <definedName name="______________A31">#REF!</definedName>
    <definedName name="______________A32">#REF!</definedName>
    <definedName name="______________A33">#REF!</definedName>
    <definedName name="______________A34">#REF!</definedName>
    <definedName name="______________A35">#REF!</definedName>
    <definedName name="______________A36">#REF!</definedName>
    <definedName name="______________A37">#REF!</definedName>
    <definedName name="______________A38">#REF!</definedName>
    <definedName name="______________A39">#REF!</definedName>
    <definedName name="______________a4">#N/A</definedName>
    <definedName name="______________A40">#REF!</definedName>
    <definedName name="______________A41">#REF!</definedName>
    <definedName name="______________A42">#REF!</definedName>
    <definedName name="______________A43">#REF!</definedName>
    <definedName name="______________A44">#REF!</definedName>
    <definedName name="______________A45">#REF!</definedName>
    <definedName name="______________a5">#N/A</definedName>
    <definedName name="______________a6">#N/A</definedName>
    <definedName name="______________a7">#N/A</definedName>
    <definedName name="______________a8">#N/A</definedName>
    <definedName name="______________a9">#N/A</definedName>
    <definedName name="______________aa11" hidden="1">{#N/A,#N/A,FALSE,"운반시간"}</definedName>
    <definedName name="______________EE1" hidden="1">{#N/A,#N/A,FALSE,"단가표지"}</definedName>
    <definedName name="______________KD2" hidden="1">#REF!</definedName>
    <definedName name="______________KD3" hidden="1">#REF!</definedName>
    <definedName name="______________KK2" hidden="1">#REF!</definedName>
    <definedName name="______________KK3" hidden="1">#REF!</definedName>
    <definedName name="______________QQ1" hidden="1">{#N/A,#N/A,FALSE,"단가표지"}</definedName>
    <definedName name="______________QW1" hidden="1">{#N/A,#N/A,FALSE,"단가표지"}</definedName>
    <definedName name="______________sp1">#REF!</definedName>
    <definedName name="______________sp2">#REF!</definedName>
    <definedName name="______________sp3">#REF!</definedName>
    <definedName name="______________SS1" hidden="1">{#N/A,#N/A,FALSE,"운반시간"}</definedName>
    <definedName name="______________ss122" hidden="1">{#N/A,#N/A,FALSE,"조골재"}</definedName>
    <definedName name="______________sss11" hidden="1">{#N/A,#N/A,FALSE,"조골재"}</definedName>
    <definedName name="______________TC1" hidden="1">{#N/A,#N/A,FALSE,"물량산출"}</definedName>
    <definedName name="_____________a1">#N/A</definedName>
    <definedName name="_____________a10">#N/A</definedName>
    <definedName name="_____________a11">#N/A</definedName>
    <definedName name="_____________a12">#N/A</definedName>
    <definedName name="_____________a122" hidden="1">{#N/A,#N/A,FALSE,"속도"}</definedName>
    <definedName name="_____________a13">#N/A</definedName>
    <definedName name="_____________a14">#N/A</definedName>
    <definedName name="_____________a15">#N/A</definedName>
    <definedName name="_____________a16">#N/A</definedName>
    <definedName name="_____________a17">#N/A</definedName>
    <definedName name="_____________a2">#N/A</definedName>
    <definedName name="_____________a3">#N/A</definedName>
    <definedName name="_____________a4">#N/A</definedName>
    <definedName name="_____________a5">#N/A</definedName>
    <definedName name="_____________a6">#N/A</definedName>
    <definedName name="_____________a7">#N/A</definedName>
    <definedName name="_____________a8">#N/A</definedName>
    <definedName name="_____________a9">#N/A</definedName>
    <definedName name="_____________aa11" hidden="1">{#N/A,#N/A,FALSE,"운반시간"}</definedName>
    <definedName name="_____________EE1" hidden="1">{#N/A,#N/A,FALSE,"단가표지"}</definedName>
    <definedName name="_____________KD2" hidden="1">#REF!</definedName>
    <definedName name="_____________KD3" hidden="1">#REF!</definedName>
    <definedName name="_____________KK2" hidden="1">#REF!</definedName>
    <definedName name="_____________KK3" hidden="1">#REF!</definedName>
    <definedName name="_____________QQ1" hidden="1">{#N/A,#N/A,FALSE,"단가표지"}</definedName>
    <definedName name="_____________QW1" hidden="1">{#N/A,#N/A,FALSE,"단가표지"}</definedName>
    <definedName name="_____________sp1">#REF!</definedName>
    <definedName name="_____________sp2">#REF!</definedName>
    <definedName name="_____________sp3">#REF!</definedName>
    <definedName name="_____________SS1" hidden="1">{#N/A,#N/A,FALSE,"운반시간"}</definedName>
    <definedName name="_____________ss122" hidden="1">{#N/A,#N/A,FALSE,"조골재"}</definedName>
    <definedName name="_____________sss11" hidden="1">{#N/A,#N/A,FALSE,"조골재"}</definedName>
    <definedName name="_____________TC1" hidden="1">{#N/A,#N/A,FALSE,"물량산출"}</definedName>
    <definedName name="____________a1">#N/A</definedName>
    <definedName name="____________a10">#N/A</definedName>
    <definedName name="____________a11">#N/A</definedName>
    <definedName name="____________a12">#N/A</definedName>
    <definedName name="____________a122" hidden="1">{#N/A,#N/A,FALSE,"속도"}</definedName>
    <definedName name="____________a13">#N/A</definedName>
    <definedName name="____________a14">#N/A</definedName>
    <definedName name="____________a15">#N/A</definedName>
    <definedName name="____________a16">#N/A</definedName>
    <definedName name="____________a17">#N/A</definedName>
    <definedName name="____________A18">#REF!</definedName>
    <definedName name="____________A19">#REF!</definedName>
    <definedName name="____________a2">#N/A</definedName>
    <definedName name="____________a20">#REF!</definedName>
    <definedName name="____________A21">#REF!</definedName>
    <definedName name="____________A22">#REF!</definedName>
    <definedName name="____________A23">#REF!</definedName>
    <definedName name="____________A24">#REF!</definedName>
    <definedName name="____________A25">#REF!</definedName>
    <definedName name="____________A26">#REF!</definedName>
    <definedName name="____________A27">#REF!</definedName>
    <definedName name="____________A28">#REF!</definedName>
    <definedName name="____________A29">#REF!</definedName>
    <definedName name="____________a3">#N/A</definedName>
    <definedName name="____________A30">#REF!</definedName>
    <definedName name="____________A31">#REF!</definedName>
    <definedName name="____________A32">#REF!</definedName>
    <definedName name="____________A33">#REF!</definedName>
    <definedName name="____________A34">#REF!</definedName>
    <definedName name="____________A35">#REF!</definedName>
    <definedName name="____________A36">#REF!</definedName>
    <definedName name="____________A37">#REF!</definedName>
    <definedName name="____________A38">#REF!</definedName>
    <definedName name="____________A39">#REF!</definedName>
    <definedName name="____________a4">#N/A</definedName>
    <definedName name="____________A40">#REF!</definedName>
    <definedName name="____________A41">#REF!</definedName>
    <definedName name="____________A42">#REF!</definedName>
    <definedName name="____________A43">#REF!</definedName>
    <definedName name="____________A44">#REF!</definedName>
    <definedName name="____________A45">#REF!</definedName>
    <definedName name="____________a5">#N/A</definedName>
    <definedName name="____________a6">#N/A</definedName>
    <definedName name="____________a7">#N/A</definedName>
    <definedName name="____________a8">#N/A</definedName>
    <definedName name="____________a9">#N/A</definedName>
    <definedName name="____________aa11" hidden="1">{#N/A,#N/A,FALSE,"운반시간"}</definedName>
    <definedName name="____________EE1" hidden="1">{#N/A,#N/A,FALSE,"단가표지"}</definedName>
    <definedName name="____________KD2" hidden="1">#REF!</definedName>
    <definedName name="____________KD3" hidden="1">#REF!</definedName>
    <definedName name="____________KK2" hidden="1">#REF!</definedName>
    <definedName name="____________KK3" hidden="1">#REF!</definedName>
    <definedName name="____________LP1">#REF!</definedName>
    <definedName name="____________LPB1">#REF!</definedName>
    <definedName name="____________LPK1">#REF!</definedName>
    <definedName name="____________LU1">#REF!</definedName>
    <definedName name="____________LU2">#REF!</definedName>
    <definedName name="____________LV01">#REF!</definedName>
    <definedName name="____________QQ1" hidden="1">{#N/A,#N/A,FALSE,"단가표지"}</definedName>
    <definedName name="____________QW1" hidden="1">{#N/A,#N/A,FALSE,"단가표지"}</definedName>
    <definedName name="____________SS1" hidden="1">{#N/A,#N/A,FALSE,"운반시간"}</definedName>
    <definedName name="____________ss122" hidden="1">{#N/A,#N/A,FALSE,"조골재"}</definedName>
    <definedName name="____________sss11" hidden="1">{#N/A,#N/A,FALSE,"조골재"}</definedName>
    <definedName name="____________TC1" hidden="1">{#N/A,#N/A,FALSE,"물량산출"}</definedName>
    <definedName name="____________UP1">#REF!</definedName>
    <definedName name="____________UP2">#REF!</definedName>
    <definedName name="____________wt5" hidden="1">{#N/A,#N/A,FALSE,"토공2"}</definedName>
    <definedName name="___________a1">#N/A</definedName>
    <definedName name="___________a10">#N/A</definedName>
    <definedName name="___________a11">#N/A</definedName>
    <definedName name="___________a12">#N/A</definedName>
    <definedName name="___________a122" hidden="1">{#N/A,#N/A,FALSE,"속도"}</definedName>
    <definedName name="___________a13">#N/A</definedName>
    <definedName name="___________a14">#N/A</definedName>
    <definedName name="___________a15">#N/A</definedName>
    <definedName name="___________a16">#N/A</definedName>
    <definedName name="___________a17">#N/A</definedName>
    <definedName name="___________A18">#REF!</definedName>
    <definedName name="___________A19">#REF!</definedName>
    <definedName name="___________a2">#N/A</definedName>
    <definedName name="___________a20">#REF!</definedName>
    <definedName name="___________A21">#REF!</definedName>
    <definedName name="___________A22">#REF!</definedName>
    <definedName name="___________A23">#REF!</definedName>
    <definedName name="___________A24">#REF!</definedName>
    <definedName name="___________A25">#REF!</definedName>
    <definedName name="___________A26">#REF!</definedName>
    <definedName name="___________A27">#REF!</definedName>
    <definedName name="___________A28">#REF!</definedName>
    <definedName name="___________A29">#REF!</definedName>
    <definedName name="___________a3">#N/A</definedName>
    <definedName name="___________A30">#REF!</definedName>
    <definedName name="___________A31">#REF!</definedName>
    <definedName name="___________A32">#REF!</definedName>
    <definedName name="___________A33">#REF!</definedName>
    <definedName name="___________A34">#REF!</definedName>
    <definedName name="___________A35">#REF!</definedName>
    <definedName name="___________A36">#REF!</definedName>
    <definedName name="___________A37">#REF!</definedName>
    <definedName name="___________A38">#REF!</definedName>
    <definedName name="___________A39">#REF!</definedName>
    <definedName name="___________a4">#N/A</definedName>
    <definedName name="___________A40">#REF!</definedName>
    <definedName name="___________A41">#REF!</definedName>
    <definedName name="___________A42">#REF!</definedName>
    <definedName name="___________A43">#REF!</definedName>
    <definedName name="___________A44">#REF!</definedName>
    <definedName name="___________A45">#REF!</definedName>
    <definedName name="___________a5">#N/A</definedName>
    <definedName name="___________a6">#N/A</definedName>
    <definedName name="___________a7">#N/A</definedName>
    <definedName name="___________a8">#N/A</definedName>
    <definedName name="___________a9">#N/A</definedName>
    <definedName name="___________aa11" hidden="1">{#N/A,#N/A,FALSE,"운반시간"}</definedName>
    <definedName name="___________EE1" hidden="1">{#N/A,#N/A,FALSE,"단가표지"}</definedName>
    <definedName name="___________KD2" hidden="1">#N/A</definedName>
    <definedName name="___________KD3" hidden="1">#N/A</definedName>
    <definedName name="___________KK2" hidden="1">#N/A</definedName>
    <definedName name="___________KK3" hidden="1">#N/A</definedName>
    <definedName name="___________QQ1" hidden="1">{#N/A,#N/A,FALSE,"단가표지"}</definedName>
    <definedName name="___________QW1" hidden="1">{#N/A,#N/A,FALSE,"단가표지"}</definedName>
    <definedName name="___________SS1" hidden="1">{#N/A,#N/A,FALSE,"운반시간"}</definedName>
    <definedName name="___________ss122" hidden="1">{#N/A,#N/A,FALSE,"조골재"}</definedName>
    <definedName name="___________sss11" hidden="1">{#N/A,#N/A,FALSE,"조골재"}</definedName>
    <definedName name="___________TC1" hidden="1">{#N/A,#N/A,FALSE,"물량산출"}</definedName>
    <definedName name="__________a1">#N/A</definedName>
    <definedName name="__________a10">#N/A</definedName>
    <definedName name="__________a11">#N/A</definedName>
    <definedName name="__________a12">#N/A</definedName>
    <definedName name="__________a122" hidden="1">{#N/A,#N/A,FALSE,"속도"}</definedName>
    <definedName name="__________a13">#N/A</definedName>
    <definedName name="__________a14">#N/A</definedName>
    <definedName name="__________a15">#N/A</definedName>
    <definedName name="__________a16">#N/A</definedName>
    <definedName name="__________a17">#N/A</definedName>
    <definedName name="__________a2">#N/A</definedName>
    <definedName name="__________a3">#N/A</definedName>
    <definedName name="__________a4">#N/A</definedName>
    <definedName name="__________a5">#N/A</definedName>
    <definedName name="__________a6">#N/A</definedName>
    <definedName name="__________a7">#N/A</definedName>
    <definedName name="__________a8">#N/A</definedName>
    <definedName name="__________a9">#N/A</definedName>
    <definedName name="__________aa11" hidden="1">{#N/A,#N/A,FALSE,"운반시간"}</definedName>
    <definedName name="__________EE1" hidden="1">{#N/A,#N/A,FALSE,"단가표지"}</definedName>
    <definedName name="__________KD2" hidden="1">#N/A</definedName>
    <definedName name="__________KD3" hidden="1">#N/A</definedName>
    <definedName name="__________KK2" hidden="1">#N/A</definedName>
    <definedName name="__________KK3" hidden="1">#N/A</definedName>
    <definedName name="__________QQ1" hidden="1">{#N/A,#N/A,FALSE,"단가표지"}</definedName>
    <definedName name="__________QW1" hidden="1">{#N/A,#N/A,FALSE,"단가표지"}</definedName>
    <definedName name="__________SS1" hidden="1">{#N/A,#N/A,FALSE,"운반시간"}</definedName>
    <definedName name="__________ss122" hidden="1">{#N/A,#N/A,FALSE,"조골재"}</definedName>
    <definedName name="__________sss11" hidden="1">{#N/A,#N/A,FALSE,"조골재"}</definedName>
    <definedName name="__________TC1" hidden="1">{#N/A,#N/A,FALSE,"물량산출"}</definedName>
    <definedName name="__________wt5" hidden="1">{#N/A,#N/A,FALSE,"토공2"}</definedName>
    <definedName name="_________a1">#N/A</definedName>
    <definedName name="_________a10">#N/A</definedName>
    <definedName name="_________a11">#N/A</definedName>
    <definedName name="_________a12">#N/A</definedName>
    <definedName name="_________a122" hidden="1">{#N/A,#N/A,FALSE,"속도"}</definedName>
    <definedName name="_________a13">#N/A</definedName>
    <definedName name="_________a14">#N/A</definedName>
    <definedName name="_________a15">#N/A</definedName>
    <definedName name="_________a16">#N/A</definedName>
    <definedName name="_________a17">#N/A</definedName>
    <definedName name="_________A18">#REF!</definedName>
    <definedName name="_________A19">#REF!</definedName>
    <definedName name="_________a2">#N/A</definedName>
    <definedName name="_________a20">#REF!</definedName>
    <definedName name="_________A21">#REF!</definedName>
    <definedName name="_________A22">#REF!</definedName>
    <definedName name="_________A23">#REF!</definedName>
    <definedName name="_________A24">#REF!</definedName>
    <definedName name="_________A25">#REF!</definedName>
    <definedName name="_________A26">#REF!</definedName>
    <definedName name="_________A27">#REF!</definedName>
    <definedName name="_________A28">#REF!</definedName>
    <definedName name="_________A29">#REF!</definedName>
    <definedName name="_________a3">#N/A</definedName>
    <definedName name="_________A30">#REF!</definedName>
    <definedName name="_________A31">#REF!</definedName>
    <definedName name="_________A32">#REF!</definedName>
    <definedName name="_________A33">#REF!</definedName>
    <definedName name="_________A34">#REF!</definedName>
    <definedName name="_________A35">#REF!</definedName>
    <definedName name="_________A36">#REF!</definedName>
    <definedName name="_________A37">#REF!</definedName>
    <definedName name="_________A38">#REF!</definedName>
    <definedName name="_________A39">#REF!</definedName>
    <definedName name="_________a4">#N/A</definedName>
    <definedName name="_________A40">#REF!</definedName>
    <definedName name="_________A41">#REF!</definedName>
    <definedName name="_________A42">#REF!</definedName>
    <definedName name="_________A43">#REF!</definedName>
    <definedName name="_________A44">#REF!</definedName>
    <definedName name="_________A45">#REF!</definedName>
    <definedName name="_________a5">#N/A</definedName>
    <definedName name="_________a6">#N/A</definedName>
    <definedName name="_________a7">#N/A</definedName>
    <definedName name="_________a8">#N/A</definedName>
    <definedName name="_________a9">#N/A</definedName>
    <definedName name="_________aa11" hidden="1">{#N/A,#N/A,FALSE,"운반시간"}</definedName>
    <definedName name="_________EE1" hidden="1">{#N/A,#N/A,FALSE,"단가표지"}</definedName>
    <definedName name="_________EE2" hidden="1">{#N/A,#N/A,FALSE,"단가표지"}</definedName>
    <definedName name="_________FBB1">#REF!</definedName>
    <definedName name="_________FBB2">#REF!</definedName>
    <definedName name="_________FBB3">#REF!</definedName>
    <definedName name="_________FHH1">#REF!</definedName>
    <definedName name="_________FHH2">#REF!</definedName>
    <definedName name="_________FHH3">#REF!</definedName>
    <definedName name="_________KD2" hidden="1">#N/A</definedName>
    <definedName name="_________KD3" hidden="1">#N/A</definedName>
    <definedName name="_________KK2" hidden="1">#N/A</definedName>
    <definedName name="_________KK3" hidden="1">#N/A</definedName>
    <definedName name="_________NLL1">#REF!</definedName>
    <definedName name="_________NLL2">#REF!</definedName>
    <definedName name="_________NLL3">#REF!</definedName>
    <definedName name="_________NLL4">#REF!</definedName>
    <definedName name="_________NLL5">#REF!</definedName>
    <definedName name="_________QQ1" hidden="1">{#N/A,#N/A,FALSE,"단가표지"}</definedName>
    <definedName name="_________QW1" hidden="1">{#N/A,#N/A,FALSE,"단가표지"}</definedName>
    <definedName name="_________shh1">#REF!</definedName>
    <definedName name="_________shh10">#REF!</definedName>
    <definedName name="_________shh11">#REF!</definedName>
    <definedName name="_________shh12">#REF!</definedName>
    <definedName name="_________SHH13">#REF!</definedName>
    <definedName name="_________shh2">#REF!</definedName>
    <definedName name="_________shh3">#REF!</definedName>
    <definedName name="_________shh4">#REF!</definedName>
    <definedName name="_________shh5">#REF!</definedName>
    <definedName name="_________shh6">#REF!</definedName>
    <definedName name="_________shh7">#REF!</definedName>
    <definedName name="_________shh8">#REF!</definedName>
    <definedName name="_________shh9">#REF!</definedName>
    <definedName name="_________SLL1">#REF!</definedName>
    <definedName name="_________SLL2">#REF!</definedName>
    <definedName name="_________SLL3">#REF!</definedName>
    <definedName name="_________sp1">#REF!</definedName>
    <definedName name="_________sp2">#REF!</definedName>
    <definedName name="_________sp3">#REF!</definedName>
    <definedName name="_________SS1" hidden="1">{#N/A,#N/A,FALSE,"운반시간"}</definedName>
    <definedName name="_________ss122" hidden="1">{#N/A,#N/A,FALSE,"조골재"}</definedName>
    <definedName name="_________sss11" hidden="1">{#N/A,#N/A,FALSE,"조골재"}</definedName>
    <definedName name="_________STT1">#REF!</definedName>
    <definedName name="_________STT2">#REF!</definedName>
    <definedName name="_________STT3">#REF!</definedName>
    <definedName name="_________STT4">#REF!</definedName>
    <definedName name="_________STT5">#REF!</definedName>
    <definedName name="_________STT6">#REF!</definedName>
    <definedName name="_________tbb1">#REF!</definedName>
    <definedName name="_________tbb2">#REF!</definedName>
    <definedName name="_________tbb3">#REF!</definedName>
    <definedName name="_________tbb4">#REF!</definedName>
    <definedName name="_________tbb5">#REF!</definedName>
    <definedName name="_________tbb6">#REF!</definedName>
    <definedName name="_________tbb7">#REF!</definedName>
    <definedName name="_________TC1" hidden="1">{#N/A,#N/A,FALSE,"물량산출"}</definedName>
    <definedName name="________a1">#N/A</definedName>
    <definedName name="________a10">#N/A</definedName>
    <definedName name="________a11">#N/A</definedName>
    <definedName name="________a12">#N/A</definedName>
    <definedName name="________a122" hidden="1">{#N/A,#N/A,FALSE,"속도"}</definedName>
    <definedName name="________a13">#N/A</definedName>
    <definedName name="________a14">#N/A</definedName>
    <definedName name="________a15">#N/A</definedName>
    <definedName name="________a16">#N/A</definedName>
    <definedName name="________a17">#N/A</definedName>
    <definedName name="________a2">#N/A</definedName>
    <definedName name="________a3">#N/A</definedName>
    <definedName name="________a4">#N/A</definedName>
    <definedName name="________a5">#N/A</definedName>
    <definedName name="________a6">#N/A</definedName>
    <definedName name="________a7">#N/A</definedName>
    <definedName name="________a8">#N/A</definedName>
    <definedName name="________a9">#N/A</definedName>
    <definedName name="________aa11" hidden="1">{#N/A,#N/A,FALSE,"운반시간"}</definedName>
    <definedName name="________B16500" hidden="1">#REF!</definedName>
    <definedName name="________D1">#REF!</definedName>
    <definedName name="________EE1" hidden="1">{#N/A,#N/A,FALSE,"단가표지"}</definedName>
    <definedName name="________EE2" hidden="1">{#N/A,#N/A,FALSE,"단가표지"}</definedName>
    <definedName name="________KD2" hidden="1">#N/A</definedName>
    <definedName name="________KD3" hidden="1">#N/A</definedName>
    <definedName name="________KK2" hidden="1">#N/A</definedName>
    <definedName name="________KK3" hidden="1">#N/A</definedName>
    <definedName name="________NON1">#REF!</definedName>
    <definedName name="________PRN2">#REF!</definedName>
    <definedName name="________PRN3">#REF!</definedName>
    <definedName name="________PRN4">#REF!</definedName>
    <definedName name="________PRN6">#REF!</definedName>
    <definedName name="________PRN7">#REF!</definedName>
    <definedName name="________QQ1" hidden="1">{#N/A,#N/A,FALSE,"단가표지"}</definedName>
    <definedName name="________QW1" hidden="1">{#N/A,#N/A,FALSE,"단가표지"}</definedName>
    <definedName name="________S1">#REF!</definedName>
    <definedName name="________sh2">#REF!</definedName>
    <definedName name="________SS1" hidden="1">{#N/A,#N/A,FALSE,"운반시간"}</definedName>
    <definedName name="________ss122" hidden="1">{#N/A,#N/A,FALSE,"조골재"}</definedName>
    <definedName name="________sss11" hidden="1">{#N/A,#N/A,FALSE,"조골재"}</definedName>
    <definedName name="________SUB1">#REF!</definedName>
    <definedName name="________SUB2">#REF!</definedName>
    <definedName name="________TC1" hidden="1">{#N/A,#N/A,FALSE,"물량산출"}</definedName>
    <definedName name="________TOT1">#REF!</definedName>
    <definedName name="________TOT2">#REF!</definedName>
    <definedName name="_______a1">#N/A</definedName>
    <definedName name="_______a10">#N/A</definedName>
    <definedName name="_______a11">#N/A</definedName>
    <definedName name="_______a12">#N/A</definedName>
    <definedName name="_______a122" hidden="1">{#N/A,#N/A,FALSE,"속도"}</definedName>
    <definedName name="_______a13">#N/A</definedName>
    <definedName name="_______a14">#N/A</definedName>
    <definedName name="_______a15">#N/A</definedName>
    <definedName name="_______a16">#N/A</definedName>
    <definedName name="_______a17">#N/A</definedName>
    <definedName name="_______A18">#REF!</definedName>
    <definedName name="_______A19">#REF!</definedName>
    <definedName name="_______a2">#N/A</definedName>
    <definedName name="_______a20">#REF!</definedName>
    <definedName name="_______A21">#REF!</definedName>
    <definedName name="_______A22">#REF!</definedName>
    <definedName name="_______A23">#REF!</definedName>
    <definedName name="_______A24">#REF!</definedName>
    <definedName name="_______A25">#REF!</definedName>
    <definedName name="_______A26">#REF!</definedName>
    <definedName name="_______A27">#REF!</definedName>
    <definedName name="_______A28">#REF!</definedName>
    <definedName name="_______A29">#REF!</definedName>
    <definedName name="_______a3">#N/A</definedName>
    <definedName name="_______A30">#REF!</definedName>
    <definedName name="_______A31">#REF!</definedName>
    <definedName name="_______A32">#REF!</definedName>
    <definedName name="_______A33">#REF!</definedName>
    <definedName name="_______A34">#REF!</definedName>
    <definedName name="_______A35">#REF!</definedName>
    <definedName name="_______A36">#REF!</definedName>
    <definedName name="_______A37">#REF!</definedName>
    <definedName name="_______A38">#REF!</definedName>
    <definedName name="_______A39">#REF!</definedName>
    <definedName name="_______a4">#N/A</definedName>
    <definedName name="_______A40">#REF!</definedName>
    <definedName name="_______A41">#REF!</definedName>
    <definedName name="_______A42">#REF!</definedName>
    <definedName name="_______A43">#REF!</definedName>
    <definedName name="_______A44">#REF!</definedName>
    <definedName name="_______A45">#REF!</definedName>
    <definedName name="_______a5">#N/A</definedName>
    <definedName name="_______a6">#N/A</definedName>
    <definedName name="_______a7">#N/A</definedName>
    <definedName name="_______a8">#N/A</definedName>
    <definedName name="_______a9">#N/A</definedName>
    <definedName name="_______AA1">#REF!</definedName>
    <definedName name="_______aa11" hidden="1">{#N/A,#N/A,FALSE,"운반시간"}</definedName>
    <definedName name="_______B20996">#REF!</definedName>
    <definedName name="_______D1">#REF!</definedName>
    <definedName name="_______EE1" hidden="1">{#N/A,#N/A,FALSE,"단가표지"}</definedName>
    <definedName name="_______EE2" hidden="1">{#N/A,#N/A,FALSE,"단가표지"}</definedName>
    <definedName name="_______FBB1">#REF!</definedName>
    <definedName name="_______FBB2">#REF!</definedName>
    <definedName name="_______FBB3">#REF!</definedName>
    <definedName name="_______FHH1">#REF!</definedName>
    <definedName name="_______FHH2">#REF!</definedName>
    <definedName name="_______FHH3">#REF!</definedName>
    <definedName name="_______i8">#REF!</definedName>
    <definedName name="_______KD2" hidden="1">#REF!</definedName>
    <definedName name="_______KD3" hidden="1">#REF!</definedName>
    <definedName name="_______key2" hidden="1">#REF!</definedName>
    <definedName name="_______KK2" hidden="1">#REF!</definedName>
    <definedName name="_______KK3" hidden="1">#REF!</definedName>
    <definedName name="_______LL1">#REF!</definedName>
    <definedName name="_______LL2">#REF!</definedName>
    <definedName name="_______LL3">#REF!</definedName>
    <definedName name="_______LP1">#REF!</definedName>
    <definedName name="_______LPB1">#REF!</definedName>
    <definedName name="_______LPK1">#REF!</definedName>
    <definedName name="_______LR1">#REF!</definedName>
    <definedName name="_______LR2">#REF!</definedName>
    <definedName name="_______LR3">#REF!</definedName>
    <definedName name="_______LU1">#REF!</definedName>
    <definedName name="_______LU2">#REF!</definedName>
    <definedName name="_______LV01">#REF!</definedName>
    <definedName name="_______NLL1">#REF!</definedName>
    <definedName name="_______NLL2">#REF!</definedName>
    <definedName name="_______NLL3">#REF!</definedName>
    <definedName name="_______NLL4">#REF!</definedName>
    <definedName name="_______NLL5">#REF!</definedName>
    <definedName name="_______NON1">#REF!</definedName>
    <definedName name="_______PR01">#REF!</definedName>
    <definedName name="_______PRN2">#REF!</definedName>
    <definedName name="_______PRN3">#REF!</definedName>
    <definedName name="_______PRN4">#REF!</definedName>
    <definedName name="_______PRN6">#REF!</definedName>
    <definedName name="_______PRN7">#REF!</definedName>
    <definedName name="_______PRT2">#REF!</definedName>
    <definedName name="_______PRT3">#REF!</definedName>
    <definedName name="_______QQ1" hidden="1">{#N/A,#N/A,FALSE,"단가표지"}</definedName>
    <definedName name="_______QW1" hidden="1">{#N/A,#N/A,FALSE,"단가표지"}</definedName>
    <definedName name="_______RAN2">#N/A</definedName>
    <definedName name="_______RNA3">#N/A</definedName>
    <definedName name="_______RNA4">#N/A</definedName>
    <definedName name="_______S1">#REF!</definedName>
    <definedName name="_______sh2">#REF!</definedName>
    <definedName name="_______shh1">#REF!</definedName>
    <definedName name="_______shh10">#REF!</definedName>
    <definedName name="_______shh11">#REF!</definedName>
    <definedName name="_______shh12">#REF!</definedName>
    <definedName name="_______SHH13">#REF!</definedName>
    <definedName name="_______shh2">#REF!</definedName>
    <definedName name="_______shh3">#REF!</definedName>
    <definedName name="_______shh4">#REF!</definedName>
    <definedName name="_______shh5">#REF!</definedName>
    <definedName name="_______shh6">#REF!</definedName>
    <definedName name="_______shh7">#REF!</definedName>
    <definedName name="_______shh8">#REF!</definedName>
    <definedName name="_______shh9">#REF!</definedName>
    <definedName name="_______SLL1">#REF!</definedName>
    <definedName name="_______SLL2">#REF!</definedName>
    <definedName name="_______SLL3">#REF!</definedName>
    <definedName name="_______sp1">#REF!</definedName>
    <definedName name="_______sp2">#REF!</definedName>
    <definedName name="_______sp3">#REF!</definedName>
    <definedName name="_______SS1" hidden="1">{#N/A,#N/A,FALSE,"운반시간"}</definedName>
    <definedName name="_______ss122" hidden="1">{#N/A,#N/A,FALSE,"조골재"}</definedName>
    <definedName name="_______sss11" hidden="1">{#N/A,#N/A,FALSE,"조골재"}</definedName>
    <definedName name="_______STT1">#REF!</definedName>
    <definedName name="_______STT2">#REF!</definedName>
    <definedName name="_______STT3">#REF!</definedName>
    <definedName name="_______STT4">#REF!</definedName>
    <definedName name="_______STT5">#REF!</definedName>
    <definedName name="_______STT6">#REF!</definedName>
    <definedName name="_______SUB1">#REF!</definedName>
    <definedName name="_______SUB2">#REF!</definedName>
    <definedName name="_______tbb1">#REF!</definedName>
    <definedName name="_______tbb2">#REF!</definedName>
    <definedName name="_______tbb3">#REF!</definedName>
    <definedName name="_______tbb4">#REF!</definedName>
    <definedName name="_______tbb5">#REF!</definedName>
    <definedName name="_______tbb6">#REF!</definedName>
    <definedName name="_______tbb7">#REF!</definedName>
    <definedName name="_______TC1" hidden="1">{#N/A,#N/A,FALSE,"물량산출"}</definedName>
    <definedName name="_______TOT1">#REF!</definedName>
    <definedName name="_______TOT2">#REF!</definedName>
    <definedName name="_______UP1">#REF!</definedName>
    <definedName name="_______UP2">#REF!</definedName>
    <definedName name="_______wt5" hidden="1">{#N/A,#N/A,FALSE,"토공2"}</definedName>
    <definedName name="______A1">#REF!</definedName>
    <definedName name="______a10">#N/A</definedName>
    <definedName name="______a11">#N/A</definedName>
    <definedName name="______a12">#N/A</definedName>
    <definedName name="______a122" hidden="1">{#N/A,#N/A,FALSE,"속도"}</definedName>
    <definedName name="______a13">#N/A</definedName>
    <definedName name="______a14">#N/A</definedName>
    <definedName name="______a15">#N/A</definedName>
    <definedName name="______a16">#N/A</definedName>
    <definedName name="______a17">#N/A</definedName>
    <definedName name="______a2">#N/A</definedName>
    <definedName name="______a3">#N/A</definedName>
    <definedName name="______a4">#N/A</definedName>
    <definedName name="______a5">#N/A</definedName>
    <definedName name="______a6">#N/A</definedName>
    <definedName name="______a7">#N/A</definedName>
    <definedName name="______a8">#N/A</definedName>
    <definedName name="______a9">#N/A</definedName>
    <definedName name="______AA1">#REF!</definedName>
    <definedName name="______aa11" hidden="1">{#N/A,#N/A,FALSE,"운반시간"}</definedName>
    <definedName name="______B16500" hidden="1">#REF!</definedName>
    <definedName name="______B20996">#REF!</definedName>
    <definedName name="______D2">#REF!</definedName>
    <definedName name="______D3">#REF!</definedName>
    <definedName name="______D4">#REF!</definedName>
    <definedName name="______D5">#REF!</definedName>
    <definedName name="______EE1" hidden="1">{#N/A,#N/A,FALSE,"단가표지"}</definedName>
    <definedName name="______EE2" hidden="1">{#N/A,#N/A,FALSE,"단가표지"}</definedName>
    <definedName name="______FBB1">#REF!</definedName>
    <definedName name="______FBB2">#REF!</definedName>
    <definedName name="______FBB3">#REF!</definedName>
    <definedName name="______FHH1">#REF!</definedName>
    <definedName name="______FHH2">#REF!</definedName>
    <definedName name="______FHH3">#REF!</definedName>
    <definedName name="______h3" hidden="1">#REF!</definedName>
    <definedName name="______i8">#REF!</definedName>
    <definedName name="______KD2" hidden="1">#REF!</definedName>
    <definedName name="______KD3" hidden="1">#REF!</definedName>
    <definedName name="______key2" hidden="1">#REF!</definedName>
    <definedName name="______key21" hidden="1">#REF!</definedName>
    <definedName name="______KK2" hidden="1">#REF!</definedName>
    <definedName name="______KK3" hidden="1">#REF!</definedName>
    <definedName name="______LL1">#REF!</definedName>
    <definedName name="______LL2">#REF!</definedName>
    <definedName name="______LL3">#REF!</definedName>
    <definedName name="______LR1">#REF!</definedName>
    <definedName name="______LR2">#REF!</definedName>
    <definedName name="______LR3">#REF!</definedName>
    <definedName name="______NLL1">#REF!</definedName>
    <definedName name="______NLL2">#REF!</definedName>
    <definedName name="______NLL3">#REF!</definedName>
    <definedName name="______NLL4">#REF!</definedName>
    <definedName name="______NLL5">#REF!</definedName>
    <definedName name="______NON1">#REF!</definedName>
    <definedName name="______P3" hidden="1">{#N/A,#N/A,FALSE,"배수1"}</definedName>
    <definedName name="______P4" hidden="1">{#N/A,#N/A,FALSE,"혼합골재"}</definedName>
    <definedName name="______P5" hidden="1">{#N/A,#N/A,FALSE,"배수1"}</definedName>
    <definedName name="______P6" hidden="1">{#N/A,#N/A,FALSE,"2~8번"}</definedName>
    <definedName name="______PR01">#REF!</definedName>
    <definedName name="______PRN2">#REF!</definedName>
    <definedName name="______PRN3">#REF!</definedName>
    <definedName name="______PRN4">#REF!</definedName>
    <definedName name="______PRN6">#REF!</definedName>
    <definedName name="______PRN7">#REF!</definedName>
    <definedName name="______PRT2">#REF!</definedName>
    <definedName name="______PRT3">#REF!</definedName>
    <definedName name="______qa01" hidden="1">{#N/A,#N/A,FALSE,"2~8번"}</definedName>
    <definedName name="______qa02" hidden="1">{#N/A,#N/A,FALSE,"골재소요량";#N/A,#N/A,FALSE,"골재소요량"}</definedName>
    <definedName name="______qa03" hidden="1">{#N/A,#N/A,FALSE,"구조2"}</definedName>
    <definedName name="______qa04" hidden="1">{#N/A,#N/A,FALSE,"단가표지"}</definedName>
    <definedName name="______qa05" hidden="1">{#N/A,#N/A,FALSE,"배수1"}</definedName>
    <definedName name="______qa06" hidden="1">{#N/A,#N/A,FALSE,"배수2"}</definedName>
    <definedName name="______qa07" hidden="1">{#N/A,#N/A,FALSE,"부대1"}</definedName>
    <definedName name="______qa08" hidden="1">{#N/A,#N/A,FALSE,"부대2"}</definedName>
    <definedName name="______qa10" hidden="1">{#N/A,#N/A,FALSE,"속도"}</definedName>
    <definedName name="______qa11" hidden="1">{#N/A,#N/A,FALSE,"운반시간"}</definedName>
    <definedName name="______qa12" hidden="1">{#N/A,#N/A,FALSE,"이정표"}</definedName>
    <definedName name="______qa13" hidden="1">{#N/A,#N/A,FALSE,"조골재"}</definedName>
    <definedName name="______qa14" hidden="1">{#N/A,#N/A,FALSE,"구조1"}</definedName>
    <definedName name="______qa15" hidden="1">{#N/A,#N/A,FALSE,"토공2"}</definedName>
    <definedName name="______qa16" hidden="1">{#N/A,#N/A,FALSE,"포장1";#N/A,#N/A,FALSE,"포장1"}</definedName>
    <definedName name="______qa17" hidden="1">{#N/A,#N/A,FALSE,"포장2"}</definedName>
    <definedName name="______qa18" hidden="1">{#N/A,#N/A,FALSE,"표지목차"}</definedName>
    <definedName name="______qa19" hidden="1">{#N/A,#N/A,FALSE,"혼합골재"}</definedName>
    <definedName name="______qa20" hidden="1">{#N/A,#N/A,FALSE,"운반시간"}</definedName>
    <definedName name="______QQ1" hidden="1">{#N/A,#N/A,FALSE,"단가표지"}</definedName>
    <definedName name="______QW1" hidden="1">{#N/A,#N/A,FALSE,"단가표지"}</definedName>
    <definedName name="______qx1" hidden="1">{#N/A,#N/A,FALSE,"운반시간"}</definedName>
    <definedName name="______RAN2">#N/A</definedName>
    <definedName name="______RNA3">#N/A</definedName>
    <definedName name="______RNA4">#N/A</definedName>
    <definedName name="______S3" hidden="1">{#N/A,#N/A,FALSE,"포장2"}</definedName>
    <definedName name="______sh2">#REF!</definedName>
    <definedName name="______SH3">#N/A</definedName>
    <definedName name="______shh1">#REF!</definedName>
    <definedName name="______shh10">#REF!</definedName>
    <definedName name="______shh11">#REF!</definedName>
    <definedName name="______shh12">#REF!</definedName>
    <definedName name="______SHH13">#REF!</definedName>
    <definedName name="______shh2">#REF!</definedName>
    <definedName name="______shh3">#REF!</definedName>
    <definedName name="______shh4">#REF!</definedName>
    <definedName name="______shh5">#REF!</definedName>
    <definedName name="______shh6">#REF!</definedName>
    <definedName name="______shh7">#REF!</definedName>
    <definedName name="______shh8">#REF!</definedName>
    <definedName name="______shh9">#REF!</definedName>
    <definedName name="______SLL1">#REF!</definedName>
    <definedName name="______SLL2">#REF!</definedName>
    <definedName name="______SLL3">#REF!</definedName>
    <definedName name="______SS1" hidden="1">{#N/A,#N/A,FALSE,"운반시간"}</definedName>
    <definedName name="______ss122" hidden="1">{#N/A,#N/A,FALSE,"조골재"}</definedName>
    <definedName name="______sss11" hidden="1">{#N/A,#N/A,FALSE,"조골재"}</definedName>
    <definedName name="______ST1">#N/A</definedName>
    <definedName name="______STT1">#REF!</definedName>
    <definedName name="______STT2">#REF!</definedName>
    <definedName name="______STT3">#REF!</definedName>
    <definedName name="______STT4">#REF!</definedName>
    <definedName name="______STT5">#REF!</definedName>
    <definedName name="______STT6">#REF!</definedName>
    <definedName name="______SUB1">#REF!</definedName>
    <definedName name="______SUB2">#REF!</definedName>
    <definedName name="______tbb1">#REF!</definedName>
    <definedName name="______tbb2">#REF!</definedName>
    <definedName name="______tbb3">#REF!</definedName>
    <definedName name="______tbb4">#REF!</definedName>
    <definedName name="______tbb5">#REF!</definedName>
    <definedName name="______tbb6">#REF!</definedName>
    <definedName name="______tbb7">#REF!</definedName>
    <definedName name="______TC1" hidden="1">{#N/A,#N/A,FALSE,"물량산출"}</definedName>
    <definedName name="______TOT1">#REF!</definedName>
    <definedName name="______TOT2">#REF!</definedName>
    <definedName name="______wt5" hidden="1">{#N/A,#N/A,FALSE,"토공2"}</definedName>
    <definedName name="______YO1">#REF!</definedName>
    <definedName name="_____10" hidden="1">#REF!</definedName>
    <definedName name="_____11" hidden="1">#REF!</definedName>
    <definedName name="_____6" hidden="1">#REF!</definedName>
    <definedName name="_____7" hidden="1">#REF!</definedName>
    <definedName name="_____8" hidden="1">#REF!</definedName>
    <definedName name="_____9" hidden="1">#REF!</definedName>
    <definedName name="_____A1">#REF!</definedName>
    <definedName name="_____a12" localSheetId="0">BlankMacro1</definedName>
    <definedName name="_____a12">BlankMacro1</definedName>
    <definedName name="_____a122" hidden="1">{#N/A,#N/A,FALSE,"속도"}</definedName>
    <definedName name="_____AA1">#REF!</definedName>
    <definedName name="_____aa11" hidden="1">{#N/A,#N/A,FALSE,"운반시간"}</definedName>
    <definedName name="_____B20996">#REF!</definedName>
    <definedName name="_____C" hidden="1">#REF!</definedName>
    <definedName name="_____D1">#REF!</definedName>
    <definedName name="_____D2">#REF!</definedName>
    <definedName name="_____D3">#REF!</definedName>
    <definedName name="_____D4">#REF!</definedName>
    <definedName name="_____D5">#REF!</definedName>
    <definedName name="_____DP2">#REF!</definedName>
    <definedName name="_____EE1" hidden="1">{#N/A,#N/A,FALSE,"단가표지"}</definedName>
    <definedName name="_____EE2" hidden="1">{#N/A,#N/A,FALSE,"단가표지"}</definedName>
    <definedName name="_____FBB1">#REF!</definedName>
    <definedName name="_____FBB2">#REF!</definedName>
    <definedName name="_____FBB3">#REF!</definedName>
    <definedName name="_____FHH1">#REF!</definedName>
    <definedName name="_____FHH2">#REF!</definedName>
    <definedName name="_____FHH3">#REF!</definedName>
    <definedName name="_____fsd22" hidden="1">{#N/A,#N/A,FALSE,"지침";#N/A,#N/A,FALSE,"환경분석";#N/A,#N/A,FALSE,"Sheet16"}</definedName>
    <definedName name="_____h3" hidden="1">#REF!</definedName>
    <definedName name="_____i8">#REF!</definedName>
    <definedName name="_____KD2" hidden="1">#REF!</definedName>
    <definedName name="_____KD3" hidden="1">#REF!</definedName>
    <definedName name="_____key2" hidden="1">#REF!</definedName>
    <definedName name="_____KK2" hidden="1">#REF!</definedName>
    <definedName name="_____KK3" hidden="1">#REF!</definedName>
    <definedName name="_____LL1">#REF!</definedName>
    <definedName name="_____LL2">#REF!</definedName>
    <definedName name="_____LL3">#REF!</definedName>
    <definedName name="_____LR1">#REF!</definedName>
    <definedName name="_____LR2">#REF!</definedName>
    <definedName name="_____LR3">#REF!</definedName>
    <definedName name="_____M1" hidden="1">#REF!</definedName>
    <definedName name="_____mup1">#REF!</definedName>
    <definedName name="_____NLL1">#REF!</definedName>
    <definedName name="_____NLL2">#REF!</definedName>
    <definedName name="_____NLL3">#REF!</definedName>
    <definedName name="_____NLL4">#REF!</definedName>
    <definedName name="_____NLL5">#REF!</definedName>
    <definedName name="_____NON1">#REF!</definedName>
    <definedName name="_____P3" hidden="1">{#N/A,#N/A,FALSE,"배수1"}</definedName>
    <definedName name="_____P4" hidden="1">{#N/A,#N/A,FALSE,"혼합골재"}</definedName>
    <definedName name="_____P5" hidden="1">{#N/A,#N/A,FALSE,"배수1"}</definedName>
    <definedName name="_____P6" hidden="1">{#N/A,#N/A,FALSE,"2~8번"}</definedName>
    <definedName name="_____PR01">#REF!</definedName>
    <definedName name="_____PRN2">#REF!</definedName>
    <definedName name="_____PRN3">#REF!</definedName>
    <definedName name="_____PRN4">#REF!</definedName>
    <definedName name="_____PRN6">#REF!</definedName>
    <definedName name="_____PRN7">#REF!</definedName>
    <definedName name="_____PRT2">#REF!</definedName>
    <definedName name="_____PRT3">#REF!</definedName>
    <definedName name="_____qa01" hidden="1">{#N/A,#N/A,FALSE,"2~8번"}</definedName>
    <definedName name="_____qa02" hidden="1">{#N/A,#N/A,FALSE,"골재소요량";#N/A,#N/A,FALSE,"골재소요량"}</definedName>
    <definedName name="_____qa03" hidden="1">{#N/A,#N/A,FALSE,"구조2"}</definedName>
    <definedName name="_____qa04" hidden="1">{#N/A,#N/A,FALSE,"단가표지"}</definedName>
    <definedName name="_____qa05" hidden="1">{#N/A,#N/A,FALSE,"배수1"}</definedName>
    <definedName name="_____qa06" hidden="1">{#N/A,#N/A,FALSE,"배수2"}</definedName>
    <definedName name="_____qa07" hidden="1">{#N/A,#N/A,FALSE,"부대1"}</definedName>
    <definedName name="_____qa08" hidden="1">{#N/A,#N/A,FALSE,"부대2"}</definedName>
    <definedName name="_____qa10" hidden="1">{#N/A,#N/A,FALSE,"속도"}</definedName>
    <definedName name="_____qa11" hidden="1">{#N/A,#N/A,FALSE,"운반시간"}</definedName>
    <definedName name="_____qa12" hidden="1">{#N/A,#N/A,FALSE,"이정표"}</definedName>
    <definedName name="_____qa13" hidden="1">{#N/A,#N/A,FALSE,"조골재"}</definedName>
    <definedName name="_____qa14" hidden="1">{#N/A,#N/A,FALSE,"구조1"}</definedName>
    <definedName name="_____qa15" hidden="1">{#N/A,#N/A,FALSE,"토공2"}</definedName>
    <definedName name="_____qa16" hidden="1">{#N/A,#N/A,FALSE,"포장1";#N/A,#N/A,FALSE,"포장1"}</definedName>
    <definedName name="_____qa17" hidden="1">{#N/A,#N/A,FALSE,"포장2"}</definedName>
    <definedName name="_____qa18" hidden="1">{#N/A,#N/A,FALSE,"표지목차"}</definedName>
    <definedName name="_____qa19" hidden="1">{#N/A,#N/A,FALSE,"혼합골재"}</definedName>
    <definedName name="_____qa20" hidden="1">{#N/A,#N/A,FALSE,"운반시간"}</definedName>
    <definedName name="_____QQ1" hidden="1">{#N/A,#N/A,FALSE,"단가표지"}</definedName>
    <definedName name="_____QW1" hidden="1">{#N/A,#N/A,FALSE,"단가표지"}</definedName>
    <definedName name="_____qx1" hidden="1">{#N/A,#N/A,FALSE,"운반시간"}</definedName>
    <definedName name="_____RAN2">#N/A</definedName>
    <definedName name="_____RNA3">#N/A</definedName>
    <definedName name="_____RNA4">#N/A</definedName>
    <definedName name="_____S3" hidden="1">{#N/A,#N/A,FALSE,"포장2"}</definedName>
    <definedName name="_____SH2">#N/A</definedName>
    <definedName name="_____SH3">#N/A</definedName>
    <definedName name="_____shh1">#REF!</definedName>
    <definedName name="_____shh10">#REF!</definedName>
    <definedName name="_____shh11">#REF!</definedName>
    <definedName name="_____shh12">#REF!</definedName>
    <definedName name="_____SHH13">#REF!</definedName>
    <definedName name="_____shh2">#REF!</definedName>
    <definedName name="_____shh3">#REF!</definedName>
    <definedName name="_____shh4">#REF!</definedName>
    <definedName name="_____shh5">#REF!</definedName>
    <definedName name="_____shh6">#REF!</definedName>
    <definedName name="_____shh7">#REF!</definedName>
    <definedName name="_____shh8">#REF!</definedName>
    <definedName name="_____shh9">#REF!</definedName>
    <definedName name="_____SLL1">#REF!</definedName>
    <definedName name="_____SLL2">#REF!</definedName>
    <definedName name="_____SLL3">#REF!</definedName>
    <definedName name="_____SS1" hidden="1">{#N/A,#N/A,FALSE,"운반시간"}</definedName>
    <definedName name="_____ss122" hidden="1">{#N/A,#N/A,FALSE,"조골재"}</definedName>
    <definedName name="_____sss11" hidden="1">{#N/A,#N/A,FALSE,"조골재"}</definedName>
    <definedName name="_____ST1">#N/A</definedName>
    <definedName name="_____STT1">#REF!</definedName>
    <definedName name="_____STT2">#REF!</definedName>
    <definedName name="_____STT3">#REF!</definedName>
    <definedName name="_____STT4">#REF!</definedName>
    <definedName name="_____STT5">#REF!</definedName>
    <definedName name="_____STT6">#REF!</definedName>
    <definedName name="_____SUB1">#REF!</definedName>
    <definedName name="_____SUB2">#REF!</definedName>
    <definedName name="_____tbb1">#REF!</definedName>
    <definedName name="_____tbb2">#REF!</definedName>
    <definedName name="_____tbb3">#REF!</definedName>
    <definedName name="_____tbb4">#REF!</definedName>
    <definedName name="_____tbb5">#REF!</definedName>
    <definedName name="_____tbb6">#REF!</definedName>
    <definedName name="_____tbb7">#REF!</definedName>
    <definedName name="_____TC1" hidden="1">{#N/A,#N/A,FALSE,"물량산출"}</definedName>
    <definedName name="_____TOT1">#REF!</definedName>
    <definedName name="_____TOT2">#REF!</definedName>
    <definedName name="_____vv233" hidden="1">{#N/A,#N/A,FALSE,"지침";#N/A,#N/A,FALSE,"환경분석";#N/A,#N/A,FALSE,"Sheet16"}</definedName>
    <definedName name="_____YO1">#REF!</definedName>
    <definedName name="____10">#REF!</definedName>
    <definedName name="____11">#REF!</definedName>
    <definedName name="____6">#REF!</definedName>
    <definedName name="____7">#REF!</definedName>
    <definedName name="____8">#REF!</definedName>
    <definedName name="____9">#REF!</definedName>
    <definedName name="____a1">#REF!</definedName>
    <definedName name="____a10">#N/A</definedName>
    <definedName name="____a11">#N/A</definedName>
    <definedName name="____a12">#N/A</definedName>
    <definedName name="____a122" hidden="1">{#N/A,#N/A,FALSE,"속도"}</definedName>
    <definedName name="____a13">#N/A</definedName>
    <definedName name="____a14">#N/A</definedName>
    <definedName name="____a15">#N/A</definedName>
    <definedName name="____a16">#N/A</definedName>
    <definedName name="____a17">#N/A</definedName>
    <definedName name="____a2">#REF!</definedName>
    <definedName name="____a3">#REF!</definedName>
    <definedName name="____a4">#N/A</definedName>
    <definedName name="____a5">#N/A</definedName>
    <definedName name="____a6">#N/A</definedName>
    <definedName name="____a7">#N/A</definedName>
    <definedName name="____a8">#N/A</definedName>
    <definedName name="____a9">#N/A</definedName>
    <definedName name="____AA1">#REF!</definedName>
    <definedName name="____aa11" hidden="1">{#N/A,#N/A,FALSE,"운반시간"}</definedName>
    <definedName name="____ASP1">#REF!</definedName>
    <definedName name="____B16500" hidden="1">#REF!</definedName>
    <definedName name="____B20996">#REF!</definedName>
    <definedName name="____C" hidden="1">#REF!</definedName>
    <definedName name="____CDT2">#REF!</definedName>
    <definedName name="____CNP1">#REF!</definedName>
    <definedName name="____D1">#REF!</definedName>
    <definedName name="____D2">#REF!</definedName>
    <definedName name="____D3">#REF!</definedName>
    <definedName name="____D4">#REF!</definedName>
    <definedName name="____D5">#REF!</definedName>
    <definedName name="____DP2">#REF!</definedName>
    <definedName name="____EE1" hidden="1">{#N/A,#N/A,FALSE,"단가표지"}</definedName>
    <definedName name="____EE2" hidden="1">{#N/A,#N/A,FALSE,"단가표지"}</definedName>
    <definedName name="____FBB1">#REF!</definedName>
    <definedName name="____FBB2">#REF!</definedName>
    <definedName name="____FBB3">#REF!</definedName>
    <definedName name="____FHH1">#REF!</definedName>
    <definedName name="____FHH2">#REF!</definedName>
    <definedName name="____FHH3">#REF!</definedName>
    <definedName name="____fsd22" hidden="1">{#N/A,#N/A,FALSE,"지침";#N/A,#N/A,FALSE,"환경분석";#N/A,#N/A,FALSE,"Sheet16"}</definedName>
    <definedName name="____h3" hidden="1">#REF!</definedName>
    <definedName name="____HPP1">#REF!</definedName>
    <definedName name="____HSH1">#REF!</definedName>
    <definedName name="____HSH2">#REF!</definedName>
    <definedName name="____hun1">#REF!</definedName>
    <definedName name="____hun2">#REF!</definedName>
    <definedName name="____i8">#REF!</definedName>
    <definedName name="____JB1">#REF!</definedName>
    <definedName name="____KD2" hidden="1">#REF!</definedName>
    <definedName name="____KD3" hidden="1">#REF!</definedName>
    <definedName name="____key2" hidden="1">#REF!</definedName>
    <definedName name="____KK2" hidden="1">#REF!</definedName>
    <definedName name="____KK3" hidden="1">#REF!</definedName>
    <definedName name="____LL1">#REF!</definedName>
    <definedName name="____ll15">#REF!</definedName>
    <definedName name="____LL2">#REF!</definedName>
    <definedName name="____LL3">#REF!</definedName>
    <definedName name="____LR1">#REF!</definedName>
    <definedName name="____LR2">#REF!</definedName>
    <definedName name="____LR3">#REF!</definedName>
    <definedName name="____M1" hidden="1">#REF!</definedName>
    <definedName name="____MaL1">#REF!</definedName>
    <definedName name="____MaL2">#REF!</definedName>
    <definedName name="____mup1">#REF!</definedName>
    <definedName name="____NLL1">#REF!</definedName>
    <definedName name="____NLL2">#REF!</definedName>
    <definedName name="____NLL3">#REF!</definedName>
    <definedName name="____NLL4">#REF!</definedName>
    <definedName name="____NLL5">#REF!</definedName>
    <definedName name="____NON1">#REF!</definedName>
    <definedName name="____NP1">#REF!</definedName>
    <definedName name="____NP2">#REF!</definedName>
    <definedName name="____NSH1">#REF!</definedName>
    <definedName name="____NSH2">#REF!</definedName>
    <definedName name="____P3" hidden="1">{#N/A,#N/A,FALSE,"배수1"}</definedName>
    <definedName name="____P4" hidden="1">{#N/A,#N/A,FALSE,"혼합골재"}</definedName>
    <definedName name="____P5" hidden="1">{#N/A,#N/A,FALSE,"배수1"}</definedName>
    <definedName name="____P6" hidden="1">{#N/A,#N/A,FALSE,"2~8번"}</definedName>
    <definedName name="____PNO10">#REF!</definedName>
    <definedName name="____PNO3">#REF!</definedName>
    <definedName name="____PNO4">#REF!</definedName>
    <definedName name="____PNO5">#REF!</definedName>
    <definedName name="____PNO6">#REF!</definedName>
    <definedName name="____PNO7">#REF!</definedName>
    <definedName name="____PNO8">#REF!</definedName>
    <definedName name="____PNO9">#REF!</definedName>
    <definedName name="____PR01">#REF!</definedName>
    <definedName name="____PRN2">#REF!</definedName>
    <definedName name="____PRN3">#REF!</definedName>
    <definedName name="____PRN4">#REF!</definedName>
    <definedName name="____PRN6">#REF!</definedName>
    <definedName name="____PRN7">#REF!</definedName>
    <definedName name="____PRT2">#REF!</definedName>
    <definedName name="____PRT3">#REF!</definedName>
    <definedName name="____qa01" hidden="1">{#N/A,#N/A,FALSE,"2~8번"}</definedName>
    <definedName name="____qa02" hidden="1">{#N/A,#N/A,FALSE,"골재소요량";#N/A,#N/A,FALSE,"골재소요량"}</definedName>
    <definedName name="____qa03" hidden="1">{#N/A,#N/A,FALSE,"구조2"}</definedName>
    <definedName name="____qa04" hidden="1">{#N/A,#N/A,FALSE,"단가표지"}</definedName>
    <definedName name="____qa05" hidden="1">{#N/A,#N/A,FALSE,"배수1"}</definedName>
    <definedName name="____qa06" hidden="1">{#N/A,#N/A,FALSE,"배수2"}</definedName>
    <definedName name="____qa07" hidden="1">{#N/A,#N/A,FALSE,"부대1"}</definedName>
    <definedName name="____qa08" hidden="1">{#N/A,#N/A,FALSE,"부대2"}</definedName>
    <definedName name="____qa10" hidden="1">{#N/A,#N/A,FALSE,"속도"}</definedName>
    <definedName name="____qa11" hidden="1">{#N/A,#N/A,FALSE,"운반시간"}</definedName>
    <definedName name="____qa12" hidden="1">{#N/A,#N/A,FALSE,"이정표"}</definedName>
    <definedName name="____qa13" hidden="1">{#N/A,#N/A,FALSE,"조골재"}</definedName>
    <definedName name="____qa14" hidden="1">{#N/A,#N/A,FALSE,"구조1"}</definedName>
    <definedName name="____qa15" hidden="1">{#N/A,#N/A,FALSE,"토공2"}</definedName>
    <definedName name="____qa16" hidden="1">{#N/A,#N/A,FALSE,"포장1";#N/A,#N/A,FALSE,"포장1"}</definedName>
    <definedName name="____qa17" hidden="1">{#N/A,#N/A,FALSE,"포장2"}</definedName>
    <definedName name="____qa18" hidden="1">{#N/A,#N/A,FALSE,"표지목차"}</definedName>
    <definedName name="____qa19" hidden="1">{#N/A,#N/A,FALSE,"혼합골재"}</definedName>
    <definedName name="____qa20" hidden="1">{#N/A,#N/A,FALSE,"운반시간"}</definedName>
    <definedName name="____QQ1" hidden="1">{#N/A,#N/A,FALSE,"단가표지"}</definedName>
    <definedName name="____qs1">#REF!</definedName>
    <definedName name="____qs12">#REF!</definedName>
    <definedName name="____qs2">#REF!</definedName>
    <definedName name="____qs22">#REF!</definedName>
    <definedName name="____QW1" hidden="1">{#N/A,#N/A,FALSE,"단가표지"}</definedName>
    <definedName name="____qx1" hidden="1">{#N/A,#N/A,FALSE,"운반시간"}</definedName>
    <definedName name="____RAN2">#N/A</definedName>
    <definedName name="____RNA3">#N/A</definedName>
    <definedName name="____RNA4">#N/A</definedName>
    <definedName name="____S3" hidden="1">{#N/A,#N/A,FALSE,"포장2"}</definedName>
    <definedName name="____SH2">#N/A</definedName>
    <definedName name="____SH3">#N/A</definedName>
    <definedName name="____shh1">#REF!</definedName>
    <definedName name="____shh10">#REF!</definedName>
    <definedName name="____shh11">#REF!</definedName>
    <definedName name="____shh12">#REF!</definedName>
    <definedName name="____SHH13">#REF!</definedName>
    <definedName name="____shh2">#REF!</definedName>
    <definedName name="____shh3">#REF!</definedName>
    <definedName name="____shh4">#REF!</definedName>
    <definedName name="____shh5">#REF!</definedName>
    <definedName name="____shh6">#REF!</definedName>
    <definedName name="____shh7">#REF!</definedName>
    <definedName name="____shh8">#REF!</definedName>
    <definedName name="____shh9">#REF!</definedName>
    <definedName name="____SLL1">#REF!</definedName>
    <definedName name="____SLL2">#REF!</definedName>
    <definedName name="____SLL3">#REF!</definedName>
    <definedName name="____SS1" hidden="1">{#N/A,#N/A,FALSE,"운반시간"}</definedName>
    <definedName name="____ss122" hidden="1">{#N/A,#N/A,FALSE,"조골재"}</definedName>
    <definedName name="____sss11" hidden="1">{#N/A,#N/A,FALSE,"조골재"}</definedName>
    <definedName name="____ST1">#N/A</definedName>
    <definedName name="____STT1">#REF!</definedName>
    <definedName name="____STT2">#REF!</definedName>
    <definedName name="____STT3">#REF!</definedName>
    <definedName name="____STT4">#REF!</definedName>
    <definedName name="____STT5">#REF!</definedName>
    <definedName name="____STT6">#REF!</definedName>
    <definedName name="____SUB1">#REF!</definedName>
    <definedName name="____SUB2">#REF!</definedName>
    <definedName name="____tbb1">#REF!</definedName>
    <definedName name="____tbb2">#REF!</definedName>
    <definedName name="____tbb3">#REF!</definedName>
    <definedName name="____tbb4">#REF!</definedName>
    <definedName name="____tbb5">#REF!</definedName>
    <definedName name="____tbb6">#REF!</definedName>
    <definedName name="____tbb7">#REF!</definedName>
    <definedName name="____TC1" hidden="1">{#N/A,#N/A,FALSE,"물량산출"}</definedName>
    <definedName name="____TOT1">#REF!</definedName>
    <definedName name="____TOT2">#REF!</definedName>
    <definedName name="____TW1">#REF!</definedName>
    <definedName name="____TW2">#REF!</definedName>
    <definedName name="____vv233" hidden="1">{#N/A,#N/A,FALSE,"지침";#N/A,#N/A,FALSE,"환경분석";#N/A,#N/A,FALSE,"Sheet16"}</definedName>
    <definedName name="____wd1">#REF!</definedName>
    <definedName name="____wd2">#REF!</definedName>
    <definedName name="____xlfn.BAHTTEXT" hidden="1">#NAME?</definedName>
    <definedName name="____YO1">#REF!</definedName>
    <definedName name="___10">#REF!</definedName>
    <definedName name="___11">#REF!</definedName>
    <definedName name="___6">#REF!</definedName>
    <definedName name="___7">#REF!</definedName>
    <definedName name="___8">#REF!</definedName>
    <definedName name="___9">#REF!</definedName>
    <definedName name="___a1">#REF!</definedName>
    <definedName name="___a10">#N/A</definedName>
    <definedName name="___a11">#N/A</definedName>
    <definedName name="___a12">#N/A</definedName>
    <definedName name="___a122" hidden="1">{#N/A,#N/A,FALSE,"속도"}</definedName>
    <definedName name="___a13">#N/A</definedName>
    <definedName name="___a14">#N/A</definedName>
    <definedName name="___a15">#N/A</definedName>
    <definedName name="___a16">#N/A</definedName>
    <definedName name="___a17">#N/A</definedName>
    <definedName name="___a2">#REF!</definedName>
    <definedName name="___a3">#REF!</definedName>
    <definedName name="___a4">#N/A</definedName>
    <definedName name="___a5">#N/A</definedName>
    <definedName name="___a6">#N/A</definedName>
    <definedName name="___a7">#N/A</definedName>
    <definedName name="___a8">#N/A</definedName>
    <definedName name="___A82319">#REF!</definedName>
    <definedName name="___a9">#N/A</definedName>
    <definedName name="___AA1">#REF!</definedName>
    <definedName name="___aa11" hidden="1">{#N/A,#N/A,FALSE,"운반시간"}</definedName>
    <definedName name="___ASP1">#REF!</definedName>
    <definedName name="___B16500" hidden="1">#REF!</definedName>
    <definedName name="___b2">#REF!</definedName>
    <definedName name="___B20996">#REF!</definedName>
    <definedName name="___C">#REF!</definedName>
    <definedName name="___CDT2">#REF!</definedName>
    <definedName name="___CNP1">#REF!</definedName>
    <definedName name="___D1">#REF!</definedName>
    <definedName name="___D2">#REF!</definedName>
    <definedName name="___D3">#REF!</definedName>
    <definedName name="___D4">#REF!</definedName>
    <definedName name="___D5">#REF!</definedName>
    <definedName name="___DIO2332" hidden="1">#REF!</definedName>
    <definedName name="___DKI433434" hidden="1">#REF!</definedName>
    <definedName name="___DP2">#REF!</definedName>
    <definedName name="___EE1" hidden="1">{#N/A,#N/A,FALSE,"단가표지"}</definedName>
    <definedName name="___EE2" hidden="1">{#N/A,#N/A,FALSE,"단가표지"}</definedName>
    <definedName name="___f2">#REF!</definedName>
    <definedName name="___FBB1">#REF!</definedName>
    <definedName name="___FBB2">#REF!</definedName>
    <definedName name="___FBB3">#REF!</definedName>
    <definedName name="___FHH1">#REF!</definedName>
    <definedName name="___FHH2">#REF!</definedName>
    <definedName name="___FHH3">#REF!</definedName>
    <definedName name="___Fld12">#REF!</definedName>
    <definedName name="___Fld17">#REF!</definedName>
    <definedName name="___fsd22" hidden="1">{#N/A,#N/A,FALSE,"지침";#N/A,#N/A,FALSE,"환경분석";#N/A,#N/A,FALSE,"Sheet16"}</definedName>
    <definedName name="___gh56533">#REF!</definedName>
    <definedName name="___h3" hidden="1">#REF!</definedName>
    <definedName name="___HPP1">#REF!</definedName>
    <definedName name="___HSH1">#REF!</definedName>
    <definedName name="___HSH2">#REF!</definedName>
    <definedName name="___hun1">#REF!</definedName>
    <definedName name="___hun2">#REF!</definedName>
    <definedName name="___i8">#REF!</definedName>
    <definedName name="___JB1">#REF!</definedName>
    <definedName name="___KD2" hidden="1">#REF!</definedName>
    <definedName name="___KD3" hidden="1">#REF!</definedName>
    <definedName name="___key2" hidden="1">#REF!</definedName>
    <definedName name="___key21" hidden="1">#REF!</definedName>
    <definedName name="___key3" hidden="1">#N/A</definedName>
    <definedName name="___KK2" hidden="1">#REF!</definedName>
    <definedName name="___KK3" hidden="1">#REF!</definedName>
    <definedName name="___LG10">#REF!</definedName>
    <definedName name="___LG13">#REF!</definedName>
    <definedName name="___LG15">#REF!</definedName>
    <definedName name="___LG17">#REF!</definedName>
    <definedName name="___LG18">#REF!</definedName>
    <definedName name="___LG2">#REF!</definedName>
    <definedName name="___LG20">#REF!</definedName>
    <definedName name="___LG21">#REF!</definedName>
    <definedName name="___LG6">#REF!</definedName>
    <definedName name="___LG9">#REF!</definedName>
    <definedName name="___LL1">#REF!</definedName>
    <definedName name="___ll15">#REF!</definedName>
    <definedName name="___LL2">#REF!</definedName>
    <definedName name="___LL3">#REF!</definedName>
    <definedName name="___LR1">#REF!</definedName>
    <definedName name="___LR2">#REF!</definedName>
    <definedName name="___LR3">#REF!</definedName>
    <definedName name="___LS10">#REF!</definedName>
    <definedName name="___LS13">#REF!</definedName>
    <definedName name="___LS15">#REF!</definedName>
    <definedName name="___LS17">#REF!</definedName>
    <definedName name="___LS18">#REF!</definedName>
    <definedName name="___LS2">#REF!</definedName>
    <definedName name="___LS20">#REF!</definedName>
    <definedName name="___LS21">#REF!</definedName>
    <definedName name="___LS6">#REF!</definedName>
    <definedName name="___LS9">#REF!</definedName>
    <definedName name="___LSK1">#REF!</definedName>
    <definedName name="___LSK2">#REF!</definedName>
    <definedName name="___LSK3">#REF!</definedName>
    <definedName name="___MaL1">#REF!</definedName>
    <definedName name="___MaL2">#REF!</definedName>
    <definedName name="___MG1">#REF!</definedName>
    <definedName name="___MG109">#REF!</definedName>
    <definedName name="___MG112">#REF!</definedName>
    <definedName name="___MG113">#REF!</definedName>
    <definedName name="___MG118">#REF!</definedName>
    <definedName name="___MG131">#REF!</definedName>
    <definedName name="___MG132">#REF!</definedName>
    <definedName name="___MG135">#REF!</definedName>
    <definedName name="___MG136">#REF!</definedName>
    <definedName name="___MG15">#REF!</definedName>
    <definedName name="___MG25">#REF!</definedName>
    <definedName name="___MG3">#REF!</definedName>
    <definedName name="___MG30">#REF!</definedName>
    <definedName name="___MG43">#REF!</definedName>
    <definedName name="___MG44">#REF!</definedName>
    <definedName name="___MG46">#REF!</definedName>
    <definedName name="___MG51">#REF!</definedName>
    <definedName name="___MG57">#REF!</definedName>
    <definedName name="___MG6">#REF!</definedName>
    <definedName name="___MG60">#REF!</definedName>
    <definedName name="___MG61">#REF!</definedName>
    <definedName name="___MG62">#REF!</definedName>
    <definedName name="___MG63">#REF!</definedName>
    <definedName name="___MG64">#REF!</definedName>
    <definedName name="___MG70">#REF!</definedName>
    <definedName name="___MG71">#REF!</definedName>
    <definedName name="___MG8">#REF!</definedName>
    <definedName name="___MG81">#REF!</definedName>
    <definedName name="___MG86">#REF!</definedName>
    <definedName name="___MG9">#REF!</definedName>
    <definedName name="___MG91">#REF!</definedName>
    <definedName name="___MG99">#REF!</definedName>
    <definedName name="___MS1">#REF!</definedName>
    <definedName name="___MS109">#REF!</definedName>
    <definedName name="___MS112">#REF!</definedName>
    <definedName name="___MS113">#REF!</definedName>
    <definedName name="___MS118">#REF!</definedName>
    <definedName name="___MS131">#REF!</definedName>
    <definedName name="___MS132">#REF!</definedName>
    <definedName name="___MS135">#REF!</definedName>
    <definedName name="___MS136">#REF!</definedName>
    <definedName name="___MS15">#REF!</definedName>
    <definedName name="___MS25">#REF!</definedName>
    <definedName name="___MS3">#REF!</definedName>
    <definedName name="___MS30">#REF!</definedName>
    <definedName name="___MS43">#REF!</definedName>
    <definedName name="___MS44">#REF!</definedName>
    <definedName name="___MS46">#REF!</definedName>
    <definedName name="___MS51">#REF!</definedName>
    <definedName name="___MS57">#REF!</definedName>
    <definedName name="___MS6">#REF!</definedName>
    <definedName name="___MS60">#REF!</definedName>
    <definedName name="___MS61">#REF!</definedName>
    <definedName name="___MS62">#REF!</definedName>
    <definedName name="___MS63">#REF!</definedName>
    <definedName name="___MS64">#REF!</definedName>
    <definedName name="___MS70">#REF!</definedName>
    <definedName name="___MS71">#REF!</definedName>
    <definedName name="___MS8">#REF!</definedName>
    <definedName name="___MS81">#REF!</definedName>
    <definedName name="___MS86">#REF!</definedName>
    <definedName name="___MS9">#REF!</definedName>
    <definedName name="___MS91">#REF!</definedName>
    <definedName name="___MS99">#REF!</definedName>
    <definedName name="___mup1">#REF!</definedName>
    <definedName name="___NGR1" hidden="1">#REF!</definedName>
    <definedName name="___NGR2" hidden="1">#REF!</definedName>
    <definedName name="___NLL1">#REF!</definedName>
    <definedName name="___NLL2">#REF!</definedName>
    <definedName name="___NLL3">#REF!</definedName>
    <definedName name="___NLL4">#REF!</definedName>
    <definedName name="___NLL5">#REF!</definedName>
    <definedName name="___NON1">#REF!</definedName>
    <definedName name="___NON2">#N/A</definedName>
    <definedName name="___NP1">#REF!</definedName>
    <definedName name="___NP2">#REF!</definedName>
    <definedName name="___NSH1">#REF!</definedName>
    <definedName name="___NSH2">#REF!</definedName>
    <definedName name="___P10">#REF!</definedName>
    <definedName name="___P11">#REF!</definedName>
    <definedName name="___P12">#REF!</definedName>
    <definedName name="___P13">#REF!</definedName>
    <definedName name="___P14">#REF!</definedName>
    <definedName name="___P15">#REF!</definedName>
    <definedName name="___P16">#REF!</definedName>
    <definedName name="___P17">#REF!</definedName>
    <definedName name="___P3" hidden="1">{#N/A,#N/A,FALSE,"배수1"}</definedName>
    <definedName name="___P4" hidden="1">{#N/A,#N/A,FALSE,"혼합골재"}</definedName>
    <definedName name="___P5" hidden="1">{#N/A,#N/A,FALSE,"배수1"}</definedName>
    <definedName name="___P6" hidden="1">{#N/A,#N/A,FALSE,"2~8번"}</definedName>
    <definedName name="___P7">#REF!</definedName>
    <definedName name="___P8">#REF!</definedName>
    <definedName name="___P9">#REF!</definedName>
    <definedName name="___PNO10">#REF!</definedName>
    <definedName name="___PNO3">#REF!</definedName>
    <definedName name="___PNO4">#REF!</definedName>
    <definedName name="___PNO5">#REF!</definedName>
    <definedName name="___PNO6">#REF!</definedName>
    <definedName name="___PNO7">#REF!</definedName>
    <definedName name="___PNO8">#REF!</definedName>
    <definedName name="___PNO9">#REF!</definedName>
    <definedName name="___PR01">#REF!</definedName>
    <definedName name="___PRN2">#REF!</definedName>
    <definedName name="___PRN3">#REF!</definedName>
    <definedName name="___PRN4">#REF!</definedName>
    <definedName name="___PRN6">#REF!</definedName>
    <definedName name="___PRN7">#REF!</definedName>
    <definedName name="___PRT2">#REF!</definedName>
    <definedName name="___PRT3">#REF!</definedName>
    <definedName name="___px1">#REF!</definedName>
    <definedName name="___px2">#REF!</definedName>
    <definedName name="___q45">{"'용역비'!$A$4:$C$8"}</definedName>
    <definedName name="___QQ1" hidden="1">{#N/A,#N/A,FALSE,"단가표지"}</definedName>
    <definedName name="___qs1">#REF!</definedName>
    <definedName name="___qs12">#REF!</definedName>
    <definedName name="___qs2">#REF!</definedName>
    <definedName name="___qs22">#REF!</definedName>
    <definedName name="___QTY1">#REF!</definedName>
    <definedName name="___QTY2">#REF!</definedName>
    <definedName name="___QW1" hidden="1">{#N/A,#N/A,FALSE,"단가표지"}</definedName>
    <definedName name="___RAN2">#N/A</definedName>
    <definedName name="___res5" hidden="1">{#N/A,#N/A,FALSE,"CCTV"}</definedName>
    <definedName name="___RNA3">#N/A</definedName>
    <definedName name="___RNA4">#N/A</definedName>
    <definedName name="___S1">#REF!</definedName>
    <definedName name="___S3" hidden="1">{#N/A,#N/A,FALSE,"포장2"}</definedName>
    <definedName name="___SAN2">#N/A</definedName>
    <definedName name="___SG2">#REF!</definedName>
    <definedName name="___SG3">#REF!</definedName>
    <definedName name="___SG5">#REF!</definedName>
    <definedName name="___SG6">#REF!</definedName>
    <definedName name="___SH2">#N/A</definedName>
    <definedName name="___SH3">#N/A</definedName>
    <definedName name="___shh1">#REF!</definedName>
    <definedName name="___shh10">#REF!</definedName>
    <definedName name="___shh11">#REF!</definedName>
    <definedName name="___shh12">#REF!</definedName>
    <definedName name="___SHH13">#REF!</definedName>
    <definedName name="___shh2">#REF!</definedName>
    <definedName name="___shh3">#REF!</definedName>
    <definedName name="___shh4">#REF!</definedName>
    <definedName name="___shh5">#REF!</definedName>
    <definedName name="___shh6">#REF!</definedName>
    <definedName name="___shh7">#REF!</definedName>
    <definedName name="___shh8">#REF!</definedName>
    <definedName name="___shh9">#REF!</definedName>
    <definedName name="___SHT48">#REF!</definedName>
    <definedName name="___SLL1">#REF!</definedName>
    <definedName name="___SLL2">#REF!</definedName>
    <definedName name="___SLL3">#REF!</definedName>
    <definedName name="___SS1" hidden="1">{#N/A,#N/A,FALSE,"운반시간"}</definedName>
    <definedName name="___ss122" hidden="1">{#N/A,#N/A,FALSE,"조골재"}</definedName>
    <definedName name="___SS2">#REF!</definedName>
    <definedName name="___SS3">#REF!</definedName>
    <definedName name="___SS5">#REF!</definedName>
    <definedName name="___SS6">#REF!</definedName>
    <definedName name="___sss11" hidden="1">{#N/A,#N/A,FALSE,"조골재"}</definedName>
    <definedName name="___ST1">#N/A</definedName>
    <definedName name="___stp1">#REF!</definedName>
    <definedName name="___stp10">#REF!</definedName>
    <definedName name="___stp100">#REF!</definedName>
    <definedName name="___stp101">#REF!</definedName>
    <definedName name="___stp102">#REF!</definedName>
    <definedName name="___stp103">#REF!</definedName>
    <definedName name="___stp104">#REF!</definedName>
    <definedName name="___stp105">#REF!</definedName>
    <definedName name="___stp106">#REF!</definedName>
    <definedName name="___stp107">#REF!</definedName>
    <definedName name="___stp108">#REF!</definedName>
    <definedName name="___stp109">#REF!</definedName>
    <definedName name="___stp11">#REF!</definedName>
    <definedName name="___stp110">#REF!</definedName>
    <definedName name="___stp111">#REF!</definedName>
    <definedName name="___stp112">#REF!</definedName>
    <definedName name="___stp113">#REF!</definedName>
    <definedName name="___stp114">#REF!</definedName>
    <definedName name="___stp115">#REF!</definedName>
    <definedName name="___stp116">#REF!</definedName>
    <definedName name="___stp117">#REF!</definedName>
    <definedName name="___stp118">#REF!</definedName>
    <definedName name="___stp119">#REF!</definedName>
    <definedName name="___stp12">#REF!</definedName>
    <definedName name="___stp120">#REF!</definedName>
    <definedName name="___stp121">#REF!</definedName>
    <definedName name="___stp122">#REF!</definedName>
    <definedName name="___stp123">#REF!</definedName>
    <definedName name="___stp124">#REF!</definedName>
    <definedName name="___stp125">#REF!</definedName>
    <definedName name="___stp126">#REF!</definedName>
    <definedName name="___stp127">#REF!</definedName>
    <definedName name="___stp128">#REF!</definedName>
    <definedName name="___stp129">#REF!</definedName>
    <definedName name="___stp13">#REF!</definedName>
    <definedName name="___stp130">#REF!</definedName>
    <definedName name="___stp131">#REF!</definedName>
    <definedName name="___stp132">#REF!</definedName>
    <definedName name="___stp133">#REF!</definedName>
    <definedName name="___stp134">#REF!</definedName>
    <definedName name="___stp135">#REF!</definedName>
    <definedName name="___stp136">#REF!</definedName>
    <definedName name="___stp137">#REF!</definedName>
    <definedName name="___stp138">#REF!</definedName>
    <definedName name="___stp139">#REF!</definedName>
    <definedName name="___stp14">#REF!</definedName>
    <definedName name="___stp140">#REF!</definedName>
    <definedName name="___stp141">#REF!</definedName>
    <definedName name="___stp142">#REF!</definedName>
    <definedName name="___stp143">#REF!</definedName>
    <definedName name="___stp144">#REF!</definedName>
    <definedName name="___stp145">#REF!</definedName>
    <definedName name="___stp146">#REF!</definedName>
    <definedName name="___stp147">#REF!</definedName>
    <definedName name="___stp148">#REF!</definedName>
    <definedName name="___stp149">#REF!</definedName>
    <definedName name="___stp15">#REF!</definedName>
    <definedName name="___stp150">#REF!</definedName>
    <definedName name="___stp151">#REF!</definedName>
    <definedName name="___stp152">#REF!</definedName>
    <definedName name="___stp153">#REF!</definedName>
    <definedName name="___stp154">#REF!</definedName>
    <definedName name="___stp155">#REF!</definedName>
    <definedName name="___stp156">#REF!</definedName>
    <definedName name="___stp157">#REF!</definedName>
    <definedName name="___stp158">#REF!</definedName>
    <definedName name="___stp159">#REF!</definedName>
    <definedName name="___stp16">#REF!</definedName>
    <definedName name="___stp160">#REF!</definedName>
    <definedName name="___stp161">#REF!</definedName>
    <definedName name="___stp162">#REF!</definedName>
    <definedName name="___stp163">#REF!</definedName>
    <definedName name="___stp164">#REF!</definedName>
    <definedName name="___stp165">#REF!</definedName>
    <definedName name="___stp166">#REF!</definedName>
    <definedName name="___stp167">#REF!</definedName>
    <definedName name="___stp168">#REF!</definedName>
    <definedName name="___stp169">#REF!</definedName>
    <definedName name="___stp17">#REF!</definedName>
    <definedName name="___stp170">#REF!</definedName>
    <definedName name="___stp171">#REF!</definedName>
    <definedName name="___stp172">#REF!</definedName>
    <definedName name="___stp173">#REF!</definedName>
    <definedName name="___stp174">#REF!</definedName>
    <definedName name="___stp175">#REF!</definedName>
    <definedName name="___stp176">#REF!</definedName>
    <definedName name="___stp177">#REF!</definedName>
    <definedName name="___stp178">#REF!</definedName>
    <definedName name="___stp179">#REF!</definedName>
    <definedName name="___stp18">#REF!</definedName>
    <definedName name="___stp180">#REF!</definedName>
    <definedName name="___stp181">#REF!</definedName>
    <definedName name="___stp182">#REF!</definedName>
    <definedName name="___stp183">#REF!</definedName>
    <definedName name="___stp184">#REF!</definedName>
    <definedName name="___stp185">#REF!</definedName>
    <definedName name="___stp186">#REF!</definedName>
    <definedName name="___stp187">#REF!</definedName>
    <definedName name="___stp188">#REF!</definedName>
    <definedName name="___stp189">#REF!</definedName>
    <definedName name="___stp19">#REF!</definedName>
    <definedName name="___stp190">#REF!</definedName>
    <definedName name="___stp191">#REF!</definedName>
    <definedName name="___stp192">#REF!</definedName>
    <definedName name="___stp193">#REF!</definedName>
    <definedName name="___stp194">#REF!</definedName>
    <definedName name="___stp195">#REF!</definedName>
    <definedName name="___stp196">#REF!</definedName>
    <definedName name="___stp197">#REF!</definedName>
    <definedName name="___stp198">#REF!</definedName>
    <definedName name="___stp199">#REF!</definedName>
    <definedName name="___stp2">#REF!</definedName>
    <definedName name="___stp20">#REF!</definedName>
    <definedName name="___stp21">#REF!</definedName>
    <definedName name="___stp22">#REF!</definedName>
    <definedName name="___stp23">#REF!</definedName>
    <definedName name="___stp24">#REF!</definedName>
    <definedName name="___stp25">#REF!</definedName>
    <definedName name="___stp26">#REF!</definedName>
    <definedName name="___stp27">#REF!</definedName>
    <definedName name="___stp28">#REF!</definedName>
    <definedName name="___stp29">#REF!</definedName>
    <definedName name="___stp3">#REF!</definedName>
    <definedName name="___stp30">#REF!</definedName>
    <definedName name="___stp31">#REF!</definedName>
    <definedName name="___stp32">#REF!</definedName>
    <definedName name="___stp33">#REF!</definedName>
    <definedName name="___stp34">#REF!</definedName>
    <definedName name="___stp35">#REF!</definedName>
    <definedName name="___stp36">#REF!</definedName>
    <definedName name="___stp37">#REF!</definedName>
    <definedName name="___stp38">#REF!</definedName>
    <definedName name="___stp39">#REF!</definedName>
    <definedName name="___stp4">#REF!</definedName>
    <definedName name="___stp40">#REF!</definedName>
    <definedName name="___stp41">#REF!</definedName>
    <definedName name="___stp42">#REF!</definedName>
    <definedName name="___stp43">#REF!</definedName>
    <definedName name="___stp44">#REF!</definedName>
    <definedName name="___stp45">#REF!</definedName>
    <definedName name="___stp46">#REF!</definedName>
    <definedName name="___stp47">#REF!</definedName>
    <definedName name="___stp48">#REF!</definedName>
    <definedName name="___stp49">#REF!</definedName>
    <definedName name="___stp5">#REF!</definedName>
    <definedName name="___stp50">#REF!</definedName>
    <definedName name="___stp51">#REF!</definedName>
    <definedName name="___stp52">#REF!</definedName>
    <definedName name="___stp53">#REF!</definedName>
    <definedName name="___stp54">#REF!</definedName>
    <definedName name="___stp55">#REF!</definedName>
    <definedName name="___stp56">#REF!</definedName>
    <definedName name="___stp57">#REF!</definedName>
    <definedName name="___stp58">#REF!</definedName>
    <definedName name="___stp59">#REF!</definedName>
    <definedName name="___stp6">#REF!</definedName>
    <definedName name="___stp60">#REF!</definedName>
    <definedName name="___stp61">#REF!</definedName>
    <definedName name="___stp62">#REF!</definedName>
    <definedName name="___stp63">#REF!</definedName>
    <definedName name="___stp64">#REF!</definedName>
    <definedName name="___stp65">#REF!</definedName>
    <definedName name="___stp66">#REF!</definedName>
    <definedName name="___stp67">#REF!</definedName>
    <definedName name="___stp68">#REF!</definedName>
    <definedName name="___stp69">#REF!</definedName>
    <definedName name="___stp7">#REF!</definedName>
    <definedName name="___stp70">#REF!</definedName>
    <definedName name="___stp71">#REF!</definedName>
    <definedName name="___stp72">#REF!</definedName>
    <definedName name="___stp73">#REF!</definedName>
    <definedName name="___stp74">#REF!</definedName>
    <definedName name="___stp75">#REF!</definedName>
    <definedName name="___stp76">#REF!</definedName>
    <definedName name="___stp77">#REF!</definedName>
    <definedName name="___stp78">#REF!</definedName>
    <definedName name="___stp79">#REF!</definedName>
    <definedName name="___stp8">#REF!</definedName>
    <definedName name="___stp80">#REF!</definedName>
    <definedName name="___stp81">#REF!</definedName>
    <definedName name="___stp82">#REF!</definedName>
    <definedName name="___stp83">#REF!</definedName>
    <definedName name="___stp84">#REF!</definedName>
    <definedName name="___stp85">#REF!</definedName>
    <definedName name="___stp86">#REF!</definedName>
    <definedName name="___stp87">#REF!</definedName>
    <definedName name="___stp88">#REF!</definedName>
    <definedName name="___stp89">#REF!</definedName>
    <definedName name="___stp9">#REF!</definedName>
    <definedName name="___stp90">#REF!</definedName>
    <definedName name="___stp91">#REF!</definedName>
    <definedName name="___stp92">#REF!</definedName>
    <definedName name="___stp93">#REF!</definedName>
    <definedName name="___stp94">#REF!</definedName>
    <definedName name="___stp95">#REF!</definedName>
    <definedName name="___stp96">#REF!</definedName>
    <definedName name="___stp97">#REF!</definedName>
    <definedName name="___stp98">#REF!</definedName>
    <definedName name="___stp99">#REF!</definedName>
    <definedName name="___STT1">#REF!</definedName>
    <definedName name="___STT2">#REF!</definedName>
    <definedName name="___STT3">#REF!</definedName>
    <definedName name="___STT4">#REF!</definedName>
    <definedName name="___STT5">#REF!</definedName>
    <definedName name="___STT6">#REF!</definedName>
    <definedName name="___SUB1">#REF!</definedName>
    <definedName name="___SUB2">#REF!</definedName>
    <definedName name="___SUB3">#REF!</definedName>
    <definedName name="___SUB4">#N/A</definedName>
    <definedName name="___tbb1">#REF!</definedName>
    <definedName name="___tbb2">#REF!</definedName>
    <definedName name="___tbb3">#REF!</definedName>
    <definedName name="___tbb4">#REF!</definedName>
    <definedName name="___tbb5">#REF!</definedName>
    <definedName name="___tbb6">#REF!</definedName>
    <definedName name="___tbb7">#REF!</definedName>
    <definedName name="___TC1" hidden="1">{#N/A,#N/A,FALSE,"물량산출"}</definedName>
    <definedName name="___TOT1">#REF!</definedName>
    <definedName name="___TOT2">#REF!</definedName>
    <definedName name="___TW1">#REF!</definedName>
    <definedName name="___TW2">#REF!</definedName>
    <definedName name="___tyj563356" hidden="1">#REF!</definedName>
    <definedName name="___vv233" hidden="1">{#N/A,#N/A,FALSE,"지침";#N/A,#N/A,FALSE,"환경분석";#N/A,#N/A,FALSE,"Sheet16"}</definedName>
    <definedName name="___wd1">#REF!</definedName>
    <definedName name="___wd2">#REF!</definedName>
    <definedName name="___wrn1" hidden="1">{#N/A,#N/A,FALSE,"전력간선"}</definedName>
    <definedName name="___wt5" hidden="1">{#N/A,#N/A,FALSE,"토공2"}</definedName>
    <definedName name="___WW1">#REF!</definedName>
    <definedName name="___WW2">#REF!</definedName>
    <definedName name="___xlfn.BAHTTEXT" hidden="1">#NAME?</definedName>
    <definedName name="___YO1">#REF!</definedName>
    <definedName name="___yu6" hidden="1">{#N/A,#N/A,FALSE,"사업총괄";#N/A,#N/A,FALSE,"장비사업";#N/A,#N/A,FALSE,"철구사업";#N/A,#N/A,FALSE,"준설사업"}</definedName>
    <definedName name="___ZZ1">#REF!</definedName>
    <definedName name="__?쾴?">#REF!</definedName>
    <definedName name="__?쾴?___P">#REF!</definedName>
    <definedName name="__?쾴?_?">#REF!</definedName>
    <definedName name="__?쾴?_T">#REF!</definedName>
    <definedName name="__010908_01_bmbq_1">#REF!</definedName>
    <definedName name="__10">#REF!</definedName>
    <definedName name="__11">#REF!</definedName>
    <definedName name="__1234" hidden="1">#REF!</definedName>
    <definedName name="__123Graph_A" hidden="1">#REF!</definedName>
    <definedName name="__123Graph_A공광전력" hidden="1">#REF!</definedName>
    <definedName name="__123Graph_A그래프1" hidden="1">#REF!</definedName>
    <definedName name="__123Graph_A그래프2" hidden="1">#REF!</definedName>
    <definedName name="__123Graph_A그래프4" hidden="1">#REF!</definedName>
    <definedName name="__123Graph_AA" hidden="1">#REF!</definedName>
    <definedName name="__123Graph_AB" hidden="1">#REF!</definedName>
    <definedName name="__123Graph_AC" hidden="1">#REF!</definedName>
    <definedName name="__123Graph_ACHART1" hidden="1">#REF!</definedName>
    <definedName name="__123Graph_ACURRENT" hidden="1">#REF!</definedName>
    <definedName name="__123Graph_AD" hidden="1">#REF!</definedName>
    <definedName name="__123Graph_AE" hidden="1">#REF!</definedName>
    <definedName name="__123Graph_AF" hidden="1">#REF!</definedName>
    <definedName name="__123Graph_AG" hidden="1">#REF!</definedName>
    <definedName name="__123Graph_AGraph1" hidden="1">#REF!</definedName>
    <definedName name="__123Graph_AGraph2" hidden="1">#REF!</definedName>
    <definedName name="__123Graph_APOWERSAV" hidden="1">#REF!</definedName>
    <definedName name="__123Graph_Aｶﾚﾝﾄ" hidden="1">#REF!</definedName>
    <definedName name="__123Graph_B" hidden="1">#REF!</definedName>
    <definedName name="__123Graph_B공광전력" hidden="1">#REF!</definedName>
    <definedName name="__123Graph_B그래프2" hidden="1">#REF!</definedName>
    <definedName name="__123Graph_BCurrent" hidden="1">#REF!</definedName>
    <definedName name="__123Graph_BGraph1" hidden="1">#REF!</definedName>
    <definedName name="__123Graph_BGraph2" hidden="1">#REF!</definedName>
    <definedName name="__123Graph_BPOWERSAV" hidden="1">#REF!</definedName>
    <definedName name="__123Graph_Bｶﾚﾝﾄ" hidden="1">#REF!</definedName>
    <definedName name="__123Graph_C" hidden="1">#REF!</definedName>
    <definedName name="__123Graph_C공광전력" hidden="1">#REF!</definedName>
    <definedName name="__123Graph_CGraph1" hidden="1">#REF!</definedName>
    <definedName name="__123Graph_CGraph2" hidden="1">#REF!</definedName>
    <definedName name="__123Graph_CPOWERSAV" hidden="1">#REF!</definedName>
    <definedName name="__123Graph_Cｶﾚﾝﾄ" hidden="1">#REF!</definedName>
    <definedName name="__123Graph_D" hidden="1">#REF!</definedName>
    <definedName name="__123Graph_D그래프1" hidden="1">#REF!</definedName>
    <definedName name="__123Graph_D그래프2" hidden="1">#REF!</definedName>
    <definedName name="__123Graph_D그래프4" hidden="1">#REF!</definedName>
    <definedName name="__123Graph_DGraph1" hidden="1">#REF!</definedName>
    <definedName name="__123Graph_DGraph2" hidden="1">#REF!</definedName>
    <definedName name="__123Graph_DPOWERSAV" hidden="1">#REF!</definedName>
    <definedName name="__123Graph_Dｶﾚﾝﾄ" hidden="1">#REF!</definedName>
    <definedName name="__123Graph_E" hidden="1">#N/A</definedName>
    <definedName name="__123Graph_EGraph1" hidden="1">#REF!</definedName>
    <definedName name="__123Graph_EGraph2" hidden="1">#REF!</definedName>
    <definedName name="__123Graph_Eｶﾚﾝﾄ" hidden="1">#REF!</definedName>
    <definedName name="__123Graph_F" hidden="1">#REF!</definedName>
    <definedName name="__123Graph_FGraph1" hidden="1">#REF!</definedName>
    <definedName name="__123Graph_FGraph2" hidden="1">#REF!</definedName>
    <definedName name="__123Graph_Fｶﾚﾝﾄ" hidden="1">#REF!</definedName>
    <definedName name="__123Graph_LBL_A" hidden="1">#REF!</definedName>
    <definedName name="__123Graph_LBL_A그래프2" hidden="1">#REF!</definedName>
    <definedName name="__123Graph_LBL_APOWERSAV" hidden="1">#REF!</definedName>
    <definedName name="__123Graph_LBL_B" hidden="1">#REF!</definedName>
    <definedName name="__123Graph_LBL_BPOWERSAV" hidden="1">#REF!</definedName>
    <definedName name="__123Graph_LBL_C" hidden="1">#REF!</definedName>
    <definedName name="__123Graph_LBL_CPOWERSAV" hidden="1">#REF!</definedName>
    <definedName name="__123Graph_LBL_D" hidden="1">#REF!</definedName>
    <definedName name="__123Graph_LBL_DPOWERSAV" hidden="1">#REF!</definedName>
    <definedName name="__123Graph_LBL_E" hidden="1">#REF!</definedName>
    <definedName name="__123Graph_LBL_F" hidden="1">#REF!</definedName>
    <definedName name="__123Graph_X" hidden="1">#REF!</definedName>
    <definedName name="__123Graph_X공광전력" hidden="1">#REF!</definedName>
    <definedName name="__123Graph_X그래프1" hidden="1">#REF!</definedName>
    <definedName name="__123Graph_X그래프2" hidden="1">#REF!</definedName>
    <definedName name="__123Graph_XA" hidden="1">#REF!</definedName>
    <definedName name="__123Graph_XB" hidden="1">#REF!</definedName>
    <definedName name="__123Graph_XC" hidden="1">#REF!</definedName>
    <definedName name="__123Graph_XCHART1" hidden="1">#REF!</definedName>
    <definedName name="__123Graph_XCURRENT" hidden="1">#REF!</definedName>
    <definedName name="__123Graph_XD" hidden="1">#REF!</definedName>
    <definedName name="__123Graph_XE" hidden="1">#REF!</definedName>
    <definedName name="__123Graph_XF" hidden="1">#REF!</definedName>
    <definedName name="__123Graph_XG" hidden="1">#REF!</definedName>
    <definedName name="__123Graph_XPOWERSAV" hidden="1">#REF!</definedName>
    <definedName name="__123Graph_Z" hidden="1">#REF!</definedName>
    <definedName name="__124GRAPH_XC" hidden="1">#REF!</definedName>
    <definedName name="__14_0_0_S" hidden="1">#REF!</definedName>
    <definedName name="__1Excel_BuiltIn__FilterDatabase_1_1">#REF!</definedName>
    <definedName name="__1K123_" hidden="1">{#N/A,#N/A,FALSE,"현장 NCR 분석";#N/A,#N/A,FALSE,"현장품질감사";#N/A,#N/A,FALSE,"현장품질감사"}</definedName>
    <definedName name="__2Excel_BuiltIn_Print_Titles_1_1">#REF!</definedName>
    <definedName name="__6">#REF!</definedName>
    <definedName name="__7">#REF!</definedName>
    <definedName name="__8">#REF!</definedName>
    <definedName name="__8_0_0_F" hidden="1">#REF!</definedName>
    <definedName name="__9">#REF!</definedName>
    <definedName name="__9_0_S" hidden="1">#REF!</definedName>
    <definedName name="__a1">#REF!</definedName>
    <definedName name="__a10">#N/A</definedName>
    <definedName name="__A100000">#REF!</definedName>
    <definedName name="__a11">#N/A</definedName>
    <definedName name="__a12">#N/A</definedName>
    <definedName name="__a122" hidden="1">{#N/A,#N/A,FALSE,"속도"}</definedName>
    <definedName name="__a13">#N/A</definedName>
    <definedName name="__a14">#N/A</definedName>
    <definedName name="__a15">#N/A</definedName>
    <definedName name="__a16">#N/A</definedName>
    <definedName name="__a17">#N/A</definedName>
    <definedName name="__a2">#REF!</definedName>
    <definedName name="__a3">#REF!</definedName>
    <definedName name="__a4">#N/A</definedName>
    <definedName name="__a5">#N/A</definedName>
    <definedName name="__a6">#N/A</definedName>
    <definedName name="__A66000">#REF!</definedName>
    <definedName name="__a7">#N/A</definedName>
    <definedName name="__a8">#N/A</definedName>
    <definedName name="__A80000">#REF!</definedName>
    <definedName name="__a9">#N/A</definedName>
    <definedName name="__A90000">#REF!</definedName>
    <definedName name="__AA1">#REF!</definedName>
    <definedName name="__aa11" hidden="1">{#N/A,#N/A,FALSE,"운반시간"}</definedName>
    <definedName name="__ASP1">#REF!</definedName>
    <definedName name="__B16500" hidden="1">#REF!</definedName>
    <definedName name="__b2">#REF!</definedName>
    <definedName name="__B20996">#REF!</definedName>
    <definedName name="__BEF1">#REF!</definedName>
    <definedName name="__BEF2">#REF!</definedName>
    <definedName name="__C">#REF!</definedName>
    <definedName name="__CDT2">#REF!</definedName>
    <definedName name="__CNP1">#REF!</definedName>
    <definedName name="__D1">#REF!</definedName>
    <definedName name="__D6" hidden="1">{"'표지'!$B$5"}</definedName>
    <definedName name="__DemandLoad">TRUE</definedName>
    <definedName name="__df32" hidden="1">{#N/A,#N/A,FALSE,"Sheet1"}</definedName>
    <definedName name="__dfr23" hidden="1">{#N/A,#N/A,FALSE,"Sheet1"}</definedName>
    <definedName name="__dfs223">#REF!</definedName>
    <definedName name="__dfs23123" hidden="1">{#N/A,#N/A,FALSE,"Sheet1"}</definedName>
    <definedName name="__DFS234234" hidden="1">{#N/A,#N/A,FALSE,"Sheet1"}</definedName>
    <definedName name="__DFT334" hidden="1">{#N/A,#N/A,FALSE,"Sheet1"}</definedName>
    <definedName name="__dfu3223" hidden="1">{#N/A,#N/A,FALSE,"Sheet1"}</definedName>
    <definedName name="__DIO2332" hidden="1">#REF!</definedName>
    <definedName name="__DKI433434" hidden="1">#REF!</definedName>
    <definedName name="__DOG1">#REF!</definedName>
    <definedName name="__DOG2">#REF!</definedName>
    <definedName name="__DOG22">#REF!</definedName>
    <definedName name="__DOG3">#REF!</definedName>
    <definedName name="__DOG33">#REF!</definedName>
    <definedName name="__DOG4">#REF!</definedName>
    <definedName name="__DP2">#REF!</definedName>
    <definedName name="__DS23" hidden="1">{#N/A,#N/A,FALSE,"Sheet1"}</definedName>
    <definedName name="__DSF2323" hidden="1">{#N/A,#N/A,FALSE,"Sheet1"}</definedName>
    <definedName name="__DSF3232" hidden="1">{#N/A,#N/A,FALSE,"Sheet1"}</definedName>
    <definedName name="__DSF78878" hidden="1">{#N/A,#N/A,FALSE,"Sheet1"}</definedName>
    <definedName name="__dsg236732" hidden="1">{#N/A,#N/A,FALSE,"Sheet1"}</definedName>
    <definedName name="__dsg3" hidden="1">{#N/A,#N/A,FALSE,"Sheet1"}</definedName>
    <definedName name="__E345" hidden="1">{#N/A,#N/A,FALSE,"Sheet1"}</definedName>
    <definedName name="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E1" hidden="1">{#N/A,#N/A,FALSE,"단가표지"}</definedName>
    <definedName name="__EE2" hidden="1">{#N/A,#N/A,FALSE,"단가표지"}</definedName>
    <definedName name="__ef345141" hidden="1">{#N/A,#N/A,FALSE,"Sheet1"}</definedName>
    <definedName name="__F23432" hidden="1">{#N/A,#N/A,FALSE,"Sheet1"}</definedName>
    <definedName name="__FBB1">#REF!</definedName>
    <definedName name="__FBB2">#REF!</definedName>
    <definedName name="__FBB3">#REF!</definedName>
    <definedName name="__fdg782323" hidden="1">{#N/A,#N/A,FALSE,"Sheet1"}</definedName>
    <definedName name="__FDS2234" hidden="1">{#N/A,#N/A,FALSE,"Sheet1"}</definedName>
    <definedName name="__FDW3232" hidden="1">{#N/A,#N/A,FALSE,"Sheet1"}</definedName>
    <definedName name="__FEW2332" hidden="1">{#N/A,#N/A,FALSE,"Sheet1"}</definedName>
    <definedName name="__fge434" hidden="1">{#N/A,#N/A,FALSE,"Sheet1"}</definedName>
    <definedName name="__fgr55464" hidden="1">{#N/A,#N/A,FALSE,"Sheet1"}</definedName>
    <definedName name="__FHH1">#REF!</definedName>
    <definedName name="__FHH2">#REF!</definedName>
    <definedName name="__FHH3">#REF!</definedName>
    <definedName name="__fj327342" hidden="1">{#N/A,#N/A,FALSE,"Sheet1"}</definedName>
    <definedName name="__Fld01">#REF!</definedName>
    <definedName name="__Fld02">#REF!</definedName>
    <definedName name="__Fld03">#REF!</definedName>
    <definedName name="__Fld04">#REF!</definedName>
    <definedName name="__Fld05">#REF!</definedName>
    <definedName name="__Fld06">#REF!</definedName>
    <definedName name="__Fld07">#REF!</definedName>
    <definedName name="__Fld08">#REF!</definedName>
    <definedName name="__Fld09">#REF!</definedName>
    <definedName name="__Fld10">#REF!</definedName>
    <definedName name="__Fld11">#REF!</definedName>
    <definedName name="__Fld12">#REF!</definedName>
    <definedName name="__Fld13">#REF!</definedName>
    <definedName name="__Fld14">#REF!</definedName>
    <definedName name="__Fld15">#REF!</definedName>
    <definedName name="__Fld16">#REF!</definedName>
    <definedName name="__Fld17">#REF!</definedName>
    <definedName name="__Fld18">#REF!</definedName>
    <definedName name="__Fld19">#REF!</definedName>
    <definedName name="__Fld20">#REF!</definedName>
    <definedName name="__fsd22" hidden="1">{#N/A,#N/A,FALSE,"지침";#N/A,#N/A,FALSE,"환경분석";#N/A,#N/A,FALSE,"Sheet16"}</definedName>
    <definedName name="__GF343434" hidden="1">{#N/A,#N/A,FALSE,"Sheet1"}</definedName>
    <definedName name="__ggg1" hidden="1">{#N/A,#N/A,FALSE,"갑지";#N/A,#N/A,FALSE,"개요";#N/A,#N/A,FALSE,"비목별";#N/A,#N/A,FALSE,"건물별";#N/A,#N/A,FALSE,"기구표";#N/A,#N/A,FALSE,"직원투입"}</definedName>
    <definedName name="__gh56533">#REF!</definedName>
    <definedName name="__gh655665" hidden="1">{#N/A,#N/A,FALSE,"Sheet1"}</definedName>
    <definedName name="__ghy545" hidden="1">{#N/A,#N/A,FALSE,"Sheet1"}</definedName>
    <definedName name="__GJY76876" hidden="1">{#N/A,#N/A,FALSE,"Sheet1"}</definedName>
    <definedName name="__h1" hidden="1">{"'표지'!$B$5"}</definedName>
    <definedName name="__h2" hidden="1">{"'표지'!$B$5"}</definedName>
    <definedName name="__h3" hidden="1">#REF!</definedName>
    <definedName name="__h4" hidden="1">{"'표지'!$B$5"}</definedName>
    <definedName name="__h5" hidden="1">{"'표지'!$B$5"}</definedName>
    <definedName name="__hgf4565" hidden="1">{#N/A,#N/A,FALSE,"Sheet1"}</definedName>
    <definedName name="__HPP1">#REF!</definedName>
    <definedName name="__HSH1">#REF!</definedName>
    <definedName name="__HSH2">#REF!</definedName>
    <definedName name="__htt1" hidden="1">{"'표지'!$B$5"}</definedName>
    <definedName name="__HTY67867" hidden="1">{#N/A,#N/A,FALSE,"Sheet1"}</definedName>
    <definedName name="__hun1">#REF!</definedName>
    <definedName name="__hun2">#REF!</definedName>
    <definedName name="__i8">#REF!</definedName>
    <definedName name="__IL1">#REF!</definedName>
    <definedName name="__IntlFixup" hidden="1">TRUE</definedName>
    <definedName name="__JB1">#REF!</definedName>
    <definedName name="__jy5654">#REF!</definedName>
    <definedName name="__KD2" hidden="1">#REF!</definedName>
    <definedName name="__KD3" hidden="1">#REF!</definedName>
    <definedName name="__Key11" hidden="1">#REF!</definedName>
    <definedName name="__key2" hidden="1">#REF!</definedName>
    <definedName name="__key21" hidden="1">#REF!</definedName>
    <definedName name="__KHM111" hidden="1">{#N/A,#N/A,FALSE,"제목"}</definedName>
    <definedName name="__KHM888" hidden="1">{#N/A,#N/A,FALSE,"제목"}</definedName>
    <definedName name="__KK2" hidden="1">#REF!</definedName>
    <definedName name="__KK3" hidden="1">#REF!</definedName>
    <definedName name="__KLN1">#REF!</definedName>
    <definedName name="__LG10">#REF!</definedName>
    <definedName name="__LG13">#REF!</definedName>
    <definedName name="__LG15">#REF!</definedName>
    <definedName name="__LG17">#REF!</definedName>
    <definedName name="__LG18">#REF!</definedName>
    <definedName name="__LG2">#REF!</definedName>
    <definedName name="__LG20">#REF!</definedName>
    <definedName name="__LG21">#REF!</definedName>
    <definedName name="__LG6">#REF!</definedName>
    <definedName name="__LG9">#REF!</definedName>
    <definedName name="__LHY1">#N/A</definedName>
    <definedName name="__LHY2">#N/A</definedName>
    <definedName name="__LHY4">#N/A</definedName>
    <definedName name="__lkk09">#REF!</definedName>
    <definedName name="__LL1">#REF!</definedName>
    <definedName name="__ll15">#REF!</definedName>
    <definedName name="__LL2">#REF!</definedName>
    <definedName name="__LL3">#REF!</definedName>
    <definedName name="__LP1">#REF!</definedName>
    <definedName name="__LPB1">#REF!</definedName>
    <definedName name="__LPK1">#REF!</definedName>
    <definedName name="__LR1">#REF!</definedName>
    <definedName name="__LR2">#REF!</definedName>
    <definedName name="__LR3">#REF!</definedName>
    <definedName name="__LS10">#REF!</definedName>
    <definedName name="__LS13">#REF!</definedName>
    <definedName name="__LS15">#REF!</definedName>
    <definedName name="__LS17">#REF!</definedName>
    <definedName name="__LS18">#REF!</definedName>
    <definedName name="__LS2">#REF!</definedName>
    <definedName name="__LS20">#REF!</definedName>
    <definedName name="__LS21">#REF!</definedName>
    <definedName name="__LS6">#REF!</definedName>
    <definedName name="__LS9">#REF!</definedName>
    <definedName name="__LSK1">#REF!</definedName>
    <definedName name="__LSK2">#REF!</definedName>
    <definedName name="__LSK3">#REF!</definedName>
    <definedName name="__LU1">#REF!</definedName>
    <definedName name="__LU2">#REF!</definedName>
    <definedName name="__LV01">#REF!</definedName>
    <definedName name="__MaL1">#REF!</definedName>
    <definedName name="__MaL2">#REF!</definedName>
    <definedName name="__MCC3" hidden="1">{#N/A,#N/A,FALSE,"CCTV"}</definedName>
    <definedName name="__MG1">#REF!</definedName>
    <definedName name="__MG109">#REF!</definedName>
    <definedName name="__MG112">#REF!</definedName>
    <definedName name="__MG113">#REF!</definedName>
    <definedName name="__MG118">#REF!</definedName>
    <definedName name="__MG131">#REF!</definedName>
    <definedName name="__MG132">#REF!</definedName>
    <definedName name="__MG135">#REF!</definedName>
    <definedName name="__MG136">#REF!</definedName>
    <definedName name="__MG15">#REF!</definedName>
    <definedName name="__MG25">#REF!</definedName>
    <definedName name="__MG3">#REF!</definedName>
    <definedName name="__MG30">#REF!</definedName>
    <definedName name="__MG43">#REF!</definedName>
    <definedName name="__MG44">#REF!</definedName>
    <definedName name="__MG46">#REF!</definedName>
    <definedName name="__MG51">#REF!</definedName>
    <definedName name="__MG57">#REF!</definedName>
    <definedName name="__MG6">#REF!</definedName>
    <definedName name="__MG60">#REF!</definedName>
    <definedName name="__MG61">#REF!</definedName>
    <definedName name="__MG62">#REF!</definedName>
    <definedName name="__MG63">#REF!</definedName>
    <definedName name="__MG64">#REF!</definedName>
    <definedName name="__MG70">#REF!</definedName>
    <definedName name="__MG71">#REF!</definedName>
    <definedName name="__MG8">#REF!</definedName>
    <definedName name="__MG81">#REF!</definedName>
    <definedName name="__MG86">#REF!</definedName>
    <definedName name="__MG9">#REF!</definedName>
    <definedName name="__MG91">#REF!</definedName>
    <definedName name="__MG99">#REF!</definedName>
    <definedName name="__mh2">#REF!</definedName>
    <definedName name="__mm2" hidden="1">{#N/A,#N/A,FALSE,"2~8번"}</definedName>
    <definedName name="__MM562">#REF!</definedName>
    <definedName name="__MS1">#REF!</definedName>
    <definedName name="__MS109">#REF!</definedName>
    <definedName name="__MS112">#REF!</definedName>
    <definedName name="__MS113">#REF!</definedName>
    <definedName name="__MS118">#REF!</definedName>
    <definedName name="__MS131">#REF!</definedName>
    <definedName name="__MS132">#REF!</definedName>
    <definedName name="__MS135">#REF!</definedName>
    <definedName name="__MS136">#REF!</definedName>
    <definedName name="__MS15">#REF!</definedName>
    <definedName name="__MS25">#REF!</definedName>
    <definedName name="__MS3">#REF!</definedName>
    <definedName name="__MS30">#REF!</definedName>
    <definedName name="__MS43">#REF!</definedName>
    <definedName name="__MS44">#REF!</definedName>
    <definedName name="__MS46">#REF!</definedName>
    <definedName name="__MS51">#REF!</definedName>
    <definedName name="__MS57">#REF!</definedName>
    <definedName name="__MS6">#REF!</definedName>
    <definedName name="__MS60">#REF!</definedName>
    <definedName name="__MS61">#REF!</definedName>
    <definedName name="__MS62">#REF!</definedName>
    <definedName name="__MS63">#REF!</definedName>
    <definedName name="__MS64">#REF!</definedName>
    <definedName name="__MS70">#REF!</definedName>
    <definedName name="__MS71">#REF!</definedName>
    <definedName name="__MS8">#REF!</definedName>
    <definedName name="__MS81">#REF!</definedName>
    <definedName name="__MS86">#REF!</definedName>
    <definedName name="__MS9">#REF!</definedName>
    <definedName name="__MS91">#REF!</definedName>
    <definedName name="__MS99">#REF!</definedName>
    <definedName name="__mup1">#REF!</definedName>
    <definedName name="__NGR1" hidden="1">#REF!</definedName>
    <definedName name="__NLL1">#REF!</definedName>
    <definedName name="__NLL2">#REF!</definedName>
    <definedName name="__NLL3">#REF!</definedName>
    <definedName name="__NLL4">#REF!</definedName>
    <definedName name="__NLL5">#REF!</definedName>
    <definedName name="__NMB96">#REF!</definedName>
    <definedName name="__No3">#REF!</definedName>
    <definedName name="__NON1">#REF!</definedName>
    <definedName name="__NP1">#REF!</definedName>
    <definedName name="__NP2">#REF!</definedName>
    <definedName name="__NSH1">#REF!</definedName>
    <definedName name="__NSH2">#REF!</definedName>
    <definedName name="__P1">#REF!</definedName>
    <definedName name="__P10">#REF!</definedName>
    <definedName name="__P11">#REF!</definedName>
    <definedName name="__P12">#REF!</definedName>
    <definedName name="__P13">#REF!</definedName>
    <definedName name="__P14">#REF!</definedName>
    <definedName name="__P15">#REF!</definedName>
    <definedName name="__P16">#REF!</definedName>
    <definedName name="__P17">#REF!</definedName>
    <definedName name="__P2">#REF!</definedName>
    <definedName name="__P3">#REF!</definedName>
    <definedName name="__P4">#REF!</definedName>
    <definedName name="__P5">#REF!</definedName>
    <definedName name="__P6">#REF!</definedName>
    <definedName name="__P7">#REF!</definedName>
    <definedName name="__P8">#REF!</definedName>
    <definedName name="__P9">#REF!</definedName>
    <definedName name="__PI48">#REF!</definedName>
    <definedName name="__PI60">#REF!</definedName>
    <definedName name="__PNO10">#REF!</definedName>
    <definedName name="__PNO3">#REF!</definedName>
    <definedName name="__PNO4">#REF!</definedName>
    <definedName name="__PNO5">#REF!</definedName>
    <definedName name="__PNO6">#REF!</definedName>
    <definedName name="__PNO7">#REF!</definedName>
    <definedName name="__PNO8">#REF!</definedName>
    <definedName name="__PNO9">#REF!</definedName>
    <definedName name="__PR01">#REF!</definedName>
    <definedName name="__PRN2">#REF!</definedName>
    <definedName name="__PRN3">#REF!</definedName>
    <definedName name="__PRN4">#REF!</definedName>
    <definedName name="__PRN6">#REF!</definedName>
    <definedName name="__PRN7">#REF!</definedName>
    <definedName name="__PRT2">#REF!</definedName>
    <definedName name="__PRT3">#REF!</definedName>
    <definedName name="__px1">#REF!</definedName>
    <definedName name="__px2">#REF!</definedName>
    <definedName name="__Q1" localSheetId="0">BlankMacro1</definedName>
    <definedName name="__Q1">BlankMacro1</definedName>
    <definedName name="__q45" hidden="1">{"'용역비'!$A$4:$C$8"}</definedName>
    <definedName name="__Q5" localSheetId="0">BlankMacro1</definedName>
    <definedName name="__Q5">BlankMacro1</definedName>
    <definedName name="__qa01" hidden="1">{#N/A,#N/A,FALSE,"2~8번"}</definedName>
    <definedName name="__qa02" hidden="1">{#N/A,#N/A,FALSE,"골재소요량";#N/A,#N/A,FALSE,"골재소요량"}</definedName>
    <definedName name="__qa03" hidden="1">{#N/A,#N/A,FALSE,"구조2"}</definedName>
    <definedName name="__qa04" hidden="1">{#N/A,#N/A,FALSE,"단가표지"}</definedName>
    <definedName name="__qa05" hidden="1">{#N/A,#N/A,FALSE,"배수1"}</definedName>
    <definedName name="__qa06" hidden="1">{#N/A,#N/A,FALSE,"배수2"}</definedName>
    <definedName name="__qa07" hidden="1">{#N/A,#N/A,FALSE,"부대1"}</definedName>
    <definedName name="__qa08" hidden="1">{#N/A,#N/A,FALSE,"부대2"}</definedName>
    <definedName name="__qa10" hidden="1">{#N/A,#N/A,FALSE,"속도"}</definedName>
    <definedName name="__qa11" hidden="1">{#N/A,#N/A,FALSE,"운반시간"}</definedName>
    <definedName name="__qa12" hidden="1">{#N/A,#N/A,FALSE,"이정표"}</definedName>
    <definedName name="__qa13" hidden="1">{#N/A,#N/A,FALSE,"조골재"}</definedName>
    <definedName name="__qa14" hidden="1">{#N/A,#N/A,FALSE,"구조1"}</definedName>
    <definedName name="__qa15" hidden="1">{#N/A,#N/A,FALSE,"토공2"}</definedName>
    <definedName name="__qa16" hidden="1">{#N/A,#N/A,FALSE,"포장1";#N/A,#N/A,FALSE,"포장1"}</definedName>
    <definedName name="__qa17" hidden="1">{#N/A,#N/A,FALSE,"포장2"}</definedName>
    <definedName name="__qa18" hidden="1">{#N/A,#N/A,FALSE,"표지목차"}</definedName>
    <definedName name="__qa19" hidden="1">{#N/A,#N/A,FALSE,"혼합골재"}</definedName>
    <definedName name="__qa20" hidden="1">{#N/A,#N/A,FALSE,"운반시간"}</definedName>
    <definedName name="__QQ1" hidden="1">{#N/A,#N/A,FALSE,"단가표지"}</definedName>
    <definedName name="__qs1">#REF!</definedName>
    <definedName name="__qs12">#REF!</definedName>
    <definedName name="__qs2">#REF!</definedName>
    <definedName name="__qs22">#REF!</definedName>
    <definedName name="__QTY1">#REF!</definedName>
    <definedName name="__QTY2">#REF!</definedName>
    <definedName name="__QW1" hidden="1">{#N/A,#N/A,FALSE,"단가표지"}</definedName>
    <definedName name="__qx1" hidden="1">{#N/A,#N/A,FALSE,"운반시간"}</definedName>
    <definedName name="__RAN2">#N/A</definedName>
    <definedName name="__res5" hidden="1">{#N/A,#N/A,FALSE,"CCTV"}</definedName>
    <definedName name="__RNA3">#N/A</definedName>
    <definedName name="__RNA4">#N/A</definedName>
    <definedName name="__RO110">#REF!</definedName>
    <definedName name="__RO22">#REF!</definedName>
    <definedName name="__RO35">#REF!</definedName>
    <definedName name="__RO45">#REF!</definedName>
    <definedName name="__RO60">#REF!</definedName>
    <definedName name="__RO80">#REF!</definedName>
    <definedName name="__rt45" hidden="1">{#N/A,#N/A,FALSE,"Sheet1"}</definedName>
    <definedName name="__S1">#REF!</definedName>
    <definedName name="__S3" hidden="1">{#N/A,#N/A,FALSE,"포장2"}</definedName>
    <definedName name="__SBB1">#REF!</definedName>
    <definedName name="__SBB2">#REF!</definedName>
    <definedName name="__SBB3">#REF!</definedName>
    <definedName name="__SBB4">#REF!</definedName>
    <definedName name="__SBB5">#REF!</definedName>
    <definedName name="__sdf723723">#REF!</definedName>
    <definedName name="__sdy233" hidden="1">{#N/A,#N/A,FALSE,"Sheet1"}</definedName>
    <definedName name="__sdy872" hidden="1">{#N/A,#N/A,FALSE,"Sheet1"}</definedName>
    <definedName name="__sfd2323" hidden="1">{#N/A,#N/A,FALSE,"Sheet1"}</definedName>
    <definedName name="__SG2">#REF!</definedName>
    <definedName name="__SG3">#REF!</definedName>
    <definedName name="__SG5">#REF!</definedName>
    <definedName name="__SG6">#REF!</definedName>
    <definedName name="__SH1">#REF!</definedName>
    <definedName name="__SH2">#REF!</definedName>
    <definedName name="__SH3">#REF!</definedName>
    <definedName name="__SHH1">#REF!</definedName>
    <definedName name="__shh10">#REF!</definedName>
    <definedName name="__shh11">#REF!</definedName>
    <definedName name="__shh12">#REF!</definedName>
    <definedName name="__SHH13">#REF!</definedName>
    <definedName name="__SHH2">#REF!</definedName>
    <definedName name="__SHH3">#REF!</definedName>
    <definedName name="__shh4">#REF!</definedName>
    <definedName name="__shh5">#REF!</definedName>
    <definedName name="__shh6">#REF!</definedName>
    <definedName name="__shh7">#REF!</definedName>
    <definedName name="__shh8">#REF!</definedName>
    <definedName name="__shh9">#REF!</definedName>
    <definedName name="__SHT48">#REF!</definedName>
    <definedName name="__SHT481">#REF!</definedName>
    <definedName name="__SLL1">#REF!</definedName>
    <definedName name="__SLL2">#REF!</definedName>
    <definedName name="__SLL3">#REF!</definedName>
    <definedName name="__SS1" hidden="1">{#N/A,#N/A,FALSE,"운반시간"}</definedName>
    <definedName name="__ss122" hidden="1">{#N/A,#N/A,FALSE,"조골재"}</definedName>
    <definedName name="__SS2">#REF!</definedName>
    <definedName name="__SS3">#REF!</definedName>
    <definedName name="__SS5">#REF!</definedName>
    <definedName name="__SS6">#REF!</definedName>
    <definedName name="__sss11" hidden="1">{#N/A,#N/A,FALSE,"조골재"}</definedName>
    <definedName name="__ST1">#N/A</definedName>
    <definedName name="__stp1">#REF!</definedName>
    <definedName name="__stp10">#REF!</definedName>
    <definedName name="__stp100">#REF!</definedName>
    <definedName name="__stp101">#REF!</definedName>
    <definedName name="__stp102">#REF!</definedName>
    <definedName name="__stp103">#REF!</definedName>
    <definedName name="__stp104">#REF!</definedName>
    <definedName name="__stp105">#REF!</definedName>
    <definedName name="__stp106">#REF!</definedName>
    <definedName name="__stp107">#REF!</definedName>
    <definedName name="__stp108">#REF!</definedName>
    <definedName name="__stp109">#REF!</definedName>
    <definedName name="__stp11">#REF!</definedName>
    <definedName name="__stp110">#REF!</definedName>
    <definedName name="__stp111">#REF!</definedName>
    <definedName name="__stp112">#REF!</definedName>
    <definedName name="__stp113">#REF!</definedName>
    <definedName name="__stp114">#REF!</definedName>
    <definedName name="__stp115">#REF!</definedName>
    <definedName name="__stp116">#REF!</definedName>
    <definedName name="__stp117">#REF!</definedName>
    <definedName name="__stp118">#REF!</definedName>
    <definedName name="__stp119">#REF!</definedName>
    <definedName name="__stp12">#REF!</definedName>
    <definedName name="__stp120">#REF!</definedName>
    <definedName name="__stp121">#REF!</definedName>
    <definedName name="__stp122">#REF!</definedName>
    <definedName name="__stp123">#REF!</definedName>
    <definedName name="__stp124">#REF!</definedName>
    <definedName name="__stp125">#REF!</definedName>
    <definedName name="__stp126">#REF!</definedName>
    <definedName name="__stp127">#REF!</definedName>
    <definedName name="__stp128">#REF!</definedName>
    <definedName name="__stp129">#REF!</definedName>
    <definedName name="__stp13">#REF!</definedName>
    <definedName name="__stp130">#REF!</definedName>
    <definedName name="__stp131">#REF!</definedName>
    <definedName name="__stp132">#REF!</definedName>
    <definedName name="__stp133">#REF!</definedName>
    <definedName name="__stp134">#REF!</definedName>
    <definedName name="__stp135">#REF!</definedName>
    <definedName name="__stp136">#REF!</definedName>
    <definedName name="__stp137">#REF!</definedName>
    <definedName name="__stp138">#REF!</definedName>
    <definedName name="__stp139">#REF!</definedName>
    <definedName name="__stp14">#REF!</definedName>
    <definedName name="__stp140">#REF!</definedName>
    <definedName name="__stp141">#REF!</definedName>
    <definedName name="__stp142">#REF!</definedName>
    <definedName name="__stp143">#REF!</definedName>
    <definedName name="__stp144">#REF!</definedName>
    <definedName name="__stp145">#REF!</definedName>
    <definedName name="__stp146">#REF!</definedName>
    <definedName name="__stp147">#REF!</definedName>
    <definedName name="__stp148">#REF!</definedName>
    <definedName name="__stp149">#REF!</definedName>
    <definedName name="__stp15">#REF!</definedName>
    <definedName name="__stp150">#REF!</definedName>
    <definedName name="__stp151">#REF!</definedName>
    <definedName name="__stp152">#REF!</definedName>
    <definedName name="__stp153">#REF!</definedName>
    <definedName name="__stp154">#REF!</definedName>
    <definedName name="__stp155">#REF!</definedName>
    <definedName name="__stp156">#REF!</definedName>
    <definedName name="__stp157">#REF!</definedName>
    <definedName name="__stp158">#REF!</definedName>
    <definedName name="__stp159">#REF!</definedName>
    <definedName name="__stp16">#REF!</definedName>
    <definedName name="__stp160">#REF!</definedName>
    <definedName name="__stp161">#REF!</definedName>
    <definedName name="__stp162">#REF!</definedName>
    <definedName name="__stp163">#REF!</definedName>
    <definedName name="__stp164">#REF!</definedName>
    <definedName name="__stp165">#REF!</definedName>
    <definedName name="__stp166">#REF!</definedName>
    <definedName name="__stp167">#REF!</definedName>
    <definedName name="__stp168">#REF!</definedName>
    <definedName name="__stp169">#REF!</definedName>
    <definedName name="__stp17">#REF!</definedName>
    <definedName name="__stp170">#REF!</definedName>
    <definedName name="__stp171">#REF!</definedName>
    <definedName name="__stp172">#REF!</definedName>
    <definedName name="__stp173">#REF!</definedName>
    <definedName name="__stp174">#REF!</definedName>
    <definedName name="__stp175">#REF!</definedName>
    <definedName name="__stp176">#REF!</definedName>
    <definedName name="__stp177">#REF!</definedName>
    <definedName name="__stp178">#REF!</definedName>
    <definedName name="__stp179">#REF!</definedName>
    <definedName name="__stp18">#REF!</definedName>
    <definedName name="__stp180">#REF!</definedName>
    <definedName name="__stp181">#REF!</definedName>
    <definedName name="__stp182">#REF!</definedName>
    <definedName name="__stp183">#REF!</definedName>
    <definedName name="__stp184">#REF!</definedName>
    <definedName name="__stp185">#REF!</definedName>
    <definedName name="__stp186">#REF!</definedName>
    <definedName name="__stp187">#REF!</definedName>
    <definedName name="__stp188">#REF!</definedName>
    <definedName name="__stp189">#REF!</definedName>
    <definedName name="__stp19">#REF!</definedName>
    <definedName name="__stp190">#REF!</definedName>
    <definedName name="__stp191">#REF!</definedName>
    <definedName name="__stp192">#REF!</definedName>
    <definedName name="__stp193">#REF!</definedName>
    <definedName name="__stp194">#REF!</definedName>
    <definedName name="__stp195">#REF!</definedName>
    <definedName name="__stp196">#REF!</definedName>
    <definedName name="__stp197">#REF!</definedName>
    <definedName name="__stp198">#REF!</definedName>
    <definedName name="__stp199">#REF!</definedName>
    <definedName name="__stp2">#REF!</definedName>
    <definedName name="__stp20">#REF!</definedName>
    <definedName name="__stp21">#REF!</definedName>
    <definedName name="__stp22">#REF!</definedName>
    <definedName name="__stp23">#REF!</definedName>
    <definedName name="__stp24">#REF!</definedName>
    <definedName name="__stp25">#REF!</definedName>
    <definedName name="__stp26">#REF!</definedName>
    <definedName name="__stp27">#REF!</definedName>
    <definedName name="__stp28">#REF!</definedName>
    <definedName name="__stp29">#REF!</definedName>
    <definedName name="__stp3">#REF!</definedName>
    <definedName name="__stp30">#REF!</definedName>
    <definedName name="__stp31">#REF!</definedName>
    <definedName name="__stp32">#REF!</definedName>
    <definedName name="__stp33">#REF!</definedName>
    <definedName name="__stp34">#REF!</definedName>
    <definedName name="__stp35">#REF!</definedName>
    <definedName name="__stp36">#REF!</definedName>
    <definedName name="__stp37">#REF!</definedName>
    <definedName name="__stp38">#REF!</definedName>
    <definedName name="__stp39">#REF!</definedName>
    <definedName name="__stp4">#REF!</definedName>
    <definedName name="__stp40">#REF!</definedName>
    <definedName name="__stp41">#REF!</definedName>
    <definedName name="__stp42">#REF!</definedName>
    <definedName name="__stp43">#REF!</definedName>
    <definedName name="__stp44">#REF!</definedName>
    <definedName name="__stp45">#REF!</definedName>
    <definedName name="__stp46">#REF!</definedName>
    <definedName name="__stp47">#REF!</definedName>
    <definedName name="__stp48">#REF!</definedName>
    <definedName name="__stp49">#REF!</definedName>
    <definedName name="__stp5">#REF!</definedName>
    <definedName name="__stp50">#REF!</definedName>
    <definedName name="__stp51">#REF!</definedName>
    <definedName name="__stp52">#REF!</definedName>
    <definedName name="__stp53">#REF!</definedName>
    <definedName name="__stp54">#REF!</definedName>
    <definedName name="__stp55">#REF!</definedName>
    <definedName name="__stp56">#REF!</definedName>
    <definedName name="__stp57">#REF!</definedName>
    <definedName name="__stp58">#REF!</definedName>
    <definedName name="__stp59">#REF!</definedName>
    <definedName name="__stp6">#REF!</definedName>
    <definedName name="__stp60">#REF!</definedName>
    <definedName name="__stp61">#REF!</definedName>
    <definedName name="__stp62">#REF!</definedName>
    <definedName name="__stp63">#REF!</definedName>
    <definedName name="__stp64">#REF!</definedName>
    <definedName name="__stp65">#REF!</definedName>
    <definedName name="__stp66">#REF!</definedName>
    <definedName name="__stp67">#REF!</definedName>
    <definedName name="__stp68">#REF!</definedName>
    <definedName name="__stp69">#REF!</definedName>
    <definedName name="__stp7">#REF!</definedName>
    <definedName name="__stp70">#REF!</definedName>
    <definedName name="__stp71">#REF!</definedName>
    <definedName name="__stp72">#REF!</definedName>
    <definedName name="__stp73">#REF!</definedName>
    <definedName name="__stp74">#REF!</definedName>
    <definedName name="__stp75">#REF!</definedName>
    <definedName name="__stp76">#REF!</definedName>
    <definedName name="__stp77">#REF!</definedName>
    <definedName name="__stp78">#REF!</definedName>
    <definedName name="__stp79">#REF!</definedName>
    <definedName name="__stp8">#REF!</definedName>
    <definedName name="__stp80">#REF!</definedName>
    <definedName name="__stp81">#REF!</definedName>
    <definedName name="__stp82">#REF!</definedName>
    <definedName name="__stp83">#REF!</definedName>
    <definedName name="__stp84">#REF!</definedName>
    <definedName name="__stp85">#REF!</definedName>
    <definedName name="__stp86">#REF!</definedName>
    <definedName name="__stp87">#REF!</definedName>
    <definedName name="__stp88">#REF!</definedName>
    <definedName name="__stp89">#REF!</definedName>
    <definedName name="__stp9">#REF!</definedName>
    <definedName name="__stp90">#REF!</definedName>
    <definedName name="__stp91">#REF!</definedName>
    <definedName name="__stp92">#REF!</definedName>
    <definedName name="__stp93">#REF!</definedName>
    <definedName name="__stp94">#REF!</definedName>
    <definedName name="__stp95">#REF!</definedName>
    <definedName name="__stp96">#REF!</definedName>
    <definedName name="__stp97">#REF!</definedName>
    <definedName name="__stp98">#REF!</definedName>
    <definedName name="__stp99">#REF!</definedName>
    <definedName name="__STT1">#REF!</definedName>
    <definedName name="__STT2">#REF!</definedName>
    <definedName name="__STT3">#REF!</definedName>
    <definedName name="__STT4">#REF!</definedName>
    <definedName name="__STT5">#REF!</definedName>
    <definedName name="__STT6">#REF!</definedName>
    <definedName name="__SUB1">#REF!</definedName>
    <definedName name="__SUB2">#REF!</definedName>
    <definedName name="__SUB3">#REF!</definedName>
    <definedName name="__tbb1">#REF!</definedName>
    <definedName name="__tbb2">#REF!</definedName>
    <definedName name="__tbb3">#REF!</definedName>
    <definedName name="__tbb4">#REF!</definedName>
    <definedName name="__tbb5">#REF!</definedName>
    <definedName name="__tbb6">#REF!</definedName>
    <definedName name="__tbb7">#REF!</definedName>
    <definedName name="__TC1" hidden="1">{#N/A,#N/A,FALSE,"물량산출"}</definedName>
    <definedName name="__tco3" hidden="1">#REF!</definedName>
    <definedName name="__tft454" hidden="1">{#N/A,#N/A,FALSE,"Sheet1"}</definedName>
    <definedName name="__tj4">#REF!</definedName>
    <definedName name="__TON1">#REF!</definedName>
    <definedName name="__TON2">#REF!</definedName>
    <definedName name="__TOT1">#REF!</definedName>
    <definedName name="__TOT2">#REF!</definedName>
    <definedName name="__TRT45" hidden="1">{#N/A,#N/A,FALSE,"Sheet1"}</definedName>
    <definedName name="__TW1">#REF!</definedName>
    <definedName name="__TW2">#REF!</definedName>
    <definedName name="__tyj563356" hidden="1">#REF!</definedName>
    <definedName name="__TYU55445" hidden="1">{#N/A,#N/A,FALSE,"Sheet1"}</definedName>
    <definedName name="__UP1">#REF!</definedName>
    <definedName name="__UP2">#REF!</definedName>
    <definedName name="__vv233" hidden="1">{#N/A,#N/A,FALSE,"지침";#N/A,#N/A,FALSE,"환경분석";#N/A,#N/A,FALSE,"Sheet16"}</definedName>
    <definedName name="__wd1">#REF!</definedName>
    <definedName name="__wd2">#REF!</definedName>
    <definedName name="__wer23" hidden="1">{#N/A,#N/A,FALSE,"Sheet1"}</definedName>
    <definedName name="__wrn1" hidden="1">{#N/A,#N/A,FALSE,"전력간선"}</definedName>
    <definedName name="__wt5" hidden="1">{#N/A,#N/A,FALSE,"토공2"}</definedName>
    <definedName name="__WW1">#REF!</definedName>
    <definedName name="__WW2">#REF!</definedName>
    <definedName name="__WW3">#REF!</definedName>
    <definedName name="__WW6">#REF!</definedName>
    <definedName name="__WW7">#REF!</definedName>
    <definedName name="__WW8">#REF!</definedName>
    <definedName name="__xlfn.BAHTTEXT" hidden="1">#NAME?</definedName>
    <definedName name="__YR1" hidden="1">{"'표지'!$B$5"}</definedName>
    <definedName name="__YU565676" hidden="1">{#N/A,#N/A,FALSE,"Sheet1"}</definedName>
    <definedName name="__ZZ1">#REF!</definedName>
    <definedName name="_?쾴?">#REF!</definedName>
    <definedName name="_?쾴?___P">#REF!</definedName>
    <definedName name="_?쾴?_?">#REF!</definedName>
    <definedName name="_?쾴?_T">#REF!</definedName>
    <definedName name="_?ó_ü?_?C?g??">#REF!</definedName>
    <definedName name="_.">#REF!</definedName>
    <definedName name="_\D">#REF!</definedName>
    <definedName name="_\X">#REF!</definedName>
    <definedName name="_\Z">#REF!</definedName>
    <definedName name="_0">NA()</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1">#N/A</definedName>
    <definedName name="_01._본____청">#N/A</definedName>
    <definedName name="_010908_01_bmbq_1">#REF!</definedName>
    <definedName name="_02">#N/A</definedName>
    <definedName name="_02._경_비_실___1">#N/A</definedName>
    <definedName name="_03">#N/A</definedName>
    <definedName name="_03._경_비_실___2">#N/A</definedName>
    <definedName name="_04">#N/A</definedName>
    <definedName name="_04._경_비_실___3">#N/A</definedName>
    <definedName name="_05">#REF!</definedName>
    <definedName name="_05._급__기__탑">#N/A</definedName>
    <definedName name="_06">#REF!</definedName>
    <definedName name="_06._배__기__탑">#N/A</definedName>
    <definedName name="_07._부______대">#N/A</definedName>
    <definedName name="_1">#N/A</definedName>
    <definedName name="_1_">#REF!</definedName>
    <definedName name="_1_____________________________________________________________________________________________________________________________________________0_0_F" hidden="1">#REF!</definedName>
    <definedName name="_1_________0__123Grap" hidden="1">#REF!</definedName>
    <definedName name="_1______0_0_F" hidden="1">#REF!</definedName>
    <definedName name="_1______S" hidden="1">#REF!</definedName>
    <definedName name="_1____0_S" hidden="1">#REF!</definedName>
    <definedName name="_1___0_0_F" hidden="1">#REF!</definedName>
    <definedName name="_1__123Graph_ACHART_1" hidden="1">#REF!</definedName>
    <definedName name="_1__123Graph_ACHART_1A" hidden="1">#REF!</definedName>
    <definedName name="_1__123Graph_AENE_VVVF" hidden="1">#REF!</definedName>
    <definedName name="_1_0__123Grap" hidden="1">#REF!</definedName>
    <definedName name="_1_0_0_F" hidden="1">#REF!</definedName>
    <definedName name="_1_0_F" hidden="1">#REF!</definedName>
    <definedName name="_1_10km____1_10_33.6k">#REF!</definedName>
    <definedName name="_1_123Grap" hidden="1">#REF!</definedName>
    <definedName name="_1_3_0Crite">#REF!</definedName>
    <definedName name="_1._사급자재대">#N/A</definedName>
    <definedName name="_1._PANEL_BD.__LP___1">#N/A</definedName>
    <definedName name="_1¤§¤_¤¡" hidden="1">{#N/A,#N/A,FALSE,"Sheet1"}</definedName>
    <definedName name="_10">#N/A</definedName>
    <definedName name="_10____________________________________________________________________________________________________________________________________0_0_F" hidden="1">#REF!</definedName>
    <definedName name="_10_____0_0_F" hidden="1">#REF!</definedName>
    <definedName name="_10__0_0__123Grap" hidden="1">#REF!</definedName>
    <definedName name="_10__123Graph_CMOB_02" hidden="1">#REF!</definedName>
    <definedName name="_10_0__123Grap" hidden="1">#REF!</definedName>
    <definedName name="_10_0_0_F" hidden="1">#REF!</definedName>
    <definedName name="_10_0_Dist_" hidden="1">#REF!</definedName>
    <definedName name="_10_0_F" hidden="1">#REF!</definedName>
    <definedName name="_10_0_S" hidden="1">#N/A</definedName>
    <definedName name="_10_10">#REF!</definedName>
    <definedName name="_10_3_0Crite">#REF!</definedName>
    <definedName name="_100">#N/A</definedName>
    <definedName name="_100_0__123Grap" hidden="1">#REF!</definedName>
    <definedName name="_10000">#REF!</definedName>
    <definedName name="_101">#N/A</definedName>
    <definedName name="_102">#N/A</definedName>
    <definedName name="_102_0__123Grap" hidden="1">#REF!</definedName>
    <definedName name="_103">#N/A</definedName>
    <definedName name="_1033_0_0_F" hidden="1">#REF!</definedName>
    <definedName name="_1034_0_0_F" hidden="1">#REF!</definedName>
    <definedName name="_1045Dist_" hidden="1">#REF!</definedName>
    <definedName name="_1056F" hidden="1">#REF!</definedName>
    <definedName name="_1067_0__123Grap" hidden="1">#REF!</definedName>
    <definedName name="_1078_0_Dist_" hidden="1">#REF!</definedName>
    <definedName name="_1089_0_0__123Grap" hidden="1">#REF!</definedName>
    <definedName name="_10A_">#REF!</definedName>
    <definedName name="_10A_1">#REF!</definedName>
    <definedName name="_10A_10">#REF!</definedName>
    <definedName name="_10A_11">#REF!</definedName>
    <definedName name="_10A_12">#REF!</definedName>
    <definedName name="_10A_13">#REF!</definedName>
    <definedName name="_10A_14">#REF!</definedName>
    <definedName name="_10A_15">#REF!</definedName>
    <definedName name="_10A_16">#REF!</definedName>
    <definedName name="_10A_17">#REF!</definedName>
    <definedName name="_10A_18">#REF!</definedName>
    <definedName name="_10A_19">#REF!</definedName>
    <definedName name="_10A_2">#REF!</definedName>
    <definedName name="_10A_20">#REF!</definedName>
    <definedName name="_10A_21">#REF!</definedName>
    <definedName name="_10A_22">#REF!</definedName>
    <definedName name="_10A_23">#REF!</definedName>
    <definedName name="_10A_24">#REF!</definedName>
    <definedName name="_10A_25">#REF!</definedName>
    <definedName name="_10A_26">#REF!</definedName>
    <definedName name="_10A_27">#REF!</definedName>
    <definedName name="_10A_28">#REF!</definedName>
    <definedName name="_10A_29">#REF!</definedName>
    <definedName name="_10A_3">#REF!</definedName>
    <definedName name="_10A_30">#REF!</definedName>
    <definedName name="_10A_31">#REF!</definedName>
    <definedName name="_10A_32">#REF!</definedName>
    <definedName name="_10A_33">#REF!</definedName>
    <definedName name="_10A_34">#REF!</definedName>
    <definedName name="_10A_35">#REF!</definedName>
    <definedName name="_10A_36">#REF!</definedName>
    <definedName name="_10A_37">#REF!</definedName>
    <definedName name="_10A_38">#REF!</definedName>
    <definedName name="_10A_39">#REF!</definedName>
    <definedName name="_10A_4">#REF!</definedName>
    <definedName name="_10A_40">#REF!</definedName>
    <definedName name="_10A_41">#REF!</definedName>
    <definedName name="_10A_42">#REF!</definedName>
    <definedName name="_10A_43">#REF!</definedName>
    <definedName name="_10A_44">#REF!</definedName>
    <definedName name="_10A_45">#REF!</definedName>
    <definedName name="_10A_46">#REF!</definedName>
    <definedName name="_10A_47">#REF!</definedName>
    <definedName name="_10A_48">#REF!</definedName>
    <definedName name="_10A_49">#REF!</definedName>
    <definedName name="_10A_5">#REF!</definedName>
    <definedName name="_10A_50">#REF!</definedName>
    <definedName name="_10A_51">#REF!</definedName>
    <definedName name="_10A_52">#REF!</definedName>
    <definedName name="_10A_53">#REF!</definedName>
    <definedName name="_10A_54">#REF!</definedName>
    <definedName name="_10A_55">#REF!</definedName>
    <definedName name="_10A_56">#REF!</definedName>
    <definedName name="_10A_57">#REF!</definedName>
    <definedName name="_10A_58">#REF!</definedName>
    <definedName name="_10A_59">#REF!</definedName>
    <definedName name="_10A_6">#REF!</definedName>
    <definedName name="_10A_60">#REF!</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#REF!</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#REF!</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#REF!</definedName>
    <definedName name="_10A_90">#N/A</definedName>
    <definedName name="_10B_">#REF!</definedName>
    <definedName name="_10B_1">#REF!</definedName>
    <definedName name="_10B_10">#REF!</definedName>
    <definedName name="_10B_11">#REF!</definedName>
    <definedName name="_10B_12">#REF!</definedName>
    <definedName name="_10B_13">#REF!</definedName>
    <definedName name="_10B_14">#REF!</definedName>
    <definedName name="_10B_15">#REF!</definedName>
    <definedName name="_10B_16">#REF!</definedName>
    <definedName name="_10B_17">#REF!</definedName>
    <definedName name="_10B_18">#REF!</definedName>
    <definedName name="_10B_19">#REF!</definedName>
    <definedName name="_10B_2">#REF!</definedName>
    <definedName name="_10B_20">#REF!</definedName>
    <definedName name="_10B_21">#REF!</definedName>
    <definedName name="_10B_22">#REF!</definedName>
    <definedName name="_10B_23">#REF!</definedName>
    <definedName name="_10B_24">#REF!</definedName>
    <definedName name="_10B_25">#REF!</definedName>
    <definedName name="_10B_26">#REF!</definedName>
    <definedName name="_10B_27">#REF!</definedName>
    <definedName name="_10B_28">#REF!</definedName>
    <definedName name="_10B_29">#REF!</definedName>
    <definedName name="_10B_3">#REF!</definedName>
    <definedName name="_10B_30">#REF!</definedName>
    <definedName name="_10B_31">#REF!</definedName>
    <definedName name="_10B_32">#REF!</definedName>
    <definedName name="_10B_33">#REF!</definedName>
    <definedName name="_10B_34">#REF!</definedName>
    <definedName name="_10B_35">#REF!</definedName>
    <definedName name="_10B_36">#REF!</definedName>
    <definedName name="_10B_37">#REF!</definedName>
    <definedName name="_10B_38">#REF!</definedName>
    <definedName name="_10B_39">#REF!</definedName>
    <definedName name="_10B_4">#REF!</definedName>
    <definedName name="_10B_40">#REF!</definedName>
    <definedName name="_10B_41">#REF!</definedName>
    <definedName name="_10B_42">#REF!</definedName>
    <definedName name="_10B_43">#REF!</definedName>
    <definedName name="_10B_44">#REF!</definedName>
    <definedName name="_10B_45">#REF!</definedName>
    <definedName name="_10B_46">#REF!</definedName>
    <definedName name="_10B_47">#REF!</definedName>
    <definedName name="_10B_48">#REF!</definedName>
    <definedName name="_10B_49">#REF!</definedName>
    <definedName name="_10B_5">#REF!</definedName>
    <definedName name="_10B_50">#REF!</definedName>
    <definedName name="_10B_51">#REF!</definedName>
    <definedName name="_10B_52">#REF!</definedName>
    <definedName name="_10B_53">#REF!</definedName>
    <definedName name="_10B_54">#REF!</definedName>
    <definedName name="_10B_55">#REF!</definedName>
    <definedName name="_10B_56">#REF!</definedName>
    <definedName name="_10B_57">#REF!</definedName>
    <definedName name="_10B_58">#REF!</definedName>
    <definedName name="_10B_59">#REF!</definedName>
    <definedName name="_10B_6">#REF!</definedName>
    <definedName name="_10B_60">#REF!</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#REF!</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#REF!</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#REF!</definedName>
    <definedName name="_10B_90">#N/A</definedName>
    <definedName name="_10C_">#REF!</definedName>
    <definedName name="_10C_1">#REF!</definedName>
    <definedName name="_10C_10">#REF!</definedName>
    <definedName name="_10C_11">#REF!</definedName>
    <definedName name="_10C_12">#REF!</definedName>
    <definedName name="_10C_13">#REF!</definedName>
    <definedName name="_10C_14">#REF!</definedName>
    <definedName name="_10C_15">#REF!</definedName>
    <definedName name="_10C_16">#REF!</definedName>
    <definedName name="_10C_17">#REF!</definedName>
    <definedName name="_10C_18">#REF!</definedName>
    <definedName name="_10C_19">#REF!</definedName>
    <definedName name="_10C_2">#REF!</definedName>
    <definedName name="_10C_20">#REF!</definedName>
    <definedName name="_10C_21">#REF!</definedName>
    <definedName name="_10C_22">#REF!</definedName>
    <definedName name="_10C_23">#REF!</definedName>
    <definedName name="_10C_24">#REF!</definedName>
    <definedName name="_10C_25">#REF!</definedName>
    <definedName name="_10C_26">#REF!</definedName>
    <definedName name="_10C_27">#REF!</definedName>
    <definedName name="_10C_28">#REF!</definedName>
    <definedName name="_10C_29">#REF!</definedName>
    <definedName name="_10C_3">#REF!</definedName>
    <definedName name="_10C_30">#REF!</definedName>
    <definedName name="_10C_31">#REF!</definedName>
    <definedName name="_10C_32">#REF!</definedName>
    <definedName name="_10C_33">#REF!</definedName>
    <definedName name="_10C_34">#REF!</definedName>
    <definedName name="_10C_35">#REF!</definedName>
    <definedName name="_10C_36">#REF!</definedName>
    <definedName name="_10C_37">#REF!</definedName>
    <definedName name="_10C_38">#REF!</definedName>
    <definedName name="_10C_39">#REF!</definedName>
    <definedName name="_10C_4">#REF!</definedName>
    <definedName name="_10C_40">#REF!</definedName>
    <definedName name="_10C_41">#REF!</definedName>
    <definedName name="_10C_42">#REF!</definedName>
    <definedName name="_10C_43">#REF!</definedName>
    <definedName name="_10C_44">#REF!</definedName>
    <definedName name="_10C_45">#REF!</definedName>
    <definedName name="_10C_46">#REF!</definedName>
    <definedName name="_10C_47">#REF!</definedName>
    <definedName name="_10C_48">#REF!</definedName>
    <definedName name="_10C_49">#REF!</definedName>
    <definedName name="_10C_5">#REF!</definedName>
    <definedName name="_10C_50">#REF!</definedName>
    <definedName name="_10C_51">#REF!</definedName>
    <definedName name="_10C_52">#REF!</definedName>
    <definedName name="_10C_53">#REF!</definedName>
    <definedName name="_10C_54">#REF!</definedName>
    <definedName name="_10C_55">#REF!</definedName>
    <definedName name="_10C_56">#REF!</definedName>
    <definedName name="_10C_57">#REF!</definedName>
    <definedName name="_10C_58">#REF!</definedName>
    <definedName name="_10C_59">#REF!</definedName>
    <definedName name="_10C_6">#REF!</definedName>
    <definedName name="_10C_60">#REF!</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#REF!</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#REF!</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#REF!</definedName>
    <definedName name="_10C_90">#N/A</definedName>
    <definedName name="_10EE1_" hidden="1">{#N/A,#N/A,FALSE,"단가표지"}</definedName>
    <definedName name="_10F" hidden="1">#REF!</definedName>
    <definedName name="_10G_0Extr">#REF!</definedName>
    <definedName name="_10G_0Extract">#REF!</definedName>
    <definedName name="_10q45_">{"'용역비'!$A$4:$C$8"}</definedName>
    <definedName name="_10S" hidden="1">#REF!</definedName>
    <definedName name="_10S3_" hidden="1">{#N/A,#N/A,FALSE,"포장2"}</definedName>
    <definedName name="_11">#N/A</definedName>
    <definedName name="_11___________________________________________________________________________________________________________________________________0_0_F" hidden="1">#REF!</definedName>
    <definedName name="_11_________0__123Grap" hidden="1">#REF!</definedName>
    <definedName name="_11__0_0_F" hidden="1">#REF!</definedName>
    <definedName name="_11__123Graph_DMOB_01" hidden="1">#REF!</definedName>
    <definedName name="_11_0__123Grap" hidden="1">#REF!</definedName>
    <definedName name="_11_0_0_F" hidden="1">#REF!</definedName>
    <definedName name="_11_0_F" hidden="1">#REF!</definedName>
    <definedName name="_11_0_S" hidden="1">#REF!</definedName>
    <definedName name="_11_11">#REF!</definedName>
    <definedName name="_11_123Grap" hidden="1">#REF!</definedName>
    <definedName name="_11_3_0Criteria">#REF!</definedName>
    <definedName name="_110_________________0_0__123Grap" hidden="1">#REF!</definedName>
    <definedName name="_1100_0_0_F" hidden="1">#REF!</definedName>
    <definedName name="_11000">#REF!</definedName>
    <definedName name="_111" hidden="1">#REF!</definedName>
    <definedName name="_11100">#REF!</definedName>
    <definedName name="_11101">#REF!</definedName>
    <definedName name="_11102">#REF!</definedName>
    <definedName name="_11103">#REF!</definedName>
    <definedName name="_11104">#REF!</definedName>
    <definedName name="_11105">#REF!</definedName>
    <definedName name="_11106">#REF!</definedName>
    <definedName name="_11107">#REF!</definedName>
    <definedName name="_11108">#REF!</definedName>
    <definedName name="_11109">#REF!</definedName>
    <definedName name="_11200">#REF!</definedName>
    <definedName name="_11201">#REF!</definedName>
    <definedName name="_11202">#REF!</definedName>
    <definedName name="_11203">#REF!</definedName>
    <definedName name="_11204">#REF!</definedName>
    <definedName name="_11205">#REF!</definedName>
    <definedName name="_11206">#REF!</definedName>
    <definedName name="_11207">#REF!</definedName>
    <definedName name="_11208">#REF!</definedName>
    <definedName name="_11209">#REF!</definedName>
    <definedName name="_11300">#REF!</definedName>
    <definedName name="_11310">#REF!</definedName>
    <definedName name="_11311">#REF!</definedName>
    <definedName name="_11312">#REF!</definedName>
    <definedName name="_11313">#REF!</definedName>
    <definedName name="_11320">#REF!</definedName>
    <definedName name="_11321">#REF!</definedName>
    <definedName name="_11322">#REF!</definedName>
    <definedName name="_11323">#REF!</definedName>
    <definedName name="_114_0_0_F" hidden="1">#REF!</definedName>
    <definedName name="_11400">#REF!</definedName>
    <definedName name="_11410">#REF!</definedName>
    <definedName name="_11411">#REF!</definedName>
    <definedName name="_11412">#REF!</definedName>
    <definedName name="_11413">#REF!</definedName>
    <definedName name="_11414">#REF!</definedName>
    <definedName name="_11415">#REF!</definedName>
    <definedName name="_11416">#REF!</definedName>
    <definedName name="_11417">#REF!</definedName>
    <definedName name="_11418">#REF!</definedName>
    <definedName name="_11419">#REF!</definedName>
    <definedName name="_11420">#REF!</definedName>
    <definedName name="_11421">#REF!</definedName>
    <definedName name="_11422">#REF!</definedName>
    <definedName name="_11423">#REF!</definedName>
    <definedName name="_11424">#REF!</definedName>
    <definedName name="_11425">#REF!</definedName>
    <definedName name="_11426">#REF!</definedName>
    <definedName name="_11427">#REF!</definedName>
    <definedName name="_11428">#REF!</definedName>
    <definedName name="_11429">#REF!</definedName>
    <definedName name="_11430">#REF!</definedName>
    <definedName name="_11431">#REF!</definedName>
    <definedName name="_11432">#REF!</definedName>
    <definedName name="_11433">#REF!</definedName>
    <definedName name="_11434">#REF!</definedName>
    <definedName name="_11435">#REF!</definedName>
    <definedName name="_11436">#REF!</definedName>
    <definedName name="_11437">#REF!</definedName>
    <definedName name="_11438">#REF!</definedName>
    <definedName name="_11439">#REF!</definedName>
    <definedName name="_11440">#REF!</definedName>
    <definedName name="_11441">#REF!</definedName>
    <definedName name="_11442">#REF!</definedName>
    <definedName name="_11443">#REF!</definedName>
    <definedName name="_11444">#REF!</definedName>
    <definedName name="_11445">#REF!</definedName>
    <definedName name="_11446">#REF!</definedName>
    <definedName name="_11447">#REF!</definedName>
    <definedName name="_11448">#REF!</definedName>
    <definedName name="_11449">#REF!</definedName>
    <definedName name="_115_0_0_F" hidden="1">#REF!</definedName>
    <definedName name="_11500">#REF!</definedName>
    <definedName name="_11510">#REF!</definedName>
    <definedName name="_11511">#REF!</definedName>
    <definedName name="_11512">#REF!</definedName>
    <definedName name="_11513">#REF!</definedName>
    <definedName name="_11514">#REF!</definedName>
    <definedName name="_11515">#REF!</definedName>
    <definedName name="_11516">#REF!</definedName>
    <definedName name="_11517">#REF!</definedName>
    <definedName name="_11518">#REF!</definedName>
    <definedName name="_11519">#REF!</definedName>
    <definedName name="_11520">#REF!</definedName>
    <definedName name="_11521">#REF!</definedName>
    <definedName name="_11522">#REF!</definedName>
    <definedName name="_11523">#REF!</definedName>
    <definedName name="_11524">#REF!</definedName>
    <definedName name="_11525">#REF!</definedName>
    <definedName name="_11526">#REF!</definedName>
    <definedName name="_11527">#REF!</definedName>
    <definedName name="_11528">#REF!</definedName>
    <definedName name="_11529">#REF!</definedName>
    <definedName name="_11600">#REF!</definedName>
    <definedName name="_11601">#REF!</definedName>
    <definedName name="_11602">#REF!</definedName>
    <definedName name="_11603">#REF!</definedName>
    <definedName name="_11604">#REF!</definedName>
    <definedName name="_11605">#REF!</definedName>
    <definedName name="_11606">#REF!</definedName>
    <definedName name="_11607">#REF!</definedName>
    <definedName name="_11608">#REF!</definedName>
    <definedName name="_11609">#REF!</definedName>
    <definedName name="_11700">#REF!</definedName>
    <definedName name="_11701">#REF!</definedName>
    <definedName name="_11702">#REF!</definedName>
    <definedName name="_11703">#REF!</definedName>
    <definedName name="_11704">#REF!</definedName>
    <definedName name="_11705">#REF!</definedName>
    <definedName name="_11706">#REF!</definedName>
    <definedName name="_11707">#REF!</definedName>
    <definedName name="_11708">#REF!</definedName>
    <definedName name="_11709">#REF!</definedName>
    <definedName name="_11710">#REF!</definedName>
    <definedName name="_11800">#REF!</definedName>
    <definedName name="_11801">#REF!</definedName>
    <definedName name="_11802">#REF!</definedName>
    <definedName name="_11803">#REF!</definedName>
    <definedName name="_11804">#REF!</definedName>
    <definedName name="_11805">#REF!</definedName>
    <definedName name="_11806">#REF!</definedName>
    <definedName name="_11807">#REF!</definedName>
    <definedName name="_11808">#REF!</definedName>
    <definedName name="_11809">#REF!</definedName>
    <definedName name="_11A_1">#REF!</definedName>
    <definedName name="_11A_10">#REF!</definedName>
    <definedName name="_11A_11">#REF!</definedName>
    <definedName name="_11A_12">#REF!</definedName>
    <definedName name="_11A_13">#REF!</definedName>
    <definedName name="_11A_14">#REF!</definedName>
    <definedName name="_11A_15">#REF!</definedName>
    <definedName name="_11A_16">#REF!</definedName>
    <definedName name="_11A_17">#REF!</definedName>
    <definedName name="_11A_18">#REF!</definedName>
    <definedName name="_11A_19">#REF!</definedName>
    <definedName name="_11A_2">#REF!</definedName>
    <definedName name="_11A_20">#REF!</definedName>
    <definedName name="_11A_21">#REF!</definedName>
    <definedName name="_11A_22">#REF!</definedName>
    <definedName name="_11A_23">#REF!</definedName>
    <definedName name="_11A_24">#REF!</definedName>
    <definedName name="_11A_25">#REF!</definedName>
    <definedName name="_11A_26">#REF!</definedName>
    <definedName name="_11A_27">#REF!</definedName>
    <definedName name="_11A_28">#REF!</definedName>
    <definedName name="_11A_29">#REF!</definedName>
    <definedName name="_11A_3">#REF!</definedName>
    <definedName name="_11A_30">#REF!</definedName>
    <definedName name="_11A_4">#REF!</definedName>
    <definedName name="_11A_5">#REF!</definedName>
    <definedName name="_11A_6">#REF!</definedName>
    <definedName name="_11A_7">#REF!</definedName>
    <definedName name="_11A_8">#REF!</definedName>
    <definedName name="_11A_9">#REF!</definedName>
    <definedName name="_11B_1">#REF!</definedName>
    <definedName name="_11B_10">#REF!</definedName>
    <definedName name="_11B_11">#REF!</definedName>
    <definedName name="_11B_12">#REF!</definedName>
    <definedName name="_11B_13">#REF!</definedName>
    <definedName name="_11B_14">#REF!</definedName>
    <definedName name="_11B_15">#REF!</definedName>
    <definedName name="_11B_16">#REF!</definedName>
    <definedName name="_11B_17">#REF!</definedName>
    <definedName name="_11B_18">#REF!</definedName>
    <definedName name="_11B_19">#REF!</definedName>
    <definedName name="_11B_2">#REF!</definedName>
    <definedName name="_11B_20">#REF!</definedName>
    <definedName name="_11B_21">#REF!</definedName>
    <definedName name="_11B_22">#REF!</definedName>
    <definedName name="_11B_23">#REF!</definedName>
    <definedName name="_11B_24">#REF!</definedName>
    <definedName name="_11B_25">#REF!</definedName>
    <definedName name="_11B_26">#REF!</definedName>
    <definedName name="_11B_27">#REF!</definedName>
    <definedName name="_11B_28">#REF!</definedName>
    <definedName name="_11B_29">#REF!</definedName>
    <definedName name="_11B_3">#REF!</definedName>
    <definedName name="_11B_30">#REF!</definedName>
    <definedName name="_11B_4">#REF!</definedName>
    <definedName name="_11B_5">#REF!</definedName>
    <definedName name="_11B_6">#REF!</definedName>
    <definedName name="_11B_7">#REF!</definedName>
    <definedName name="_11B_8">#REF!</definedName>
    <definedName name="_11B_9">#REF!</definedName>
    <definedName name="_11C_1">#REF!</definedName>
    <definedName name="_11C_10">#REF!</definedName>
    <definedName name="_11C_11">#REF!</definedName>
    <definedName name="_11C_12">#REF!</definedName>
    <definedName name="_11C_13">#REF!</definedName>
    <definedName name="_11C_14">#REF!</definedName>
    <definedName name="_11C_15">#REF!</definedName>
    <definedName name="_11C_16">#REF!</definedName>
    <definedName name="_11C_17">#REF!</definedName>
    <definedName name="_11C_18">#REF!</definedName>
    <definedName name="_11C_19">#REF!</definedName>
    <definedName name="_11C_2">#REF!</definedName>
    <definedName name="_11C_20">#REF!</definedName>
    <definedName name="_11C_21">#REF!</definedName>
    <definedName name="_11C_22">#REF!</definedName>
    <definedName name="_11C_23">#REF!</definedName>
    <definedName name="_11C_24">#REF!</definedName>
    <definedName name="_11C_25">#REF!</definedName>
    <definedName name="_11C_26">#REF!</definedName>
    <definedName name="_11C_27">#REF!</definedName>
    <definedName name="_11C_28">#REF!</definedName>
    <definedName name="_11C_29">#REF!</definedName>
    <definedName name="_11C_3">#REF!</definedName>
    <definedName name="_11C_30">#REF!</definedName>
    <definedName name="_11C_4">#REF!</definedName>
    <definedName name="_11C_5">#REF!</definedName>
    <definedName name="_11C_6">#REF!</definedName>
    <definedName name="_11C_7">#REF!</definedName>
    <definedName name="_11C_8">#REF!</definedName>
    <definedName name="_11C_9">#REF!</definedName>
    <definedName name="_11D5_">#REF!</definedName>
    <definedName name="_11EE2_" hidden="1">{#N/A,#N/A,FALSE,"단가표지"}</definedName>
    <definedName name="_11G__Extr">#REF!</definedName>
    <definedName name="_11G_0Extract">#REF!</definedName>
    <definedName name="_11P4_" hidden="1">{#N/A,#N/A,FALSE,"혼합골재"}</definedName>
    <definedName name="_11wrn.Ã¶°ñÁý°èÇ_._.5Ä­." hidden="1">{#N/A,#N/A,FALSE,"Sheet1"}</definedName>
    <definedName name="_12">#N/A</definedName>
    <definedName name="_12__________________________________________________________________________________________________________________________________0_0_F" hidden="1">#REF!</definedName>
    <definedName name="_12______123Grap" hidden="1">#REF!</definedName>
    <definedName name="_12__0_0_F" hidden="1">#REF!</definedName>
    <definedName name="_12__123Graph_DMOB_02" hidden="1">#REF!</definedName>
    <definedName name="_12_?쾴?_T">#REF!</definedName>
    <definedName name="_12_0__123Grap" hidden="1">#REF!</definedName>
    <definedName name="_12_0_0__123Grap" hidden="1">#REF!</definedName>
    <definedName name="_12_0_0_F" hidden="1">#REF!</definedName>
    <definedName name="_12_0_Dist_" hidden="1">#REF!</definedName>
    <definedName name="_12_0_S" hidden="1">#REF!</definedName>
    <definedName name="_12_123Grap" hidden="1">#REF!</definedName>
    <definedName name="_12_3__Crite">#REF!</definedName>
    <definedName name="_12_3_0Crite">#REF!</definedName>
    <definedName name="_120_0_Dist_" hidden="1">#REF!</definedName>
    <definedName name="_12000">#REF!</definedName>
    <definedName name="_121_________________0_0_F" hidden="1">#REF!</definedName>
    <definedName name="_12100">#REF!</definedName>
    <definedName name="_12101">#REF!</definedName>
    <definedName name="_12102">#REF!</definedName>
    <definedName name="_12103">#REF!</definedName>
    <definedName name="_12104">#REF!</definedName>
    <definedName name="_12105">#REF!</definedName>
    <definedName name="_12106">#REF!</definedName>
    <definedName name="_12107">#REF!</definedName>
    <definedName name="_121S01_" hidden="1">#REF!</definedName>
    <definedName name="_12200">#REF!</definedName>
    <definedName name="_12201">#REF!</definedName>
    <definedName name="_12202">#REF!</definedName>
    <definedName name="_12203">#REF!</definedName>
    <definedName name="_12204">#REF!</definedName>
    <definedName name="_12205">#REF!</definedName>
    <definedName name="_12206">#REF!</definedName>
    <definedName name="_12207">#REF!</definedName>
    <definedName name="_123" hidden="1">#REF!</definedName>
    <definedName name="_125" hidden="1">#REF!</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a3_">#N/A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2D3_">#REF!</definedName>
    <definedName name="_12F" hidden="1">#REF!</definedName>
    <definedName name="_12G__Extract">#REF!</definedName>
    <definedName name="_12i8_">#REF!</definedName>
    <definedName name="_12IL1_">#REF!</definedName>
    <definedName name="_12S" hidden="1">#REF!</definedName>
    <definedName name="_13">#N/A</definedName>
    <definedName name="_13_________________________________________________________________________________________________________________________________0_0_F" hidden="1">#REF!</definedName>
    <definedName name="_13______123Grap" hidden="1">#REF!</definedName>
    <definedName name="_13___0__123Grap" hidden="1">#REF!</definedName>
    <definedName name="_13__123Graph_EMOB_02" hidden="1">#REF!</definedName>
    <definedName name="_13__123Graph_LBL_BENE_VVVF" hidden="1">#REF!</definedName>
    <definedName name="_13_0__123Grap" hidden="1">#REF!</definedName>
    <definedName name="_13_0_0_F" hidden="1">#REF!</definedName>
    <definedName name="_13_0_Dist_" hidden="1">#REF!</definedName>
    <definedName name="_13_0_S" hidden="1">#REF!</definedName>
    <definedName name="_13_3__Criteria">#REF!</definedName>
    <definedName name="_13_3_0Criteria">#REF!</definedName>
    <definedName name="_13000">#REF!</definedName>
    <definedName name="_13100">#REF!</definedName>
    <definedName name="_13101">#REF!</definedName>
    <definedName name="_13102">#REF!</definedName>
    <definedName name="_13103">#REF!</definedName>
    <definedName name="_13104">#REF!</definedName>
    <definedName name="_13105">#REF!</definedName>
    <definedName name="_13106">#REF!</definedName>
    <definedName name="_13107">#REF!</definedName>
    <definedName name="_13108">#REF!</definedName>
    <definedName name="_13109">#REF!</definedName>
    <definedName name="_132__________________0__123Grap" hidden="1">#REF!</definedName>
    <definedName name="_13200">#REF!</definedName>
    <definedName name="_13201">#REF!</definedName>
    <definedName name="_13202">#REF!</definedName>
    <definedName name="_13203">#REF!</definedName>
    <definedName name="_13204">#REF!</definedName>
    <definedName name="_13205">#REF!</definedName>
    <definedName name="_13206">#REF!</definedName>
    <definedName name="_13207">#REF!</definedName>
    <definedName name="_13208">#REF!</definedName>
    <definedName name="_13209">#REF!</definedName>
    <definedName name="_13300">#REF!</definedName>
    <definedName name="_13310">#REF!</definedName>
    <definedName name="_13311">#REF!</definedName>
    <definedName name="_13312">#REF!</definedName>
    <definedName name="_13313">#REF!</definedName>
    <definedName name="_13320">#REF!</definedName>
    <definedName name="_13321">#REF!</definedName>
    <definedName name="_13322">#REF!</definedName>
    <definedName name="_13323">#REF!</definedName>
    <definedName name="_13400">#REF!</definedName>
    <definedName name="_13410">#REF!</definedName>
    <definedName name="_13411">#REF!</definedName>
    <definedName name="_13412">#REF!</definedName>
    <definedName name="_13413">#REF!</definedName>
    <definedName name="_13414">#REF!</definedName>
    <definedName name="_13415">#REF!</definedName>
    <definedName name="_13416">#REF!</definedName>
    <definedName name="_13417">#REF!</definedName>
    <definedName name="_13418">#REF!</definedName>
    <definedName name="_13419">#REF!</definedName>
    <definedName name="_13420">#REF!</definedName>
    <definedName name="_13430">#REF!</definedName>
    <definedName name="_13431">#REF!</definedName>
    <definedName name="_13432">#REF!</definedName>
    <definedName name="_13433">#REF!</definedName>
    <definedName name="_13434">#REF!</definedName>
    <definedName name="_13435">#REF!</definedName>
    <definedName name="_13436">#REF!</definedName>
    <definedName name="_13437">#REF!</definedName>
    <definedName name="_13438">#REF!</definedName>
    <definedName name="_13439">#REF!</definedName>
    <definedName name="_13440">#REF!</definedName>
    <definedName name="_13500">#REF!</definedName>
    <definedName name="_13501">#REF!</definedName>
    <definedName name="_13502">#REF!</definedName>
    <definedName name="_13503">#REF!</definedName>
    <definedName name="_13504">#REF!</definedName>
    <definedName name="_13505">#REF!</definedName>
    <definedName name="_13506">#REF!</definedName>
    <definedName name="_13507">#REF!</definedName>
    <definedName name="_13508">#REF!</definedName>
    <definedName name="_13509">#REF!</definedName>
    <definedName name="_13510">#REF!</definedName>
    <definedName name="_13600">#REF!</definedName>
    <definedName name="_13601">#REF!</definedName>
    <definedName name="_13602">#REF!</definedName>
    <definedName name="_13603">#REF!</definedName>
    <definedName name="_13604">#REF!</definedName>
    <definedName name="_13605">#REF!</definedName>
    <definedName name="_13606">#REF!</definedName>
    <definedName name="_13607">#REF!</definedName>
    <definedName name="_13608">#REF!</definedName>
    <definedName name="_13609">#REF!</definedName>
    <definedName name="_13610">#REF!</definedName>
    <definedName name="_13700">#REF!</definedName>
    <definedName name="_13701">#REF!</definedName>
    <definedName name="_13702">#REF!</definedName>
    <definedName name="_13703">#REF!</definedName>
    <definedName name="_13704">#REF!</definedName>
    <definedName name="_13705">#REF!</definedName>
    <definedName name="_13706">#REF!</definedName>
    <definedName name="_13707">#REF!</definedName>
    <definedName name="_13708">#REF!</definedName>
    <definedName name="_13709">#REF!</definedName>
    <definedName name="_13710">#REF!</definedName>
    <definedName name="_13A_1">#REF!</definedName>
    <definedName name="_13A_10">#REF!</definedName>
    <definedName name="_13A_11">#REF!</definedName>
    <definedName name="_13A_12">#REF!</definedName>
    <definedName name="_13A_13">#REF!</definedName>
    <definedName name="_13A_14">#REF!</definedName>
    <definedName name="_13A_15">#REF!</definedName>
    <definedName name="_13A_16">#REF!</definedName>
    <definedName name="_13A_17">#REF!</definedName>
    <definedName name="_13A_18">#REF!</definedName>
    <definedName name="_13A_19">#REF!</definedName>
    <definedName name="_13A_2">#REF!</definedName>
    <definedName name="_13A_20">#REF!</definedName>
    <definedName name="_13A_21">#REF!</definedName>
    <definedName name="_13A_22">#REF!</definedName>
    <definedName name="_13A_23">#REF!</definedName>
    <definedName name="_13A_24">#REF!</definedName>
    <definedName name="_13A_25">#REF!</definedName>
    <definedName name="_13A_26">#REF!</definedName>
    <definedName name="_13A_27">#REF!</definedName>
    <definedName name="_13A_28">#REF!</definedName>
    <definedName name="_13A_29">#REF!</definedName>
    <definedName name="_13A_3">#REF!</definedName>
    <definedName name="_13A_30">#REF!</definedName>
    <definedName name="_13A_31">#REF!</definedName>
    <definedName name="_13A_32">#REF!</definedName>
    <definedName name="_13A_33">#REF!</definedName>
    <definedName name="_13A_34">#REF!</definedName>
    <definedName name="_13A_35">#REF!</definedName>
    <definedName name="_13A_36">#REF!</definedName>
    <definedName name="_13A_37">#REF!</definedName>
    <definedName name="_13A_38">#REF!</definedName>
    <definedName name="_13A_39">#REF!</definedName>
    <definedName name="_13A_4">#REF!</definedName>
    <definedName name="_13A_40">#REF!</definedName>
    <definedName name="_13A_41">#REF!</definedName>
    <definedName name="_13A_42">#REF!</definedName>
    <definedName name="_13A_43">#REF!</definedName>
    <definedName name="_13A_44">#REF!</definedName>
    <definedName name="_13A_45">#REF!</definedName>
    <definedName name="_13A_46">#REF!</definedName>
    <definedName name="_13A_47">#REF!</definedName>
    <definedName name="_13A_48">#REF!</definedName>
    <definedName name="_13A_49">#REF!</definedName>
    <definedName name="_13A_5">#REF!</definedName>
    <definedName name="_13A_50">#REF!</definedName>
    <definedName name="_13A_51">#REF!</definedName>
    <definedName name="_13A_52">#REF!</definedName>
    <definedName name="_13A_53">#REF!</definedName>
    <definedName name="_13A_54">#REF!</definedName>
    <definedName name="_13A_55">#REF!</definedName>
    <definedName name="_13A_56">#REF!</definedName>
    <definedName name="_13A_57">#REF!</definedName>
    <definedName name="_13A_58">#REF!</definedName>
    <definedName name="_13A_59">#REF!</definedName>
    <definedName name="_13A_6">#REF!</definedName>
    <definedName name="_13A_60">#REF!</definedName>
    <definedName name="_13A_7">#REF!</definedName>
    <definedName name="_13A_8">#REF!</definedName>
    <definedName name="_13A_9">#REF!</definedName>
    <definedName name="_13B_1">#REF!</definedName>
    <definedName name="_13B_10">#REF!</definedName>
    <definedName name="_13B_11">#REF!</definedName>
    <definedName name="_13B_12">#REF!</definedName>
    <definedName name="_13B_13">#REF!</definedName>
    <definedName name="_13B_14">#REF!</definedName>
    <definedName name="_13B_15">#REF!</definedName>
    <definedName name="_13B_16">#REF!</definedName>
    <definedName name="_13B_17">#REF!</definedName>
    <definedName name="_13B_18">#REF!</definedName>
    <definedName name="_13B_19">#REF!</definedName>
    <definedName name="_13B_2">#REF!</definedName>
    <definedName name="_13B_20">#REF!</definedName>
    <definedName name="_13B_21">#REF!</definedName>
    <definedName name="_13B_22">#REF!</definedName>
    <definedName name="_13B_23">#REF!</definedName>
    <definedName name="_13B_24">#REF!</definedName>
    <definedName name="_13B_25">#REF!</definedName>
    <definedName name="_13B_26">#REF!</definedName>
    <definedName name="_13B_27">#REF!</definedName>
    <definedName name="_13B_28">#REF!</definedName>
    <definedName name="_13B_29">#REF!</definedName>
    <definedName name="_13B_3">#REF!</definedName>
    <definedName name="_13B_30">#REF!</definedName>
    <definedName name="_13B_31">#REF!</definedName>
    <definedName name="_13B_32">#REF!</definedName>
    <definedName name="_13B_33">#REF!</definedName>
    <definedName name="_13B_34">#REF!</definedName>
    <definedName name="_13B_35">#REF!</definedName>
    <definedName name="_13B_36">#REF!</definedName>
    <definedName name="_13B_37">#REF!</definedName>
    <definedName name="_13B_38">#REF!</definedName>
    <definedName name="_13B_39">#REF!</definedName>
    <definedName name="_13B_4">#REF!</definedName>
    <definedName name="_13B_40">#REF!</definedName>
    <definedName name="_13B_41">#REF!</definedName>
    <definedName name="_13B_42">#REF!</definedName>
    <definedName name="_13B_43">#REF!</definedName>
    <definedName name="_13B_44">#REF!</definedName>
    <definedName name="_13B_45">#REF!</definedName>
    <definedName name="_13B_46">#REF!</definedName>
    <definedName name="_13B_47">#REF!</definedName>
    <definedName name="_13B_48">#REF!</definedName>
    <definedName name="_13B_49">#REF!</definedName>
    <definedName name="_13B_5">#REF!</definedName>
    <definedName name="_13B_50">#REF!</definedName>
    <definedName name="_13B_51">#REF!</definedName>
    <definedName name="_13B_52">#REF!</definedName>
    <definedName name="_13B_53">#REF!</definedName>
    <definedName name="_13B_54">#REF!</definedName>
    <definedName name="_13B_55">#REF!</definedName>
    <definedName name="_13B_56">#REF!</definedName>
    <definedName name="_13B_57">#REF!</definedName>
    <definedName name="_13B_58">#REF!</definedName>
    <definedName name="_13B_59">#REF!</definedName>
    <definedName name="_13B_6">#REF!</definedName>
    <definedName name="_13B_60">#REF!</definedName>
    <definedName name="_13B_7">#REF!</definedName>
    <definedName name="_13B_8">#REF!</definedName>
    <definedName name="_13B_9">#REF!</definedName>
    <definedName name="_13C_1">#REF!</definedName>
    <definedName name="_13C_10">#REF!</definedName>
    <definedName name="_13C_11">#REF!</definedName>
    <definedName name="_13C_12">#REF!</definedName>
    <definedName name="_13C_13">#REF!</definedName>
    <definedName name="_13C_14">#REF!</definedName>
    <definedName name="_13C_15">#REF!</definedName>
    <definedName name="_13C_16">#REF!</definedName>
    <definedName name="_13C_17">#REF!</definedName>
    <definedName name="_13C_18">#REF!</definedName>
    <definedName name="_13C_19">#REF!</definedName>
    <definedName name="_13C_2">#REF!</definedName>
    <definedName name="_13C_20">#REF!</definedName>
    <definedName name="_13C_21">#REF!</definedName>
    <definedName name="_13C_22">#REF!</definedName>
    <definedName name="_13C_23">#REF!</definedName>
    <definedName name="_13C_24">#REF!</definedName>
    <definedName name="_13C_25">#REF!</definedName>
    <definedName name="_13C_26">#REF!</definedName>
    <definedName name="_13C_27">#REF!</definedName>
    <definedName name="_13C_28">#REF!</definedName>
    <definedName name="_13C_29">#REF!</definedName>
    <definedName name="_13C_3">#REF!</definedName>
    <definedName name="_13C_30">#REF!</definedName>
    <definedName name="_13C_31">#REF!</definedName>
    <definedName name="_13C_32">#REF!</definedName>
    <definedName name="_13C_33">#REF!</definedName>
    <definedName name="_13C_34">#REF!</definedName>
    <definedName name="_13C_35">#REF!</definedName>
    <definedName name="_13C_36">#REF!</definedName>
    <definedName name="_13C_37">#REF!</definedName>
    <definedName name="_13C_38">#REF!</definedName>
    <definedName name="_13C_39">#REF!</definedName>
    <definedName name="_13C_4">#REF!</definedName>
    <definedName name="_13C_40">#REF!</definedName>
    <definedName name="_13C_41">#REF!</definedName>
    <definedName name="_13C_42">#REF!</definedName>
    <definedName name="_13C_43">#REF!</definedName>
    <definedName name="_13C_44">#REF!</definedName>
    <definedName name="_13C_45">#REF!</definedName>
    <definedName name="_13C_46">#REF!</definedName>
    <definedName name="_13C_47">#REF!</definedName>
    <definedName name="_13C_48">#REF!</definedName>
    <definedName name="_13C_49">#REF!</definedName>
    <definedName name="_13C_5">#REF!</definedName>
    <definedName name="_13C_50">#REF!</definedName>
    <definedName name="_13C_51">#REF!</definedName>
    <definedName name="_13C_52">#REF!</definedName>
    <definedName name="_13C_53">#REF!</definedName>
    <definedName name="_13C_54">#REF!</definedName>
    <definedName name="_13C_55">#REF!</definedName>
    <definedName name="_13C_56">#REF!</definedName>
    <definedName name="_13C_57">#REF!</definedName>
    <definedName name="_13C_58">#REF!</definedName>
    <definedName name="_13C_59">#REF!</definedName>
    <definedName name="_13C_6">#REF!</definedName>
    <definedName name="_13C_60">#REF!</definedName>
    <definedName name="_13C_7">#REF!</definedName>
    <definedName name="_13C_8">#REF!</definedName>
    <definedName name="_13C_9">#REF!</definedName>
    <definedName name="_13G_0Extr">#REF!</definedName>
    <definedName name="_14">#N/A</definedName>
    <definedName name="_14________________________________________________________________________________________________________________________________0_0_F" hidden="1">#REF!</definedName>
    <definedName name="_14___0__123Grap" hidden="1">#REF!</definedName>
    <definedName name="_14__123Graph_FMOB_02" hidden="1">#REF!</definedName>
    <definedName name="_14_0__123Grap" hidden="1">#REF!</definedName>
    <definedName name="_14_0_0__123Grap" hidden="1">#REF!</definedName>
    <definedName name="_14_0_0_F" hidden="1">#REF!</definedName>
    <definedName name="_14_0_0_S" hidden="1">#REF!</definedName>
    <definedName name="_14_123Grap" hidden="1">#REF!</definedName>
    <definedName name="_14_6">#REF!</definedName>
    <definedName name="_140_0_0__123Grap" hidden="1">#REF!</definedName>
    <definedName name="_14000">#REF!</definedName>
    <definedName name="_14100">#REF!</definedName>
    <definedName name="_14110">#REF!</definedName>
    <definedName name="_14111">#REF!</definedName>
    <definedName name="_14112">#REF!</definedName>
    <definedName name="_14113">#REF!</definedName>
    <definedName name="_14114">#REF!</definedName>
    <definedName name="_14115">#REF!</definedName>
    <definedName name="_14116">#REF!</definedName>
    <definedName name="_14117">#REF!</definedName>
    <definedName name="_14118">#REF!</definedName>
    <definedName name="_14119">#REF!</definedName>
    <definedName name="_14120">#REF!</definedName>
    <definedName name="_14121">#REF!</definedName>
    <definedName name="_14122">#REF!</definedName>
    <definedName name="_14123">#REF!</definedName>
    <definedName name="_14124">#REF!</definedName>
    <definedName name="_14125">#REF!</definedName>
    <definedName name="_14126">#REF!</definedName>
    <definedName name="_14127">#REF!</definedName>
    <definedName name="_14128">#REF!</definedName>
    <definedName name="_14129">#REF!</definedName>
    <definedName name="_14130">#REF!</definedName>
    <definedName name="_14131">#REF!</definedName>
    <definedName name="_14132">#REF!</definedName>
    <definedName name="_14133">#REF!</definedName>
    <definedName name="_14134">#REF!</definedName>
    <definedName name="_14135">#REF!</definedName>
    <definedName name="_14136">#REF!</definedName>
    <definedName name="_14137">#REF!</definedName>
    <definedName name="_14138">#REF!</definedName>
    <definedName name="_14139">#REF!</definedName>
    <definedName name="_14140">#REF!</definedName>
    <definedName name="_14141">#REF!</definedName>
    <definedName name="_14142">#REF!</definedName>
    <definedName name="_14143">#REF!</definedName>
    <definedName name="_14144">#REF!</definedName>
    <definedName name="_14145">#REF!</definedName>
    <definedName name="_14146">#REF!</definedName>
    <definedName name="_14147">#REF!</definedName>
    <definedName name="_14148">#REF!</definedName>
    <definedName name="_14149">#REF!</definedName>
    <definedName name="_14200">#REF!</definedName>
    <definedName name="_14210">#REF!</definedName>
    <definedName name="_14211">#REF!</definedName>
    <definedName name="_14212">#REF!</definedName>
    <definedName name="_14213">#REF!</definedName>
    <definedName name="_14214">#REF!</definedName>
    <definedName name="_14215">#REF!</definedName>
    <definedName name="_14216">#REF!</definedName>
    <definedName name="_14217">#REF!</definedName>
    <definedName name="_14218">#REF!</definedName>
    <definedName name="_14219">#REF!</definedName>
    <definedName name="_14220">#REF!</definedName>
    <definedName name="_14221">#REF!</definedName>
    <definedName name="_14222">#REF!</definedName>
    <definedName name="_14223">#REF!</definedName>
    <definedName name="_14224">#REF!</definedName>
    <definedName name="_14225">#REF!</definedName>
    <definedName name="_14226">#REF!</definedName>
    <definedName name="_14227">#REF!</definedName>
    <definedName name="_14228">#REF!</definedName>
    <definedName name="_14229">#REF!</definedName>
    <definedName name="_143__________________0_Dist_" hidden="1">#REF!</definedName>
    <definedName name="_14300">#REF!</definedName>
    <definedName name="_14301">#REF!</definedName>
    <definedName name="_14302">#REF!</definedName>
    <definedName name="_14303">#REF!</definedName>
    <definedName name="_14304">#REF!</definedName>
    <definedName name="_14305">#REF!</definedName>
    <definedName name="_14306">#REF!</definedName>
    <definedName name="_14307">#REF!</definedName>
    <definedName name="_14308">#REF!</definedName>
    <definedName name="_14309">#REF!</definedName>
    <definedName name="_14400">#REF!</definedName>
    <definedName name="_14401">#REF!</definedName>
    <definedName name="_14402">#REF!</definedName>
    <definedName name="_14403">#REF!</definedName>
    <definedName name="_14404">#REF!</definedName>
    <definedName name="_14405">#REF!</definedName>
    <definedName name="_14406">#REF!</definedName>
    <definedName name="_14407">#REF!</definedName>
    <definedName name="_14408">#REF!</definedName>
    <definedName name="_14409">#REF!</definedName>
    <definedName name="_14500">#REF!</definedName>
    <definedName name="_14510">#REF!</definedName>
    <definedName name="_14511">#REF!</definedName>
    <definedName name="_14512">#REF!</definedName>
    <definedName name="_14513">#REF!</definedName>
    <definedName name="_14520">#REF!</definedName>
    <definedName name="_14521">#REF!</definedName>
    <definedName name="_14522">#REF!</definedName>
    <definedName name="_14523">#REF!</definedName>
    <definedName name="_14600">#REF!</definedName>
    <definedName name="_14601">#REF!</definedName>
    <definedName name="_14602">#REF!</definedName>
    <definedName name="_14603">#REF!</definedName>
    <definedName name="_14604">#REF!</definedName>
    <definedName name="_14605">#REF!</definedName>
    <definedName name="_14606">#REF!</definedName>
    <definedName name="_14607">#REF!</definedName>
    <definedName name="_14608">#REF!</definedName>
    <definedName name="_14609">#REF!</definedName>
    <definedName name="_147a12_" localSheetId="0">BlankMacro1</definedName>
    <definedName name="_147a12_">BlankMacro1</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4EE2_" hidden="1">{#N/A,#N/A,FALSE,"단가표지"}</definedName>
    <definedName name="_14G_0Extr">#REF!</definedName>
    <definedName name="_14TO">#REF!</definedName>
    <definedName name="_15">#N/A</definedName>
    <definedName name="_15_______________________________________________________________________________________________________________________________0_0_F" hidden="1">#REF!</definedName>
    <definedName name="_15____0_0_F" hidden="1">#REF!</definedName>
    <definedName name="_15___0__123Grap" hidden="1">#REF!</definedName>
    <definedName name="_15___0_Dist_" hidden="1">#REF!</definedName>
    <definedName name="_15__123Graph_LBL_AMOB_01" hidden="1">#REF!</definedName>
    <definedName name="_15_0" hidden="1">#REF!</definedName>
    <definedName name="_15_0__123Grap" hidden="1">#N/A</definedName>
    <definedName name="_15_0_0_F" hidden="1">#REF!</definedName>
    <definedName name="_15_0_0_S" hidden="1">#REF!</definedName>
    <definedName name="_15_0_Dist_" hidden="1">#REF!</definedName>
    <definedName name="_15_10">#REF!</definedName>
    <definedName name="_15_7">#REF!</definedName>
    <definedName name="_15000">#REF!</definedName>
    <definedName name="_150a2_" localSheetId="0">BlankMacro1</definedName>
    <definedName name="_150a2_">BlankMacro1</definedName>
    <definedName name="_15100">#REF!</definedName>
    <definedName name="_15101">#REF!</definedName>
    <definedName name="_154________________0_0__123Grap" hidden="1">#REF!</definedName>
    <definedName name="_15841">#REF!</definedName>
    <definedName name="_15842">#REF!</definedName>
    <definedName name="_15843">#REF!</definedName>
    <definedName name="_15844">#REF!</definedName>
    <definedName name="_15850">#REF!</definedName>
    <definedName name="_15A">#REF!</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A?">#REF!</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5EE1_" hidden="1">{#N/A,#N/A,FALSE,"단가표지"}</definedName>
    <definedName name="_15G_0Extract">#REF!</definedName>
    <definedName name="_15P3_" hidden="1">{#N/A,#N/A,FALSE,"배수1"}</definedName>
    <definedName name="_15P5_" hidden="1">{#N/A,#N/A,FALSE,"배수1"}</definedName>
    <definedName name="_16">#N/A</definedName>
    <definedName name="_16______________________________________________________________________________________________________________________________0_0_F" hidden="1">#REF!</definedName>
    <definedName name="_16___0_Dist_" hidden="1">#REF!</definedName>
    <definedName name="_16__123Graph_LBL_AMOB_02" hidden="1">#REF!</definedName>
    <definedName name="_16_0__123Grap" hidden="1">#N/A</definedName>
    <definedName name="_16_0_0_F" hidden="1">#REF!</definedName>
    <definedName name="_16_11">#REF!</definedName>
    <definedName name="_16_123Grap" hidden="1">#REF!</definedName>
    <definedName name="_16_8">#REF!</definedName>
    <definedName name="_160_0_0_F" hidden="1">#REF!</definedName>
    <definedName name="_160EE1_" hidden="1">{#N/A,#N/A,FALSE,"단가표지"}</definedName>
    <definedName name="_163P3_" hidden="1">{#N/A,#N/A,FALSE,"배수1"}</definedName>
    <definedName name="_165________________0_0_F" hidden="1">#REF!</definedName>
    <definedName name="_165P4_" hidden="1">{#N/A,#N/A,FALSE,"혼합골재"}</definedName>
    <definedName name="_167P5_" hidden="1">{#N/A,#N/A,FALSE,"배수1"}</definedName>
    <definedName name="_169P6_" hidden="1">{#N/A,#N/A,FALSE,"2~8번"}</definedName>
    <definedName name="_16A">#N/A</definedName>
    <definedName name="_16A_1">#REF!</definedName>
    <definedName name="_16A_10">#REF!</definedName>
    <definedName name="_16A_11">#REF!</definedName>
    <definedName name="_16A_12">#REF!</definedName>
    <definedName name="_16A_13">#REF!</definedName>
    <definedName name="_16A_14">#REF!</definedName>
    <definedName name="_16A_15">#REF!</definedName>
    <definedName name="_16A_2">#REF!</definedName>
    <definedName name="_16A_3">#REF!</definedName>
    <definedName name="_16A_4">#REF!</definedName>
    <definedName name="_16A_5">#REF!</definedName>
    <definedName name="_16A_6">#REF!</definedName>
    <definedName name="_16A_7">#REF!</definedName>
    <definedName name="_16A_8">#REF!</definedName>
    <definedName name="_16A_9">#REF!</definedName>
    <definedName name="_16B_1">#REF!</definedName>
    <definedName name="_16B_10">#REF!</definedName>
    <definedName name="_16B_11">#REF!</definedName>
    <definedName name="_16B_12">#REF!</definedName>
    <definedName name="_16B_13">#REF!</definedName>
    <definedName name="_16B_14">#REF!</definedName>
    <definedName name="_16B_15">#REF!</definedName>
    <definedName name="_16B_2">#REF!</definedName>
    <definedName name="_16B_3">#REF!</definedName>
    <definedName name="_16B_4">#REF!</definedName>
    <definedName name="_16B_5">#REF!</definedName>
    <definedName name="_16B_6">#REF!</definedName>
    <definedName name="_16B_7">#REF!</definedName>
    <definedName name="_16B_8">#REF!</definedName>
    <definedName name="_16B_9">#REF!</definedName>
    <definedName name="_16C_1">#REF!</definedName>
    <definedName name="_16C_10">#REF!</definedName>
    <definedName name="_16C_11">#REF!</definedName>
    <definedName name="_16C_12">#REF!</definedName>
    <definedName name="_16C_13">#REF!</definedName>
    <definedName name="_16C_14">#REF!</definedName>
    <definedName name="_16C_15">#REF!</definedName>
    <definedName name="_16C_2">#REF!</definedName>
    <definedName name="_16C_3">#REF!</definedName>
    <definedName name="_16C_4">#REF!</definedName>
    <definedName name="_16C_5">#REF!</definedName>
    <definedName name="_16C_6">#REF!</definedName>
    <definedName name="_16C_7">#REF!</definedName>
    <definedName name="_16C_8">#REF!</definedName>
    <definedName name="_16C_9">#REF!</definedName>
    <definedName name="_16D4_">#REF!</definedName>
    <definedName name="_16Dist_" hidden="1">#REF!</definedName>
    <definedName name="_16F" hidden="1">#REF!</definedName>
    <definedName name="_16G__Extr">#REF!</definedName>
    <definedName name="_16G_0Extract">#REF!</definedName>
    <definedName name="_16P3_" hidden="1">{#N/A,#N/A,TRUE,"대외공문"}</definedName>
    <definedName name="_16wrn.Ã¶°ñÁý°èÇ_._.5Ä­." hidden="1">{#N/A,#N/A,FALSE,"Sheet1"}</definedName>
    <definedName name="_17">#N/A</definedName>
    <definedName name="_17_____________________________________________________________________________________________________________________________0_0_F" hidden="1">#REF!</definedName>
    <definedName name="_17__123Graph_LBL_BMOB_01" hidden="1">#REF!</definedName>
    <definedName name="_17__123Graph_LBL_BPOWER_MT" hidden="1">#REF!</definedName>
    <definedName name="_17_0__123Grap" hidden="1">#REF!</definedName>
    <definedName name="_17_0_0__123Grap" hidden="1">#REF!</definedName>
    <definedName name="_17_0_0_F" hidden="1">#REF!</definedName>
    <definedName name="_17_0_Dist_" hidden="1">#REF!</definedName>
    <definedName name="_17_0_F" hidden="1">#REF!</definedName>
    <definedName name="_17_3_0Crite">#REF!</definedName>
    <definedName name="_17_9">#REF!</definedName>
    <definedName name="_172S3_" hidden="1">{#N/A,#N/A,FALSE,"포장2"}</definedName>
    <definedName name="_176_________________0__123Grap" hidden="1">#REF!</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7G__Extract">#REF!</definedName>
    <definedName name="_17P3_" hidden="1">{#N/A,#N/A,TRUE,"대외공문"}</definedName>
    <definedName name="_17P4_" hidden="1">{#N/A,#N/A,FALSE,"혼합골재"}</definedName>
    <definedName name="_18">#N/A</definedName>
    <definedName name="_18____________________________________________________________________________________________________________________________0_0_F" hidden="1">#REF!</definedName>
    <definedName name="_18_____0__123Grap" hidden="1">#REF!</definedName>
    <definedName name="_18__123Graph_LBL_BMOB_02" hidden="1">#REF!</definedName>
    <definedName name="_18_0__123Grap" hidden="1">#REF!</definedName>
    <definedName name="_18_0_0__123Grap" hidden="1">#REF!</definedName>
    <definedName name="_18_0_0_F" hidden="1">#REF!</definedName>
    <definedName name="_18_0_0_K" hidden="1">#REF!</definedName>
    <definedName name="_18_0_0코아공" hidden="1">#REF!</definedName>
    <definedName name="_18_0_Dist_" hidden="1">#REF!</definedName>
    <definedName name="_18_0_F" hidden="1">#REF!</definedName>
    <definedName name="_18_3_0Criteria">#REF!</definedName>
    <definedName name="_187_________________0_Dist_" hidden="1">#REF!</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a2_">#REF!</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8F" hidden="1">#REF!</definedName>
    <definedName name="_18ME">#REF!</definedName>
    <definedName name="_18q45_">{"'용역비'!$A$4:$C$8"}</definedName>
    <definedName name="_18S" hidden="1">#REF!</definedName>
    <definedName name="_19">#N/A</definedName>
    <definedName name="_19___________________________________________________________________________________________________________________________0_0_F" hidden="1">#REF!</definedName>
    <definedName name="_19__123Graph_LBL_CMOB_01" hidden="1">#REF!</definedName>
    <definedName name="_19_0__123Grap" hidden="1">#N/A</definedName>
    <definedName name="_19_0_0_F" hidden="1">#REF!</definedName>
    <definedName name="_19_0_0_S" hidden="1">#REF!</definedName>
    <definedName name="_19_0_Dist_" hidden="1">#REF!</definedName>
    <definedName name="_19_0_S" hidden="1">#REF!</definedName>
    <definedName name="_19_3__Crite">#REF!</definedName>
    <definedName name="_1907">#REF!</definedName>
    <definedName name="_194____________________________________________________________________________________________________________________________¤§¤_¤¡" hidden="1">{#N/A,#N/A,FALSE,"Sheet1"}</definedName>
    <definedName name="_19414">#REF!</definedName>
    <definedName name="_19415">#REF!</definedName>
    <definedName name="_19416">#REF!</definedName>
    <definedName name="_19417">#REF!</definedName>
    <definedName name="_19424">#REF!</definedName>
    <definedName name="_19426">#REF!</definedName>
    <definedName name="_195____________________________________________________________________________________________________________________________wrn.Ã¶°ñÁý°èÇ_._.5Ä­." hidden="1">{#N/A,#N/A,FALSE,"Sheet1"}</definedName>
    <definedName name="_19500">#REF!</definedName>
    <definedName name="_19510">#REF!</definedName>
    <definedName name="_19511">#REF!</definedName>
    <definedName name="_19520">#REF!</definedName>
    <definedName name="_19521">#REF!</definedName>
    <definedName name="_19522">#REF!</definedName>
    <definedName name="_196___________________________________________________________________________________________________________________________¤§¤_¤¡" hidden="1">{#N/A,#N/A,FALSE,"Sheet1"}</definedName>
    <definedName name="_19600">#REF!</definedName>
    <definedName name="_19610">#REF!</definedName>
    <definedName name="_19611">#REF!</definedName>
    <definedName name="_197___________________________________________________________________________________________________________________________wrn.Ã¶°ñÁý°èÇ_._.5Ä­." hidden="1">{#N/A,#N/A,FALSE,"Sheet1"}</definedName>
    <definedName name="_198__________________________________________________________________________________________________________________________¤§¤_¤¡" hidden="1">{#N/A,#N/A,FALSE,"Sheet1"}</definedName>
    <definedName name="_198_______________0_0__123Grap" hidden="1">#REF!</definedName>
    <definedName name="_199__________________________________________________________________________________________________________________________wrn.Ã¶°ñÁý°èÇ_._.5Ä­." hidden="1">{#N/A,#N/A,FALSE,"Sheet1"}</definedName>
    <definedName name="_19a12_" localSheetId="0">BlankMacro1</definedName>
    <definedName name="_19a12_">BlankMacro1</definedName>
    <definedName name="_19b2_">#REF!</definedName>
    <definedName name="_19ME">#REF!</definedName>
    <definedName name="_19P5_" hidden="1">{#N/A,#N/A,FALSE,"배수1"}</definedName>
    <definedName name="_19P6_" hidden="1">{#N/A,#N/A,FALSE,"2~8번"}</definedName>
    <definedName name="_19wrn.Ã¶°ñÁý°èÇ_._.5Ä­." hidden="1">{#N/A,#N/A,FALSE,"Sheet1"}</definedName>
    <definedName name="_1공장">#REF!</definedName>
    <definedName name="_1년매출액">#REF!</definedName>
    <definedName name="_1년투자비">#REF!</definedName>
    <definedName name="_1단">#REF!</definedName>
    <definedName name="_1단계사업명">#REF!</definedName>
    <definedName name="_1월">#REF!</definedName>
    <definedName name="_1차_94년">#N/A</definedName>
    <definedName name="_1A_1">#N/A</definedName>
    <definedName name="_1A_10">#REF!</definedName>
    <definedName name="_1A_11">#REF!</definedName>
    <definedName name="_1A_12">#REF!</definedName>
    <definedName name="_1A_13">#REF!</definedName>
    <definedName name="_1A_14">#REF!</definedName>
    <definedName name="_1A_15">#REF!</definedName>
    <definedName name="_1A_16">#N/A</definedName>
    <definedName name="_1A_17">#N/A</definedName>
    <definedName name="_1A_18">#N/A</definedName>
    <definedName name="_1A_19">#N/A</definedName>
    <definedName name="_1A_2">#N/A</definedName>
    <definedName name="_1A_20">#N/A</definedName>
    <definedName name="_1A_21">#N/A</definedName>
    <definedName name="_1A_22">#N/A</definedName>
    <definedName name="_1A_23">#REF!</definedName>
    <definedName name="_1A_24">#REF!</definedName>
    <definedName name="_1A_25">#REF!</definedName>
    <definedName name="_1A_26">#REF!</definedName>
    <definedName name="_1A_27">#REF!</definedName>
    <definedName name="_1A_28">#REF!</definedName>
    <definedName name="_1A_29">#REF!</definedName>
    <definedName name="_1A_3">#N/A</definedName>
    <definedName name="_1A_30">#REF!</definedName>
    <definedName name="_1A_4">#N/A</definedName>
    <definedName name="_1A_5">#N/A</definedName>
    <definedName name="_1A_6">#N/A</definedName>
    <definedName name="_1A_7">#N/A</definedName>
    <definedName name="_1A_8">#REF!</definedName>
    <definedName name="_1A_9">#REF!</definedName>
    <definedName name="_1B_1">#N/A</definedName>
    <definedName name="_1B_10">#REF!</definedName>
    <definedName name="_1B_11">#REF!</definedName>
    <definedName name="_1B_12">#REF!</definedName>
    <definedName name="_1B_13">#REF!</definedName>
    <definedName name="_1B_14">#REF!</definedName>
    <definedName name="_1B_15">#REF!</definedName>
    <definedName name="_1B_16">#N/A</definedName>
    <definedName name="_1B_17">#N/A</definedName>
    <definedName name="_1B_18">#N/A</definedName>
    <definedName name="_1B_19">#N/A</definedName>
    <definedName name="_1B_2">#N/A</definedName>
    <definedName name="_1B_20">#N/A</definedName>
    <definedName name="_1B_21">#N/A</definedName>
    <definedName name="_1B_22">#N/A</definedName>
    <definedName name="_1B_23">#REF!</definedName>
    <definedName name="_1B_24">#REF!</definedName>
    <definedName name="_1B_25">#REF!</definedName>
    <definedName name="_1B_26">#REF!</definedName>
    <definedName name="_1B_27">#REF!</definedName>
    <definedName name="_1B_28">#REF!</definedName>
    <definedName name="_1B_29">#REF!</definedName>
    <definedName name="_1B_3">#N/A</definedName>
    <definedName name="_1B_30">#REF!</definedName>
    <definedName name="_1B_4">#N/A</definedName>
    <definedName name="_1B_5">#N/A</definedName>
    <definedName name="_1B_6">#N/A</definedName>
    <definedName name="_1B_7">#N/A</definedName>
    <definedName name="_1B_8">#REF!</definedName>
    <definedName name="_1B_9">#REF!</definedName>
    <definedName name="_1B2_">#REF!</definedName>
    <definedName name="_1C_">#REF!</definedName>
    <definedName name="_1C_1">#N/A</definedName>
    <definedName name="_1C_10">#REF!</definedName>
    <definedName name="_1C_11">#REF!</definedName>
    <definedName name="_1C_12">#REF!</definedName>
    <definedName name="_1C_13">#REF!</definedName>
    <definedName name="_1C_14">#REF!</definedName>
    <definedName name="_1C_15">#REF!</definedName>
    <definedName name="_1C_16">#N/A</definedName>
    <definedName name="_1C_17">#N/A</definedName>
    <definedName name="_1C_18">#N/A</definedName>
    <definedName name="_1C_19">#N/A</definedName>
    <definedName name="_1C_2">#N/A</definedName>
    <definedName name="_1C_20">#N/A</definedName>
    <definedName name="_1C_21">#N/A</definedName>
    <definedName name="_1C_22">#N/A</definedName>
    <definedName name="_1C_23">#REF!</definedName>
    <definedName name="_1C_24">#REF!</definedName>
    <definedName name="_1C_25">#REF!</definedName>
    <definedName name="_1C_26">#REF!</definedName>
    <definedName name="_1C_27">#REF!</definedName>
    <definedName name="_1C_28">#REF!</definedName>
    <definedName name="_1C_29">#REF!</definedName>
    <definedName name="_1C_3">#N/A</definedName>
    <definedName name="_1C_30">#REF!</definedName>
    <definedName name="_1C_4">#N/A</definedName>
    <definedName name="_1C_5">#N/A</definedName>
    <definedName name="_1C_6">#N/A</definedName>
    <definedName name="_1C_7">#N/A</definedName>
    <definedName name="_1C_8">#REF!</definedName>
    <definedName name="_1C_9">#REF!</definedName>
    <definedName name="_1EE2_" hidden="1">{#N/A,#N/A,FALSE,"단가표지"}</definedName>
    <definedName name="_1Excel_BuiltIn__FilterDatabase_1_1">#REF!</definedName>
    <definedName name="_1F" hidden="1">#REF!</definedName>
    <definedName name="_1K123_" hidden="1">{#N/A,#N/A,FALSE,"현장 NCR 분석";#N/A,#N/A,FALSE,"현장품질감사";#N/A,#N/A,FALSE,"현장품질감사"}</definedName>
    <definedName name="_1S" hidden="1">#REF!</definedName>
    <definedName name="_2">#N/A</definedName>
    <definedName name="_2____________________________________________________________________________________________________________________________________________0_0_F" hidden="1">#REF!</definedName>
    <definedName name="_2______123Grap" hidden="1">#REF!</definedName>
    <definedName name="_2_____0_0_F" hidden="1">#REF!</definedName>
    <definedName name="_2____0_F" hidden="1">#REF!</definedName>
    <definedName name="_2___0_0_K" hidden="1">#REF!</definedName>
    <definedName name="_2___0_S" hidden="1">#REF!</definedName>
    <definedName name="_2___123Graph_XCHART_1A" hidden="1">#REF!</definedName>
    <definedName name="_2__123Graph_AChart_1A" hidden="1">#REF!</definedName>
    <definedName name="_2__123Graph_ACHART_2" hidden="1">#REF!</definedName>
    <definedName name="_2__123Graph_APOWER_MT" hidden="1">#REF!</definedName>
    <definedName name="_2__123Graph_XCHART_1A" hidden="1">#REF!</definedName>
    <definedName name="_2_0">#REF!</definedName>
    <definedName name="_2_0__123Grap" hidden="1">#REF!</definedName>
    <definedName name="_2_0_0__123Grap" hidden="1">#REF!</definedName>
    <definedName name="_2_0_0_F" hidden="1">#REF!</definedName>
    <definedName name="_2_0_S" hidden="1">#REF!</definedName>
    <definedName name="_2_123Grap" hidden="1">#REF!</definedName>
    <definedName name="_2_3__Crite">#REF!</definedName>
    <definedName name="_2_3_0Criteria">#REF!</definedName>
    <definedName name="_2._건_축_공_사">#REF!</definedName>
    <definedName name="_2._날_개_벽">#REF!</definedName>
    <definedName name="_2.토공">#N/A</definedName>
    <definedName name="_2\LA">#REF!</definedName>
    <definedName name="_2¤§¤_¤¡" hidden="1">{#N/A,#N/A,FALSE,"Sheet1"}</definedName>
    <definedName name="_20">#N/A</definedName>
    <definedName name="_20__________________________________________________________________________________________________________________________0_0_F" hidden="1">#REF!</definedName>
    <definedName name="_20_____0_Dist_" hidden="1">#REF!</definedName>
    <definedName name="_20___0_0_F" hidden="1">#REF!</definedName>
    <definedName name="_20__123Graph_ACHART_1A" hidden="1">#REF!</definedName>
    <definedName name="_20__123Graph_LBL_CMOB_02" hidden="1">#REF!</definedName>
    <definedName name="_20_0__123Grap" hidden="1">#REF!</definedName>
    <definedName name="_20_0_0_F" hidden="1">#REF!</definedName>
    <definedName name="_20_0_0_S" hidden="1">#REF!</definedName>
    <definedName name="_20_0공통비" hidden="1">#REF!</definedName>
    <definedName name="_20_3__Criteria">#REF!</definedName>
    <definedName name="_20_6" hidden="1">#REF!</definedName>
    <definedName name="_200_________________________________________________________________________________________________________________________¤§¤_¤¡" hidden="1">{#N/A,#N/A,FALSE,"Sheet1"}</definedName>
    <definedName name="_20000">#REF!</definedName>
    <definedName name="_2001_년________월_________일__________요일____날씨">#REF!</definedName>
    <definedName name="_201_________________________________________________________________________________________________________________________wrn.Ã¶°ñÁý°èÇ_._.5Ä­." hidden="1">{#N/A,#N/A,FALSE,"Sheet1"}</definedName>
    <definedName name="_202________________________________________________________________________________________________________________________¤§¤_¤¡" hidden="1">{#N/A,#N/A,FALSE,"Sheet1"}</definedName>
    <definedName name="_203________________________________________________________________________________________________________________________wrn.Ã¶°ñÁý°èÇ_._.5Ä­." hidden="1">{#N/A,#N/A,FALSE,"Sheet1"}</definedName>
    <definedName name="_204_______________________________________________________________________________________________________________________¤§¤_¤¡" hidden="1">{#N/A,#N/A,FALSE,"Sheet1"}</definedName>
    <definedName name="_205_______________________________________________________________________________________________________________________wrn.Ã¶°ñÁý°èÇ_._.5Ä­." hidden="1">{#N/A,#N/A,FALSE,"Sheet1"}</definedName>
    <definedName name="_206______________________________________________________________________________________________________________________¤§¤_¤¡" hidden="1">{#N/A,#N/A,FALSE,"Sheet1"}</definedName>
    <definedName name="_207______________________________________________________________________________________________________________________wrn.Ã¶°ñÁý°èÇ_._.5Ä­." hidden="1">{#N/A,#N/A,FALSE,"Sheet1"}</definedName>
    <definedName name="_208_____________________________________________________________________________________________________________________¤§¤_¤¡" hidden="1">{#N/A,#N/A,FALSE,"Sheet1"}</definedName>
    <definedName name="_209_____________________________________________________________________________________________________________________wrn.Ã¶°ñÁý°èÇ_._.5Ä­." hidden="1">{#N/A,#N/A,FALSE,"Sheet1"}</definedName>
    <definedName name="_209_______________0_0_F" hidden="1">#REF!</definedName>
    <definedName name="_20a2_" localSheetId="0">BlankMacro1</definedName>
    <definedName name="_20a2_">BlankMacro1</definedName>
    <definedName name="_20C_">#REF!</definedName>
    <definedName name="_20D5_">#REF!</definedName>
    <definedName name="_21">#N/A</definedName>
    <definedName name="_21_________________________________________________________________________________________________________________________0_0_F" hidden="1">#REF!</definedName>
    <definedName name="_21__123Graph_LBL_CENE_VVVF" hidden="1">#REF!</definedName>
    <definedName name="_21__123Graph_LBL_DMOB_01" hidden="1">#REF!</definedName>
    <definedName name="_21_0__123Grap" hidden="1">#REF!</definedName>
    <definedName name="_21_0_0__123Grap" hidden="1">#REF!</definedName>
    <definedName name="_21_0_Dist_" hidden="1">#REF!</definedName>
    <definedName name="_21_6">#REF!</definedName>
    <definedName name="_21_7" hidden="1">#REF!</definedName>
    <definedName name="_210____________________________________________________________________________________________________________________¤§¤_¤¡" hidden="1">{#N/A,#N/A,FALSE,"Sheet1"}</definedName>
    <definedName name="_21000">#REF!</definedName>
    <definedName name="_211____________________________________________________________________________________________________________________wrn.Ã¶°ñÁý°èÇ_._.5Ä­." hidden="1">{#N/A,#N/A,FALSE,"Sheet1"}</definedName>
    <definedName name="_21100">#REF!</definedName>
    <definedName name="_21110">#REF!</definedName>
    <definedName name="_21111">#REF!</definedName>
    <definedName name="_21112">#REF!</definedName>
    <definedName name="_21113">#REF!</definedName>
    <definedName name="_2113">#REF!</definedName>
    <definedName name="_2114">#REF!</definedName>
    <definedName name="_21150">#REF!</definedName>
    <definedName name="_21151">#REF!</definedName>
    <definedName name="_21152">#REF!</definedName>
    <definedName name="_212___________________________________________________________________________________________________________________¤§¤_¤¡" hidden="1">{#N/A,#N/A,FALSE,"Sheet1"}</definedName>
    <definedName name="_21200">#REF!</definedName>
    <definedName name="_21210">#REF!</definedName>
    <definedName name="_21211">#REF!</definedName>
    <definedName name="_21212">#REF!</definedName>
    <definedName name="_21213">#REF!</definedName>
    <definedName name="_21250">#REF!</definedName>
    <definedName name="_21251">#REF!</definedName>
    <definedName name="_21252">#REF!</definedName>
    <definedName name="_21253">#REF!</definedName>
    <definedName name="_213___________________________________________________________________________________________________________________wrn.Ã¶°ñÁý°èÇ_._.5Ä­." hidden="1">{#N/A,#N/A,FALSE,"Sheet1"}</definedName>
    <definedName name="_21300">#REF!</definedName>
    <definedName name="_21310">#REF!</definedName>
    <definedName name="_21311">#REF!</definedName>
    <definedName name="_21312">#REF!</definedName>
    <definedName name="_21313">#REF!</definedName>
    <definedName name="_21314">#REF!</definedName>
    <definedName name="_21350">#REF!</definedName>
    <definedName name="_21351">#REF!</definedName>
    <definedName name="_21352">#REF!</definedName>
    <definedName name="_21353">#REF!</definedName>
    <definedName name="_21354">#REF!</definedName>
    <definedName name="_214__________________________________________________________________________________________________________________¤§¤_¤¡" hidden="1">{#N/A,#N/A,FALSE,"Sheet1"}</definedName>
    <definedName name="_21400">#REF!</definedName>
    <definedName name="_21410">#REF!</definedName>
    <definedName name="_21411">#REF!</definedName>
    <definedName name="_21412">#REF!</definedName>
    <definedName name="_21450">#REF!</definedName>
    <definedName name="_21451">#REF!</definedName>
    <definedName name="_21452">#REF!</definedName>
    <definedName name="_21460">#REF!</definedName>
    <definedName name="_21461">#REF!</definedName>
    <definedName name="_215__________________________________________________________________________________________________________________wrn.Ã¶°ñÁý°èÇ_._.5Ä­." hidden="1">{#N/A,#N/A,FALSE,"Sheet1"}</definedName>
    <definedName name="_21500">#REF!</definedName>
    <definedName name="_21510">#REF!</definedName>
    <definedName name="_21511">#REF!</definedName>
    <definedName name="_21550">#REF!</definedName>
    <definedName name="_21551">#REF!</definedName>
    <definedName name="_216_________________________________________________________________________________________________________________¤§¤_¤¡" hidden="1">{#N/A,#N/A,FALSE,"Sheet1"}</definedName>
    <definedName name="_21600">#REF!</definedName>
    <definedName name="_21610">#REF!</definedName>
    <definedName name="_21611">#REF!</definedName>
    <definedName name="_21650">#REF!</definedName>
    <definedName name="_21651">#REF!</definedName>
    <definedName name="_21660">#REF!</definedName>
    <definedName name="_21661">#REF!</definedName>
    <definedName name="_217_________________________________________________________________________________________________________________wrn.Ã¶°ñÁý°èÇ_._.5Ä­." hidden="1">{#N/A,#N/A,FALSE,"Sheet1"}</definedName>
    <definedName name="_218________________________________________________________________________________________________________________¤§¤_¤¡" hidden="1">{#N/A,#N/A,FALSE,"Sheet1"}</definedName>
    <definedName name="_219________________________________________________________________________________________________________________wrn.Ã¶°ñÁý°èÇ_._.5Ä­." hidden="1">{#N/A,#N/A,FALSE,"Sheet1"}</definedName>
    <definedName name="_21EE1_" hidden="1">{#N/A,#N/A,FALSE,"단가표지"}</definedName>
    <definedName name="_21F" hidden="1">#N/A</definedName>
    <definedName name="_21G_0Extr">#REF!</definedName>
    <definedName name="_21IL1_">#REF!</definedName>
    <definedName name="_21P6_" hidden="1">{#N/A,#N/A,FALSE,"2~8번"}</definedName>
    <definedName name="_22">#N/A</definedName>
    <definedName name="_22________________________________________________________________________________________________________________________0_0_F" hidden="1">#REF!</definedName>
    <definedName name="_22____________________0_0_F" hidden="1">#REF!</definedName>
    <definedName name="_22__123Graph_LBL_DMOB_02" hidden="1">#REF!</definedName>
    <definedName name="_22_0__123Grap" hidden="1">#REF!</definedName>
    <definedName name="_22_0_S" hidden="1">#REF!</definedName>
    <definedName name="_22_0현대코아공" hidden="1">#REF!</definedName>
    <definedName name="_22_7">#REF!</definedName>
    <definedName name="_22_8" hidden="1">#REF!</definedName>
    <definedName name="_220_______________________________________________________________________________________________________________¤§¤_¤¡" hidden="1">{#N/A,#N/A,FALSE,"Sheet1"}</definedName>
    <definedName name="_220________________0__123Grap" hidden="1">#REF!</definedName>
    <definedName name="_22000">#REF!</definedName>
    <definedName name="_221_______________________________________________________________________________________________________________wrn.Ã¶°ñÁý°èÇ_._.5Ä­." hidden="1">{#N/A,#N/A,FALSE,"Sheet1"}</definedName>
    <definedName name="_22100">#REF!</definedName>
    <definedName name="_22101">#REF!</definedName>
    <definedName name="_22102">#REF!</definedName>
    <definedName name="_22103">#REF!</definedName>
    <definedName name="_22104">#REF!</definedName>
    <definedName name="_222" hidden="1">#REF!</definedName>
    <definedName name="_222______________________________________________________________________________________________________________¤§¤_¤¡" hidden="1">{#N/A,#N/A,FALSE,"Sheet1"}</definedName>
    <definedName name="_22200">#REF!</definedName>
    <definedName name="_22201">#REF!</definedName>
    <definedName name="_22202">#REF!</definedName>
    <definedName name="_22203">#REF!</definedName>
    <definedName name="_22204">#REF!</definedName>
    <definedName name="_22205">#REF!</definedName>
    <definedName name="_22206">#REF!</definedName>
    <definedName name="_223______________________________________________________________________________________________________________wrn.Ã¶°ñÁý°èÇ_._.5Ä­." hidden="1">{#N/A,#N/A,FALSE,"Sheet1"}</definedName>
    <definedName name="_22300">#REF!</definedName>
    <definedName name="_22301">#REF!</definedName>
    <definedName name="_22302">#REF!</definedName>
    <definedName name="_22303">#REF!</definedName>
    <definedName name="_224_____________________________________________________________________________________________________________¤§¤_¤¡" hidden="1">{#N/A,#N/A,FALSE,"Sheet1"}</definedName>
    <definedName name="_22400">#REF!</definedName>
    <definedName name="_22410">#REF!</definedName>
    <definedName name="_22411">#REF!</definedName>
    <definedName name="_22412">#REF!</definedName>
    <definedName name="_22413">#REF!</definedName>
    <definedName name="_22414">#REF!</definedName>
    <definedName name="_22415">#REF!</definedName>
    <definedName name="_22416">#REF!</definedName>
    <definedName name="_22420">#REF!</definedName>
    <definedName name="_22421">#REF!</definedName>
    <definedName name="_22422">#REF!</definedName>
    <definedName name="_22423">#REF!</definedName>
    <definedName name="_22424">#REF!</definedName>
    <definedName name="_22425">#REF!</definedName>
    <definedName name="_22426">#REF!</definedName>
    <definedName name="_22430">#REF!</definedName>
    <definedName name="_22431">#REF!</definedName>
    <definedName name="_22440">#REF!</definedName>
    <definedName name="_22441">#REF!</definedName>
    <definedName name="_22442">#REF!</definedName>
    <definedName name="_22443">#REF!</definedName>
    <definedName name="_22450">#REF!</definedName>
    <definedName name="_22451">#REF!</definedName>
    <definedName name="_22452">#REF!</definedName>
    <definedName name="_22453">#REF!</definedName>
    <definedName name="_22454">#REF!</definedName>
    <definedName name="_22455">#REF!</definedName>
    <definedName name="_22456">#REF!</definedName>
    <definedName name="_22457">#REF!</definedName>
    <definedName name="_22458">#REF!</definedName>
    <definedName name="_22459">#REF!</definedName>
    <definedName name="_225_____________________________________________________________________________________________________________wrn.Ã¶°ñÁý°èÇ_._.5Ä­." hidden="1">{#N/A,#N/A,FALSE,"Sheet1"}</definedName>
    <definedName name="_22500">#REF!</definedName>
    <definedName name="_22501">#REF!</definedName>
    <definedName name="_22502">#REF!</definedName>
    <definedName name="_226____________________________________________________________________________________________________________¤§¤_¤¡" hidden="1">{#N/A,#N/A,FALSE,"Sheet1"}</definedName>
    <definedName name="_22600">#REF!</definedName>
    <definedName name="_22601">#REF!</definedName>
    <definedName name="_227____________________________________________________________________________________________________________wrn.Ã¶°ñÁý°èÇ_._.5Ä­." hidden="1">{#N/A,#N/A,FALSE,"Sheet1"}</definedName>
    <definedName name="_228">#REF!</definedName>
    <definedName name="_228___________________________________________________________________________________________________________¤§¤_¤¡" hidden="1">{#N/A,#N/A,FALSE,"Sheet1"}</definedName>
    <definedName name="_229___________________________________________________________________________________________________________wrn.Ã¶°ñÁý°èÇ_._.5Ä­." hidden="1">{#N/A,#N/A,FALSE,"Sheet1"}</definedName>
    <definedName name="_22G_0Extract">#REF!</definedName>
    <definedName name="_22wrn.Ã¶°ñÁý°èÇ_._.5Ä­." hidden="1">{#N/A,#N/A,FALSE,"Sheet1"}</definedName>
    <definedName name="_23">#N/A</definedName>
    <definedName name="_23_______________________________________________________________________________________________________________________0_0_F" hidden="1">#REF!</definedName>
    <definedName name="_23_________0__123Grap" hidden="1">#REF!</definedName>
    <definedName name="_23________0__123Grap" hidden="1">#REF!</definedName>
    <definedName name="_23__123Graph_LBL_EMOB_02" hidden="1">#REF!</definedName>
    <definedName name="_23_0__123Grap" hidden="1">#REF!</definedName>
    <definedName name="_23_0_0_F" hidden="1">#REF!</definedName>
    <definedName name="_23_8">#REF!</definedName>
    <definedName name="_23_9" hidden="1">#REF!</definedName>
    <definedName name="_230__________________________________________________________________________________________________________¤§¤_¤¡" hidden="1">{#N/A,#N/A,FALSE,"Sheet1"}</definedName>
    <definedName name="_23000">#REF!</definedName>
    <definedName name="_231__________________________________________________________________________________________________________wrn.Ã¶°ñÁý°èÇ_._.5Ä­." hidden="1">{#N/A,#N/A,FALSE,"Sheet1"}</definedName>
    <definedName name="_231________________0_Dist_" hidden="1">#REF!</definedName>
    <definedName name="_23100">#REF!</definedName>
    <definedName name="_23110">#REF!</definedName>
    <definedName name="_23111">#REF!</definedName>
    <definedName name="_23112">#REF!</definedName>
    <definedName name="_23113">#REF!</definedName>
    <definedName name="_23120">#REF!</definedName>
    <definedName name="_23121">#REF!</definedName>
    <definedName name="_23122">#REF!</definedName>
    <definedName name="_23123">#REF!</definedName>
    <definedName name="_23130">#REF!</definedName>
    <definedName name="_23131">#REF!</definedName>
    <definedName name="_23132">#REF!</definedName>
    <definedName name="_23133">#REF!</definedName>
    <definedName name="_23140">#REF!</definedName>
    <definedName name="_23141">#REF!</definedName>
    <definedName name="_23142">#REF!</definedName>
    <definedName name="_23143">#REF!</definedName>
    <definedName name="_232______________________________________________________________________________________________________¤§¤_¤¡" hidden="1">{#N/A,#N/A,FALSE,"Sheet1"}</definedName>
    <definedName name="_23200">#REF!</definedName>
    <definedName name="_23210">#REF!</definedName>
    <definedName name="_23211">#REF!</definedName>
    <definedName name="_23212">#REF!</definedName>
    <definedName name="_23213">#REF!</definedName>
    <definedName name="_23220">#REF!</definedName>
    <definedName name="_23221">#REF!</definedName>
    <definedName name="_23222">#REF!</definedName>
    <definedName name="_23223">#REF!</definedName>
    <definedName name="_23230">#REF!</definedName>
    <definedName name="_23231">#REF!</definedName>
    <definedName name="_23232">#REF!</definedName>
    <definedName name="_23233">#REF!</definedName>
    <definedName name="_23240">#REF!</definedName>
    <definedName name="_23241">#REF!</definedName>
    <definedName name="_23242">#REF!</definedName>
    <definedName name="_23243">#REF!</definedName>
    <definedName name="_233______________________________________________________________________________________________________wrn.Ã¶°ñÁý°èÇ_._.5Ä­." hidden="1">{#N/A,#N/A,FALSE,"Sheet1"}</definedName>
    <definedName name="_23300">#REF!</definedName>
    <definedName name="_23310">#REF!</definedName>
    <definedName name="_23311">#REF!</definedName>
    <definedName name="_23312">#REF!</definedName>
    <definedName name="_23313">#REF!</definedName>
    <definedName name="_23314">#REF!</definedName>
    <definedName name="_23320">#REF!</definedName>
    <definedName name="_23321">#REF!</definedName>
    <definedName name="_23322">#REF!</definedName>
    <definedName name="_23323">#REF!</definedName>
    <definedName name="_23324">#REF!</definedName>
    <definedName name="_23330">#REF!</definedName>
    <definedName name="_23331">#REF!</definedName>
    <definedName name="_23332">#REF!</definedName>
    <definedName name="_23333">#REF!</definedName>
    <definedName name="_23334">#REF!</definedName>
    <definedName name="_23340">#REF!</definedName>
    <definedName name="_234_____________________________________________________________________________________________________¤§¤_¤¡" hidden="1">{#N/A,#N/A,FALSE,"Sheet1"}</definedName>
    <definedName name="_23400">#REF!</definedName>
    <definedName name="_23410">#REF!</definedName>
    <definedName name="_23411">#REF!</definedName>
    <definedName name="_23412">#REF!</definedName>
    <definedName name="_23420">#REF!</definedName>
    <definedName name="_23421">#REF!</definedName>
    <definedName name="_23422">#REF!</definedName>
    <definedName name="_23430">#REF!</definedName>
    <definedName name="_23431">#REF!</definedName>
    <definedName name="_23432">#REF!</definedName>
    <definedName name="_23440">#REF!</definedName>
    <definedName name="_23441">#REF!</definedName>
    <definedName name="_23442">#REF!</definedName>
    <definedName name="_235_____________________________________________________________________________________________________wrn.Ã¶°ñÁý°èÇ_._.5Ä­." hidden="1">{#N/A,#N/A,FALSE,"Sheet1"}</definedName>
    <definedName name="_23500">#REF!</definedName>
    <definedName name="_23510">#REF!</definedName>
    <definedName name="_23511">#REF!</definedName>
    <definedName name="_23512">#REF!</definedName>
    <definedName name="_23520">#REF!</definedName>
    <definedName name="_23521">#REF!</definedName>
    <definedName name="_23522">#REF!</definedName>
    <definedName name="_23530">#REF!</definedName>
    <definedName name="_23531">#REF!</definedName>
    <definedName name="_23532">#REF!</definedName>
    <definedName name="_23540">#REF!</definedName>
    <definedName name="_23541">#REF!</definedName>
    <definedName name="_23542">#REF!</definedName>
    <definedName name="_236____________________________________________________________________________________________________¤§¤_¤¡" hidden="1">{#N/A,#N/A,FALSE,"Sheet1"}</definedName>
    <definedName name="_237____________________________________________________________________________________________________wrn.Ã¶°ñÁý°èÇ_._.5Ä­." hidden="1">{#N/A,#N/A,FALSE,"Sheet1"}</definedName>
    <definedName name="_238___________________________________________________________________________________________________¤§¤_¤¡" hidden="1">{#N/A,#N/A,FALSE,"Sheet1"}</definedName>
    <definedName name="_239___________________________________________________________________________________________________wrn.Ã¶°ñÁý°èÇ_._.5Ä­." hidden="1">{#N/A,#N/A,FALSE,"Sheet1"}</definedName>
    <definedName name="_23q45_" hidden="1">{"'용역비'!$A$4:$C$8"}</definedName>
    <definedName name="_23S3_" hidden="1">{#N/A,#N/A,FALSE,"포장2"}</definedName>
    <definedName name="_23TO">#REF!</definedName>
    <definedName name="_24">#N/A</definedName>
    <definedName name="_24______________________________________________________________________________________________________________________0_0_F" hidden="1">#REF!</definedName>
    <definedName name="_24___0_0_F" hidden="1">#REF!</definedName>
    <definedName name="_24__123Graph_LBL_FMOB_02" hidden="1">#REF!</definedName>
    <definedName name="_24__123Graph_XCHART_1A" hidden="1">#REF!</definedName>
    <definedName name="_24_0__123Grap" hidden="1">#REF!</definedName>
    <definedName name="_24_0_0_F" hidden="1">#REF!</definedName>
    <definedName name="_24_0_F" hidden="1">#REF!</definedName>
    <definedName name="_24_3_0Crite">#REF!</definedName>
    <definedName name="_24_9">#REF!</definedName>
    <definedName name="_240__________________________________________________________________________________________________¤§¤_¤¡" hidden="1">{#N/A,#N/A,FALSE,"Sheet1"}</definedName>
    <definedName name="_24000">#REF!</definedName>
    <definedName name="_241__________________________________________________________________________________________________wrn.Ã¶°ñÁý°èÇ_._.5Ä­." hidden="1">{#N/A,#N/A,FALSE,"Sheet1"}</definedName>
    <definedName name="_24100">#REF!</definedName>
    <definedName name="_24101">#REF!</definedName>
    <definedName name="_24102">#REF!</definedName>
    <definedName name="_242_________________________________________________________________________________________________¤§¤_¤¡" hidden="1">{#N/A,#N/A,FALSE,"Sheet1"}</definedName>
    <definedName name="_242______________0_0__123Grap" hidden="1">#REF!</definedName>
    <definedName name="_24200">#REF!</definedName>
    <definedName name="_24201">#REF!</definedName>
    <definedName name="_24202">#REF!</definedName>
    <definedName name="_243_________________________________________________________________________________________________wrn.Ã¶°ñÁý°èÇ_._.5Ä­." hidden="1">{#N/A,#N/A,FALSE,"Sheet1"}</definedName>
    <definedName name="_24300">#REF!</definedName>
    <definedName name="_24301">#REF!</definedName>
    <definedName name="_24302">#REF!</definedName>
    <definedName name="_24303">#REF!</definedName>
    <definedName name="_244________________________________________________________________________________________________¤§¤_¤¡" hidden="1">{#N/A,#N/A,FALSE,"Sheet1"}</definedName>
    <definedName name="_24400">#REF!</definedName>
    <definedName name="_24401">#REF!</definedName>
    <definedName name="_24402">#REF!</definedName>
    <definedName name="_245________________________________________________________________________________________________wrn.Ã¶°ñÁý°èÇ_._.5Ä­." hidden="1">{#N/A,#N/A,FALSE,"Sheet1"}</definedName>
    <definedName name="_246_______________________________________________________________________________________________¤§¤_¤¡" hidden="1">{#N/A,#N/A,FALSE,"Sheet1"}</definedName>
    <definedName name="_247_______________________________________________________________________________________________wrn.Ã¶°ñÁý°èÇ_._.5Ä­." hidden="1">{#N/A,#N/A,FALSE,"Sheet1"}</definedName>
    <definedName name="_249______________________________________________________________________________________________¤§¤_¤¡" hidden="1">{#N/A,#N/A,FALSE,"Sheet1"}</definedName>
    <definedName name="_24S" hidden="1">#REF!</definedName>
    <definedName name="_25">#N/A</definedName>
    <definedName name="_25_____________________________________________________________________________________________________________________0_0_F" hidden="1">#REF!</definedName>
    <definedName name="_25______F" hidden="1">#REF!</definedName>
    <definedName name="_25___0__123Grap" hidden="1">#REF!</definedName>
    <definedName name="_25__123Graph_LBL_CPOWER_MT" hidden="1">#REF!</definedName>
    <definedName name="_25__123Graph_XMOB_01" hidden="1">#REF!</definedName>
    <definedName name="_25_0_0_F" hidden="1">#REF!</definedName>
    <definedName name="_25_0_Dist_" hidden="1">#REF!</definedName>
    <definedName name="_25_3_0Crite">#REF!</definedName>
    <definedName name="_25¤§¤_¤¡" hidden="1">{#N/A,#N/A,FALSE,"Sheet1"}</definedName>
    <definedName name="_25000">#REF!</definedName>
    <definedName name="_25100">#REF!</definedName>
    <definedName name="_25101">#REF!</definedName>
    <definedName name="_25102">#REF!</definedName>
    <definedName name="_25200">#REF!</definedName>
    <definedName name="_25210">#REF!</definedName>
    <definedName name="_25211">#REF!</definedName>
    <definedName name="_25212">#REF!</definedName>
    <definedName name="_25213">#REF!</definedName>
    <definedName name="_25220">#REF!</definedName>
    <definedName name="_25221">#REF!</definedName>
    <definedName name="_25222">#REF!</definedName>
    <definedName name="_25223">#REF!</definedName>
    <definedName name="_253______________0_0_F" hidden="1">#REF!</definedName>
    <definedName name="_25300">#REF!</definedName>
    <definedName name="_25310">#REF!</definedName>
    <definedName name="_25311">#REF!</definedName>
    <definedName name="_25312">#REF!</definedName>
    <definedName name="_25313">#REF!</definedName>
    <definedName name="_25320">#REF!</definedName>
    <definedName name="_25321">#REF!</definedName>
    <definedName name="_25322">#REF!</definedName>
    <definedName name="_25323">#REF!</definedName>
    <definedName name="_254______________________________________________________________________________________________wrn.Ã¶°ñÁý°èÇ_._.5Ä­." hidden="1">{#N/A,#N/A,FALSE,"Sheet1"}</definedName>
    <definedName name="_25400">#REF!</definedName>
    <definedName name="_25406">#REF!</definedName>
    <definedName name="_25407">#REF!</definedName>
    <definedName name="_25408">#REF!</definedName>
    <definedName name="_25410">#REF!</definedName>
    <definedName name="_25411">#REF!</definedName>
    <definedName name="_25412">#REF!</definedName>
    <definedName name="_25413">#REF!</definedName>
    <definedName name="_25420">#REF!</definedName>
    <definedName name="_25500">#REF!</definedName>
    <definedName name="_25501">#REF!</definedName>
    <definedName name="_25502">#REF!</definedName>
    <definedName name="_256_____________________________________________________________________________________________¤§¤_¤¡" hidden="1">{#N/A,#N/A,FALSE,"Sheet1"}</definedName>
    <definedName name="_25600">#REF!</definedName>
    <definedName name="_25610">#REF!</definedName>
    <definedName name="_25611">#REF!</definedName>
    <definedName name="_25612">#REF!</definedName>
    <definedName name="_25620">#REF!</definedName>
    <definedName name="_25621">#REF!</definedName>
    <definedName name="_25622">#REF!</definedName>
    <definedName name="_25630">#REF!</definedName>
    <definedName name="_25631">#REF!</definedName>
    <definedName name="_25632">#REF!</definedName>
    <definedName name="_25640">#REF!</definedName>
    <definedName name="_25641">#REF!</definedName>
    <definedName name="_25642">#REF!</definedName>
    <definedName name="_25650">#REF!</definedName>
    <definedName name="_25651">#REF!</definedName>
    <definedName name="_25652">#REF!</definedName>
    <definedName name="_25700">#REF!</definedName>
    <definedName name="_25710">#REF!</definedName>
    <definedName name="_25711">#REF!</definedName>
    <definedName name="_25712">#REF!</definedName>
    <definedName name="_25720">#REF!</definedName>
    <definedName name="_25721">#REF!</definedName>
    <definedName name="_25722">#REF!</definedName>
    <definedName name="_25730">#REF!</definedName>
    <definedName name="_25731">#REF!</definedName>
    <definedName name="_25732">#REF!</definedName>
    <definedName name="_25740">#REF!</definedName>
    <definedName name="_25741">#REF!</definedName>
    <definedName name="_25742">#REF!</definedName>
    <definedName name="_25800">#REF!</definedName>
    <definedName name="_25810">#REF!</definedName>
    <definedName name="_25811">#REF!</definedName>
    <definedName name="_25812">#REF!</definedName>
    <definedName name="_25820">#REF!</definedName>
    <definedName name="_25821">#REF!</definedName>
    <definedName name="_25822">#REF!</definedName>
    <definedName name="_25AA1_">#REF!</definedName>
    <definedName name="_25B16500_" hidden="1">#REF!</definedName>
    <definedName name="_26">#N/A</definedName>
    <definedName name="_26____________________________________________________________________________________________________________________0_0_F" hidden="1">#REF!</definedName>
    <definedName name="_26__123Graph_XMOB_02" hidden="1">#REF!</definedName>
    <definedName name="_26_0_Dist_" hidden="1">#REF!</definedName>
    <definedName name="_26_3_0Criteria">#REF!</definedName>
    <definedName name="_26000">#REF!</definedName>
    <definedName name="_261_____________________________________________________________________________________________wrn.Ã¶°ñÁý°èÇ_._.5Ä­." hidden="1">{#N/A,#N/A,FALSE,"Sheet1"}</definedName>
    <definedName name="_26100">#REF!</definedName>
    <definedName name="_26120">#REF!</definedName>
    <definedName name="_26121">#REF!</definedName>
    <definedName name="_26122">#REF!</definedName>
    <definedName name="_26130">#REF!</definedName>
    <definedName name="_26131">#REF!</definedName>
    <definedName name="_26132">#REF!</definedName>
    <definedName name="_26140">#REF!</definedName>
    <definedName name="_26141">#REF!</definedName>
    <definedName name="_26142">#REF!</definedName>
    <definedName name="_26150">#REF!</definedName>
    <definedName name="_26151">#REF!</definedName>
    <definedName name="_26160">#REF!</definedName>
    <definedName name="_26161">#REF!</definedName>
    <definedName name="_26162">#REF!</definedName>
    <definedName name="_26163">#REF!</definedName>
    <definedName name="_26170">#REF!</definedName>
    <definedName name="_26171">#REF!</definedName>
    <definedName name="_26180">#REF!</definedName>
    <definedName name="_26181">#REF!</definedName>
    <definedName name="_26190">#REF!</definedName>
    <definedName name="_26191">#REF!</definedName>
    <definedName name="_26200">#REF!</definedName>
    <definedName name="_26220">#REF!</definedName>
    <definedName name="_26221">#REF!</definedName>
    <definedName name="_26222">#REF!</definedName>
    <definedName name="_26230">#REF!</definedName>
    <definedName name="_26231">#REF!</definedName>
    <definedName name="_26232">#REF!</definedName>
    <definedName name="_26240">#REF!</definedName>
    <definedName name="_26241">#REF!</definedName>
    <definedName name="_26242">#REF!</definedName>
    <definedName name="_26250">#REF!</definedName>
    <definedName name="_26251">#REF!</definedName>
    <definedName name="_26260">#REF!</definedName>
    <definedName name="_26261">#REF!</definedName>
    <definedName name="_26262">#REF!</definedName>
    <definedName name="_26263">#REF!</definedName>
    <definedName name="_26270">#REF!</definedName>
    <definedName name="_26271">#REF!</definedName>
    <definedName name="_26280">#REF!</definedName>
    <definedName name="_26281">#REF!</definedName>
    <definedName name="_26290">#REF!</definedName>
    <definedName name="_26291">#REF!</definedName>
    <definedName name="_263____________________________________________________________________________________________¤§¤_¤¡" hidden="1">{#N/A,#N/A,FALSE,"Sheet1"}</definedName>
    <definedName name="_26300">#REF!</definedName>
    <definedName name="_26320">#REF!</definedName>
    <definedName name="_26321">#REF!</definedName>
    <definedName name="_26322">#REF!</definedName>
    <definedName name="_26330">#REF!</definedName>
    <definedName name="_26331">#REF!</definedName>
    <definedName name="_26332">#REF!</definedName>
    <definedName name="_26340">#REF!</definedName>
    <definedName name="_26341">#REF!</definedName>
    <definedName name="_26342">#REF!</definedName>
    <definedName name="_26350">#REF!</definedName>
    <definedName name="_26351">#REF!</definedName>
    <definedName name="_26360">#REF!</definedName>
    <definedName name="_26361">#REF!</definedName>
    <definedName name="_26362">#REF!</definedName>
    <definedName name="_26363">#REF!</definedName>
    <definedName name="_26370">#REF!</definedName>
    <definedName name="_26371">#REF!</definedName>
    <definedName name="_26380">#REF!</definedName>
    <definedName name="_26381">#REF!</definedName>
    <definedName name="_26390">#REF!</definedName>
    <definedName name="_26391">#REF!</definedName>
    <definedName name="_264_______________0__123Grap" hidden="1">#REF!</definedName>
    <definedName name="_268____________________________________________________________________________________________wrn.Ã¶°ñÁý°èÇ_._.5Ä­." hidden="1">{#N/A,#N/A,FALSE,"Sheet1"}</definedName>
    <definedName name="_26C_">#REF!</definedName>
    <definedName name="_26S01_" hidden="1">#REF!</definedName>
    <definedName name="_27">#N/A</definedName>
    <definedName name="_27___________________________________________________________________________________________________________________0_0_F" hidden="1">#REF!</definedName>
    <definedName name="_27_0_0__123Grap" hidden="1">#REF!</definedName>
    <definedName name="_27_3_0Criteria">#REF!</definedName>
    <definedName name="_270___________________________________________________________________________________________¤§¤_¤¡" hidden="1">{#N/A,#N/A,FALSE,"Sheet1"}</definedName>
    <definedName name="_275___________________________________________________________________________________________wrn.Ã¶°ñÁý°èÇ_._.5Ä­." hidden="1">{#N/A,#N/A,FALSE,"Sheet1"}</definedName>
    <definedName name="_275_______________0_Dist_" hidden="1">#REF!</definedName>
    <definedName name="_277__________________________________________________________________________________________¤§¤_¤¡" hidden="1">{#N/A,#N/A,FALSE,"Sheet1"}</definedName>
    <definedName name="_27EE1_" hidden="1">{#N/A,#N/A,FALSE,"단가표지"}</definedName>
    <definedName name="_27G_0Extr">#REF!</definedName>
    <definedName name="_27S" hidden="1">#N/A</definedName>
    <definedName name="_27S01_" hidden="1">#REF!</definedName>
    <definedName name="_28">#N/A</definedName>
    <definedName name="_28__________________________________________________________________________________________________________________0_0_F" hidden="1">#REF!</definedName>
    <definedName name="_28_0__123Grap" hidden="1">#REF!</definedName>
    <definedName name="_28_0_0__123Grap" hidden="1">#REF!</definedName>
    <definedName name="_28_0_0_S" hidden="1">#REF!</definedName>
    <definedName name="_28_3__Crite">#REF!</definedName>
    <definedName name="_282__________________________________________________________________________________________wrn.Ã¶°ñÁý°èÇ_._.5Ä­." hidden="1">{#N/A,#N/A,FALSE,"Sheet1"}</definedName>
    <definedName name="_284_________________________________________________________________________________________¤§¤_¤¡" hidden="1">{#N/A,#N/A,FALSE,"Sheet1"}</definedName>
    <definedName name="_286_____________0_0__123Grap" hidden="1">#REF!</definedName>
    <definedName name="_28G_0Extract">#REF!</definedName>
    <definedName name="_28P3_" hidden="1">{#N/A,#N/A,FALSE,"배수1"}</definedName>
    <definedName name="_28S01_" hidden="1">#REF!</definedName>
    <definedName name="_29">#N/A</definedName>
    <definedName name="_29_________________________________________________________________________________________________________________0_0_F" hidden="1">#REF!</definedName>
    <definedName name="_29__123Graph_LBL_DENE_VVVF" hidden="1">#REF!</definedName>
    <definedName name="_29_0__123Grap" hidden="1">#REF!</definedName>
    <definedName name="_29_0_0__123Grap" hidden="1">#REF!</definedName>
    <definedName name="_29_0_0_S" hidden="1">#REF!</definedName>
    <definedName name="_29_0_Dist_" hidden="1">#REF!</definedName>
    <definedName name="_29_3__Criteria">#REF!</definedName>
    <definedName name="_291_________________________________________________________________________________________wrn.Ã¶°ñÁý°èÇ_._.5Ä­." hidden="1">{#N/A,#N/A,FALSE,"Sheet1"}</definedName>
    <definedName name="_293________________________________________________________________________________________¤§¤_¤¡" hidden="1">{#N/A,#N/A,FALSE,"Sheet1"}</definedName>
    <definedName name="_297_____________0_0_F" hidden="1">#REF!</definedName>
    <definedName name="_29G__Extr">#REF!</definedName>
    <definedName name="_29P4_" hidden="1">{#N/A,#N/A,FALSE,"혼합골재"}</definedName>
    <definedName name="_2경비실_도장공사">#REF!</definedName>
    <definedName name="_2공장">#REF!</definedName>
    <definedName name="_2월">#REF!</definedName>
    <definedName name="_2차결제일">#N/A</definedName>
    <definedName name="_2A_1">#REF!</definedName>
    <definedName name="_2A_10">#REF!</definedName>
    <definedName name="_2A_11">#REF!</definedName>
    <definedName name="_2A_12">#REF!</definedName>
    <definedName name="_2A_13">#REF!</definedName>
    <definedName name="_2A_14">#REF!</definedName>
    <definedName name="_2A_15">#REF!</definedName>
    <definedName name="_2A_16">#REF!</definedName>
    <definedName name="_2A_17">#REF!</definedName>
    <definedName name="_2A_18">#REF!</definedName>
    <definedName name="_2A_19">#REF!</definedName>
    <definedName name="_2A_2">#REF!</definedName>
    <definedName name="_2A_20">#REF!</definedName>
    <definedName name="_2A_21">#REF!</definedName>
    <definedName name="_2A_22">#REF!</definedName>
    <definedName name="_2A_23">#REF!</definedName>
    <definedName name="_2A_24">#REF!</definedName>
    <definedName name="_2A_25">#REF!</definedName>
    <definedName name="_2A_26">#REF!</definedName>
    <definedName name="_2A_27">#REF!</definedName>
    <definedName name="_2A_28">#REF!</definedName>
    <definedName name="_2A_29">#REF!</definedName>
    <definedName name="_2A_3">#REF!</definedName>
    <definedName name="_2A_30">#REF!</definedName>
    <definedName name="_2A_4">#REF!</definedName>
    <definedName name="_2A_5">#REF!</definedName>
    <definedName name="_2A_6">#REF!</definedName>
    <definedName name="_2A_7">#REF!</definedName>
    <definedName name="_2A_8">#REF!</definedName>
    <definedName name="_2A_9">#REF!</definedName>
    <definedName name="_2B_1">#REF!</definedName>
    <definedName name="_2B_10">#REF!</definedName>
    <definedName name="_2B_11">#REF!</definedName>
    <definedName name="_2B_12">#REF!</definedName>
    <definedName name="_2B_13">#REF!</definedName>
    <definedName name="_2B_14">#REF!</definedName>
    <definedName name="_2B_15">#REF!</definedName>
    <definedName name="_2B_16">#REF!</definedName>
    <definedName name="_2B_17">#REF!</definedName>
    <definedName name="_2B_18">#REF!</definedName>
    <definedName name="_2B_19">#REF!</definedName>
    <definedName name="_2B_2">#REF!</definedName>
    <definedName name="_2B_20">#REF!</definedName>
    <definedName name="_2B_21">#REF!</definedName>
    <definedName name="_2B_22">#REF!</definedName>
    <definedName name="_2B_23">#REF!</definedName>
    <definedName name="_2B_24">#REF!</definedName>
    <definedName name="_2B_25">#REF!</definedName>
    <definedName name="_2B_26">#REF!</definedName>
    <definedName name="_2B_27">#REF!</definedName>
    <definedName name="_2B_28">#REF!</definedName>
    <definedName name="_2B_29">#REF!</definedName>
    <definedName name="_2B_3">#REF!</definedName>
    <definedName name="_2B_30">#REF!</definedName>
    <definedName name="_2B_4">#REF!</definedName>
    <definedName name="_2B_5">#REF!</definedName>
    <definedName name="_2B_6">#REF!</definedName>
    <definedName name="_2B_7">#REF!</definedName>
    <definedName name="_2B_8">#REF!</definedName>
    <definedName name="_2B_9">#REF!</definedName>
    <definedName name="_2C_1">#REF!</definedName>
    <definedName name="_2C_10">#REF!</definedName>
    <definedName name="_2C_11">#REF!</definedName>
    <definedName name="_2C_12">#REF!</definedName>
    <definedName name="_2C_13">#REF!</definedName>
    <definedName name="_2C_14">#REF!</definedName>
    <definedName name="_2C_15">#REF!</definedName>
    <definedName name="_2C_16">#REF!</definedName>
    <definedName name="_2C_17">#REF!</definedName>
    <definedName name="_2C_18">#REF!</definedName>
    <definedName name="_2C_19">#REF!</definedName>
    <definedName name="_2C_2">#REF!</definedName>
    <definedName name="_2C_20">#REF!</definedName>
    <definedName name="_2C_21">#REF!</definedName>
    <definedName name="_2C_22">#REF!</definedName>
    <definedName name="_2C_23">#REF!</definedName>
    <definedName name="_2C_24">#REF!</definedName>
    <definedName name="_2C_25">#REF!</definedName>
    <definedName name="_2C_26">#REF!</definedName>
    <definedName name="_2C_27">#REF!</definedName>
    <definedName name="_2C_28">#REF!</definedName>
    <definedName name="_2C_29">#REF!</definedName>
    <definedName name="_2C_3">#REF!</definedName>
    <definedName name="_2C_30">#REF!</definedName>
    <definedName name="_2C_4">#REF!</definedName>
    <definedName name="_2C_5">#REF!</definedName>
    <definedName name="_2C_6">#REF!</definedName>
    <definedName name="_2C_7">#REF!</definedName>
    <definedName name="_2C_8">#REF!</definedName>
    <definedName name="_2C_9">#REF!</definedName>
    <definedName name="_2Dist_" hidden="1">#REF!</definedName>
    <definedName name="_2EE2_" hidden="1">{#N/A,#N/A,FALSE,"단가표지"}</definedName>
    <definedName name="_2Excel_BuiltIn_Print_Titles_1_1">#REF!</definedName>
    <definedName name="_2F" hidden="1">#REF!</definedName>
    <definedName name="_2P3_" hidden="1">{#N/A,#N/A,FALSE,"배수1"}</definedName>
    <definedName name="_2q45_" hidden="1">{"'용역비'!$A$4:$C$8"}</definedName>
    <definedName name="_2S" hidden="1">#REF!</definedName>
    <definedName name="_2wrn.Ã¶°ñÁý°èÇ_._.5Ä­." hidden="1">{#N/A,#N/A,FALSE,"Sheet1"}</definedName>
    <definedName name="_3">#N/A</definedName>
    <definedName name="_3___________________________________________________________________________________________________________________________________________0_0_F" hidden="1">#REF!</definedName>
    <definedName name="_3______123Grap" hidden="1">#REF!</definedName>
    <definedName name="_3_____F" hidden="1">#REF!</definedName>
    <definedName name="_3____0_0_F" hidden="1">#REF!</definedName>
    <definedName name="_3___0__123Grap" hidden="1">#REF!</definedName>
    <definedName name="_3___0_0_S" hidden="1">#REF!</definedName>
    <definedName name="_3___0_S" hidden="1">#REF!</definedName>
    <definedName name="_3__123Graph_BCHART_2" hidden="1">#REF!</definedName>
    <definedName name="_3__123Graph_BENE_VVVF" hidden="1">#REF!</definedName>
    <definedName name="_3_?쾴?">#REF!</definedName>
    <definedName name="_3_0__123Grap" hidden="1">#REF!</definedName>
    <definedName name="_3_0_0_F" hidden="1">#REF!</definedName>
    <definedName name="_3_0_Dist_" hidden="1">#REF!</definedName>
    <definedName name="_3_0_S" hidden="1">#REF!</definedName>
    <definedName name="_3_0\LA">#REF!</definedName>
    <definedName name="_3_123Grap" hidden="1">#REF!</definedName>
    <definedName name="_3_2_5">#REF!</definedName>
    <definedName name="_3_3__Crite">#REF!</definedName>
    <definedName name="_3.상수공">#N/A</definedName>
    <definedName name="_3\MID">#REF!</definedName>
    <definedName name="_3¤§¤_¤¡" hidden="1">{#N/A,#N/A,FALSE,"Sheet1"}</definedName>
    <definedName name="_30">#N/A</definedName>
    <definedName name="_30________________________________________________________________________________________________________________0_0_F" hidden="1">#REF!</definedName>
    <definedName name="_30__0_0_F" hidden="1">#REF!</definedName>
    <definedName name="_30_0_0_F" hidden="1">#REF!</definedName>
    <definedName name="_30_0_0_K" hidden="1">#REF!</definedName>
    <definedName name="_30_0_Dist_" hidden="1">#REF!</definedName>
    <definedName name="_30_123Grap" hidden="1">#REF!</definedName>
    <definedName name="_300________________________________________________________________________________________wrn.Ã¶°ñÁý°èÇ_._.5Ä­." hidden="1">{#N/A,#N/A,FALSE,"Sheet1"}</definedName>
    <definedName name="_30000">#REF!</definedName>
    <definedName name="_302_______________________________________________________________________________________¤§¤_¤¡" hidden="1">{#N/A,#N/A,FALSE,"Sheet1"}</definedName>
    <definedName name="_308______________0__123Grap" hidden="1">#REF!</definedName>
    <definedName name="_309_______________________________________________________________________________________wrn.Ã¶°ñÁý°èÇ_._.5Ä­." hidden="1">{#N/A,#N/A,FALSE,"Sheet1"}</definedName>
    <definedName name="_30신설일위대가">#REF!</definedName>
    <definedName name="_30a122_" hidden="1">{#N/A,#N/A,FALSE,"속도"}</definedName>
    <definedName name="_30AA1_">#REF!</definedName>
    <definedName name="_30G__Extract">#REF!</definedName>
    <definedName name="_30P5_" hidden="1">{#N/A,#N/A,FALSE,"배수1"}</definedName>
    <definedName name="_30S" hidden="1">#REF!</definedName>
    <definedName name="_30wrn.Ã¶°ñÁý°èÇ_._.5Ä­." hidden="1">{#N/A,#N/A,FALSE,"Sheet1"}</definedName>
    <definedName name="_31">#N/A</definedName>
    <definedName name="_31_______________________________________________________________________________________________________________0_0_F" hidden="1">#REF!</definedName>
    <definedName name="_31_0_0_F" hidden="1">#REF!</definedName>
    <definedName name="_31_0_Dist_" hidden="1">#REF!</definedName>
    <definedName name="_31000">#REF!</definedName>
    <definedName name="_311______________________________________________________________________________________¤§¤_¤¡" hidden="1">{#N/A,#N/A,FALSE,"Sheet1"}</definedName>
    <definedName name="_31100">#REF!</definedName>
    <definedName name="_31101">#REF!</definedName>
    <definedName name="_31102">#REF!</definedName>
    <definedName name="_31103">#REF!</definedName>
    <definedName name="_31104">#REF!</definedName>
    <definedName name="_31105">#REF!</definedName>
    <definedName name="_31106">#REF!</definedName>
    <definedName name="_31200">#REF!</definedName>
    <definedName name="_31210">#REF!</definedName>
    <definedName name="_31211">#REF!</definedName>
    <definedName name="_31212">#REF!</definedName>
    <definedName name="_31213">#REF!</definedName>
    <definedName name="_31214">#REF!</definedName>
    <definedName name="_31215">#REF!</definedName>
    <definedName name="_31216">#REF!</definedName>
    <definedName name="_31217">#REF!</definedName>
    <definedName name="_31218">#REF!</definedName>
    <definedName name="_31219">#REF!</definedName>
    <definedName name="_31230">#REF!</definedName>
    <definedName name="_31231">#REF!</definedName>
    <definedName name="_31232">#REF!</definedName>
    <definedName name="_31233">#REF!</definedName>
    <definedName name="_31234">#REF!</definedName>
    <definedName name="_31235">#REF!</definedName>
    <definedName name="_31236">#REF!</definedName>
    <definedName name="_31237">#REF!</definedName>
    <definedName name="_31300">#REF!</definedName>
    <definedName name="_31301">#REF!</definedName>
    <definedName name="_31302">#REF!</definedName>
    <definedName name="_31303">#REF!</definedName>
    <definedName name="_31304">#REF!</definedName>
    <definedName name="_31305">#REF!</definedName>
    <definedName name="_31306">#REF!</definedName>
    <definedName name="_31307">#REF!</definedName>
    <definedName name="_31308">#REF!</definedName>
    <definedName name="_31309">#REF!</definedName>
    <definedName name="_31310">#REF!</definedName>
    <definedName name="_31311">#REF!</definedName>
    <definedName name="_31312">#REF!</definedName>
    <definedName name="_31313">#REF!</definedName>
    <definedName name="_31314">#REF!</definedName>
    <definedName name="_31351">#REF!</definedName>
    <definedName name="_31352">#REF!</definedName>
    <definedName name="_31353">#REF!</definedName>
    <definedName name="_31354">#REF!</definedName>
    <definedName name="_31355">#REF!</definedName>
    <definedName name="_31356">#REF!</definedName>
    <definedName name="_31357">#REF!</definedName>
    <definedName name="_31358">#REF!</definedName>
    <definedName name="_31359">#REF!</definedName>
    <definedName name="_31360">#REF!</definedName>
    <definedName name="_31361">#REF!</definedName>
    <definedName name="_31362">#REF!</definedName>
    <definedName name="_31363">#REF!</definedName>
    <definedName name="_31364">#REF!</definedName>
    <definedName name="_31400">#REF!</definedName>
    <definedName name="_31401">#REF!</definedName>
    <definedName name="_31402">#REF!</definedName>
    <definedName name="_31403">#REF!</definedName>
    <definedName name="_31404">#REF!</definedName>
    <definedName name="_31405">#REF!</definedName>
    <definedName name="_31406">#REF!</definedName>
    <definedName name="_31407">#REF!</definedName>
    <definedName name="_31408">#REF!</definedName>
    <definedName name="_31409">#REF!</definedName>
    <definedName name="_31410">#REF!</definedName>
    <definedName name="_31411">#REF!</definedName>
    <definedName name="_31412">#REF!</definedName>
    <definedName name="_31413">#REF!</definedName>
    <definedName name="_31414">#REF!</definedName>
    <definedName name="_31415">#REF!</definedName>
    <definedName name="_31451">#REF!</definedName>
    <definedName name="_31452">#REF!</definedName>
    <definedName name="_31453">#REF!</definedName>
    <definedName name="_31454">#REF!</definedName>
    <definedName name="_31455">#REF!</definedName>
    <definedName name="_31456">#REF!</definedName>
    <definedName name="_31457">#REF!</definedName>
    <definedName name="_31458">#REF!</definedName>
    <definedName name="_31459">#REF!</definedName>
    <definedName name="_31460">#REF!</definedName>
    <definedName name="_31461">#REF!</definedName>
    <definedName name="_31462">#REF!</definedName>
    <definedName name="_31463">#REF!</definedName>
    <definedName name="_31464">#REF!</definedName>
    <definedName name="_31500">#REF!</definedName>
    <definedName name="_31501">#REF!</definedName>
    <definedName name="_31502">#REF!</definedName>
    <definedName name="_31503">#REF!</definedName>
    <definedName name="_31504">#REF!</definedName>
    <definedName name="_31505">#REF!</definedName>
    <definedName name="_31506">#REF!</definedName>
    <definedName name="_31507">#REF!</definedName>
    <definedName name="_31508">#REF!</definedName>
    <definedName name="_31509">#REF!</definedName>
    <definedName name="_31510">#REF!</definedName>
    <definedName name="_31511">#REF!</definedName>
    <definedName name="_31512">#REF!</definedName>
    <definedName name="_31513">#REF!</definedName>
    <definedName name="_31514">#REF!</definedName>
    <definedName name="_31515">#REF!</definedName>
    <definedName name="_31516">#REF!</definedName>
    <definedName name="_31517">#REF!</definedName>
    <definedName name="_31518">#REF!</definedName>
    <definedName name="_31519">#REF!</definedName>
    <definedName name="_31600">#REF!</definedName>
    <definedName name="_31601">#REF!</definedName>
    <definedName name="_31602">#REF!</definedName>
    <definedName name="_31603">#REF!</definedName>
    <definedName name="_31604">#REF!</definedName>
    <definedName name="_31605">#REF!</definedName>
    <definedName name="_31606">#REF!</definedName>
    <definedName name="_31607">#REF!</definedName>
    <definedName name="_31608">#REF!</definedName>
    <definedName name="_31609">#REF!</definedName>
    <definedName name="_31610">#REF!</definedName>
    <definedName name="_31611">#REF!</definedName>
    <definedName name="_31612">#REF!</definedName>
    <definedName name="_31613">#REF!</definedName>
    <definedName name="_31614">#REF!</definedName>
    <definedName name="_31615">#REF!</definedName>
    <definedName name="_31616">#REF!</definedName>
    <definedName name="_31617">#REF!</definedName>
    <definedName name="_31700">#REF!</definedName>
    <definedName name="_31701">#REF!</definedName>
    <definedName name="_31702">#REF!</definedName>
    <definedName name="_31703">#REF!</definedName>
    <definedName name="_31704">#REF!</definedName>
    <definedName name="_31705">#REF!</definedName>
    <definedName name="_31706">#REF!</definedName>
    <definedName name="_31707">#REF!</definedName>
    <definedName name="_31708">#REF!</definedName>
    <definedName name="_31709">#REF!</definedName>
    <definedName name="_31710">#REF!</definedName>
    <definedName name="_31711">#REF!</definedName>
    <definedName name="_31712">#REF!</definedName>
    <definedName name="_31713">#REF!</definedName>
    <definedName name="_31714">#REF!</definedName>
    <definedName name="_31715">#REF!</definedName>
    <definedName name="_31716">#REF!</definedName>
    <definedName name="_31717">#REF!</definedName>
    <definedName name="_318______________________________________________________________________________________wrn.Ã¶°ñÁý°èÇ_._.5Ä­." hidden="1">{#N/A,#N/A,FALSE,"Sheet1"}</definedName>
    <definedName name="_31800">#REF!</definedName>
    <definedName name="_31801">#REF!</definedName>
    <definedName name="_31802">#REF!</definedName>
    <definedName name="_31803">#REF!</definedName>
    <definedName name="_31804">#REF!</definedName>
    <definedName name="_31805">#REF!</definedName>
    <definedName name="_31806">#REF!</definedName>
    <definedName name="_31807">#REF!</definedName>
    <definedName name="_31808">#REF!</definedName>
    <definedName name="_31809">#REF!</definedName>
    <definedName name="_31810">#REF!</definedName>
    <definedName name="_31811">#REF!</definedName>
    <definedName name="_31812">#REF!</definedName>
    <definedName name="_31813">#REF!</definedName>
    <definedName name="_31814">#REF!</definedName>
    <definedName name="_31815">#REF!</definedName>
    <definedName name="_31816">#REF!</definedName>
    <definedName name="_31817">#REF!</definedName>
    <definedName name="_319______________0_Dist_" hidden="1">#REF!</definedName>
    <definedName name="_31a122_" hidden="1">{#N/A,#N/A,FALSE,"속도"}</definedName>
    <definedName name="_31B20996_">#REF!</definedName>
    <definedName name="_31hh1_">#REF!</definedName>
    <definedName name="_31P4_" hidden="1">{#N/A,#N/A,FALSE,"혼합골재"}</definedName>
    <definedName name="_31P6_" hidden="1">{#N/A,#N/A,FALSE,"2~8번"}</definedName>
    <definedName name="_32">#N/A</definedName>
    <definedName name="_32______________________________________________________________________________________________________________0_0_F" hidden="1">#REF!</definedName>
    <definedName name="_32_0_0_F" hidden="1">#REF!</definedName>
    <definedName name="_32_0_Dist_" hidden="1">#REF!</definedName>
    <definedName name="_32_10">#N/A</definedName>
    <definedName name="_320_____________________________________________________________________________________¤§¤_¤¡" hidden="1">{#N/A,#N/A,FALSE,"Sheet1"}</definedName>
    <definedName name="_32000">#REF!</definedName>
    <definedName name="_32100">#REF!</definedName>
    <definedName name="_32101">#REF!</definedName>
    <definedName name="_32102">#REF!</definedName>
    <definedName name="_32103">#REF!</definedName>
    <definedName name="_32104">#REF!</definedName>
    <definedName name="_32105">#REF!</definedName>
    <definedName name="_32106">#REF!</definedName>
    <definedName name="_32107">#REF!</definedName>
    <definedName name="_32108">#REF!</definedName>
    <definedName name="_32109">#REF!</definedName>
    <definedName name="_32110">#REF!</definedName>
    <definedName name="_32111">#REF!</definedName>
    <definedName name="_32112">#REF!</definedName>
    <definedName name="_32113">#REF!</definedName>
    <definedName name="_32114">#REF!</definedName>
    <definedName name="_32151">#REF!</definedName>
    <definedName name="_32152">#REF!</definedName>
    <definedName name="_32153">#REF!</definedName>
    <definedName name="_32154">#REF!</definedName>
    <definedName name="_32155">#REF!</definedName>
    <definedName name="_32156">#REF!</definedName>
    <definedName name="_32157">#REF!</definedName>
    <definedName name="_32158">#REF!</definedName>
    <definedName name="_32159">#REF!</definedName>
    <definedName name="_32160">#REF!</definedName>
    <definedName name="_32161">#REF!</definedName>
    <definedName name="_32162">#REF!</definedName>
    <definedName name="_32163">#REF!</definedName>
    <definedName name="_32200">#REF!</definedName>
    <definedName name="_32201">#REF!</definedName>
    <definedName name="_32202">#REF!</definedName>
    <definedName name="_32203">#REF!</definedName>
    <definedName name="_32204">#REF!</definedName>
    <definedName name="_32205">#REF!</definedName>
    <definedName name="_32206">#REF!</definedName>
    <definedName name="_32207">#REF!</definedName>
    <definedName name="_32208">#REF!</definedName>
    <definedName name="_32209">#REF!</definedName>
    <definedName name="_32210">#REF!</definedName>
    <definedName name="_32211">#REF!</definedName>
    <definedName name="_32212">#REF!</definedName>
    <definedName name="_32213">#REF!</definedName>
    <definedName name="_32214">#REF!</definedName>
    <definedName name="_32215">#REF!</definedName>
    <definedName name="_32231">#REF!</definedName>
    <definedName name="_32232">#REF!</definedName>
    <definedName name="_32233">#REF!</definedName>
    <definedName name="_32234">#REF!</definedName>
    <definedName name="_32235">#REF!</definedName>
    <definedName name="_32236">#REF!</definedName>
    <definedName name="_32251">#REF!</definedName>
    <definedName name="_32252">#REF!</definedName>
    <definedName name="_32253">#REF!</definedName>
    <definedName name="_32254">#REF!</definedName>
    <definedName name="_32255">#REF!</definedName>
    <definedName name="_32256">#REF!</definedName>
    <definedName name="_32257">#REF!</definedName>
    <definedName name="_32258">#REF!</definedName>
    <definedName name="_32259">#REF!</definedName>
    <definedName name="_32260">#REF!</definedName>
    <definedName name="_32261">#REF!</definedName>
    <definedName name="_32262">#REF!</definedName>
    <definedName name="_32263">#REF!</definedName>
    <definedName name="_32264">#REF!</definedName>
    <definedName name="_32300">#REF!</definedName>
    <definedName name="_32301">#REF!</definedName>
    <definedName name="_32302">#REF!</definedName>
    <definedName name="_32303">#REF!</definedName>
    <definedName name="_32304">#REF!</definedName>
    <definedName name="_32305">#REF!</definedName>
    <definedName name="_32306">#REF!</definedName>
    <definedName name="_32307">#REF!</definedName>
    <definedName name="_32308">#REF!</definedName>
    <definedName name="_32309">#REF!</definedName>
    <definedName name="_32310">#REF!</definedName>
    <definedName name="_32311">#REF!</definedName>
    <definedName name="_32312">#REF!</definedName>
    <definedName name="_32313">#REF!</definedName>
    <definedName name="_32314">#REF!</definedName>
    <definedName name="_32315">#REF!</definedName>
    <definedName name="_32316">#REF!</definedName>
    <definedName name="_32317">#REF!</definedName>
    <definedName name="_32318">#REF!</definedName>
    <definedName name="_32319">#REF!</definedName>
    <definedName name="_32400">#REF!</definedName>
    <definedName name="_32401">#REF!</definedName>
    <definedName name="_32402">#REF!</definedName>
    <definedName name="_32403">#REF!</definedName>
    <definedName name="_32404">#REF!</definedName>
    <definedName name="_32405">#REF!</definedName>
    <definedName name="_32406">#REF!</definedName>
    <definedName name="_32407">#REF!</definedName>
    <definedName name="_32408">#REF!</definedName>
    <definedName name="_32409">#REF!</definedName>
    <definedName name="_32410">#REF!</definedName>
    <definedName name="_32411">#REF!</definedName>
    <definedName name="_32412">#REF!</definedName>
    <definedName name="_32413">#REF!</definedName>
    <definedName name="_32414">#REF!</definedName>
    <definedName name="_32415">#REF!</definedName>
    <definedName name="_32416">#REF!</definedName>
    <definedName name="_32417">#REF!</definedName>
    <definedName name="_32500">#REF!</definedName>
    <definedName name="_32501">#REF!</definedName>
    <definedName name="_32502">#REF!</definedName>
    <definedName name="_32503">#REF!</definedName>
    <definedName name="_32504">#REF!</definedName>
    <definedName name="_32505">#REF!</definedName>
    <definedName name="_32506">#REF!</definedName>
    <definedName name="_32507">#REF!</definedName>
    <definedName name="_32508">#REF!</definedName>
    <definedName name="_32509">#REF!</definedName>
    <definedName name="_32510">#REF!</definedName>
    <definedName name="_32511">#REF!</definedName>
    <definedName name="_32512">#REF!</definedName>
    <definedName name="_32513">#REF!</definedName>
    <definedName name="_32514">#REF!</definedName>
    <definedName name="_32515">#REF!</definedName>
    <definedName name="_32516">#REF!</definedName>
    <definedName name="_32517">#REF!</definedName>
    <definedName name="_32600">#REF!</definedName>
    <definedName name="_32601">#REF!</definedName>
    <definedName name="_32602">#REF!</definedName>
    <definedName name="_32603">#REF!</definedName>
    <definedName name="_32604">#REF!</definedName>
    <definedName name="_32605">#REF!</definedName>
    <definedName name="_32606">#REF!</definedName>
    <definedName name="_32607">#REF!</definedName>
    <definedName name="_32608">#REF!</definedName>
    <definedName name="_32609">#REF!</definedName>
    <definedName name="_32610">#REF!</definedName>
    <definedName name="_32611">#REF!</definedName>
    <definedName name="_32612">#REF!</definedName>
    <definedName name="_32613">#REF!</definedName>
    <definedName name="_32614">#REF!</definedName>
    <definedName name="_32615">#REF!</definedName>
    <definedName name="_32616">#REF!</definedName>
    <definedName name="_32617">#REF!</definedName>
    <definedName name="_327_____________________________________________________________________________________wrn.Ã¶°ñÁý°èÇ_._.5Ä­." hidden="1">{#N/A,#N/A,FALSE,"Sheet1"}</definedName>
    <definedName name="_329____________________________________________________________________________________¤§¤_¤¡" hidden="1">{#N/A,#N/A,FALSE,"Sheet1"}</definedName>
    <definedName name="_32G_0Extr">#REF!</definedName>
    <definedName name="_32hh2_">#REF!</definedName>
    <definedName name="_32K123_" hidden="1">{#N/A,#N/A,FALSE,"현장 NCR 분석";#N/A,#N/A,FALSE,"현장품질감사";#N/A,#N/A,FALSE,"현장품질감사"}</definedName>
    <definedName name="_32M1_" hidden="1">#REF!</definedName>
    <definedName name="_32S3_" hidden="1">{#N/A,#N/A,FALSE,"포장2"}</definedName>
    <definedName name="_32wrn.Ã¶°ñÁý°èÇ_._.5Ä­." hidden="1">{#N/A,#N/A,FALSE,"Sheet1"}</definedName>
    <definedName name="_33">#N/A</definedName>
    <definedName name="_33_____________________________________________________________________________________________________________0_0_F" hidden="1">#REF!</definedName>
    <definedName name="_33___________________0_0_F" hidden="1">#REF!</definedName>
    <definedName name="_33__123Graph_LBL_DPOWER_MT" hidden="1">#REF!</definedName>
    <definedName name="_33_11">#N/A</definedName>
    <definedName name="_330____________0_0__123Grap" hidden="1">#REF!</definedName>
    <definedName name="_33000">#REF!</definedName>
    <definedName name="_33100">#REF!</definedName>
    <definedName name="_33101">#REF!</definedName>
    <definedName name="_33102">#REF!</definedName>
    <definedName name="_33103">#REF!</definedName>
    <definedName name="_33104">#REF!</definedName>
    <definedName name="_33105">#REF!</definedName>
    <definedName name="_33106">#REF!</definedName>
    <definedName name="_33107">#REF!</definedName>
    <definedName name="_33108">#REF!</definedName>
    <definedName name="_33109">#REF!</definedName>
    <definedName name="_33110">#REF!</definedName>
    <definedName name="_33111">#REF!</definedName>
    <definedName name="_33112">#REF!</definedName>
    <definedName name="_33113">#REF!</definedName>
    <definedName name="_33114">#REF!</definedName>
    <definedName name="_33115">#REF!</definedName>
    <definedName name="_33116">#REF!</definedName>
    <definedName name="_33117">#REF!</definedName>
    <definedName name="_33118">#REF!</definedName>
    <definedName name="_33119">#REF!</definedName>
    <definedName name="_33120">#REF!</definedName>
    <definedName name="_33121">#REF!</definedName>
    <definedName name="_33200">#REF!</definedName>
    <definedName name="_33201">#REF!</definedName>
    <definedName name="_33202">#REF!</definedName>
    <definedName name="_33203">#REF!</definedName>
    <definedName name="_33204">#REF!</definedName>
    <definedName name="_33205">#REF!</definedName>
    <definedName name="_33206">#REF!</definedName>
    <definedName name="_33207">#REF!</definedName>
    <definedName name="_33208">#REF!</definedName>
    <definedName name="_33209">#REF!</definedName>
    <definedName name="_33210">#REF!</definedName>
    <definedName name="_33211">#REF!</definedName>
    <definedName name="_33212">#REF!</definedName>
    <definedName name="_33213">#REF!</definedName>
    <definedName name="_33214">#REF!</definedName>
    <definedName name="_33215">#REF!</definedName>
    <definedName name="_33216">#REF!</definedName>
    <definedName name="_33217">#REF!</definedName>
    <definedName name="_33218">#REF!</definedName>
    <definedName name="_33300">#REF!</definedName>
    <definedName name="_33301">#REF!</definedName>
    <definedName name="_33302">#REF!</definedName>
    <definedName name="_33303">#REF!</definedName>
    <definedName name="_33304">#REF!</definedName>
    <definedName name="_33305">#REF!</definedName>
    <definedName name="_33306">#REF!</definedName>
    <definedName name="_33307">#REF!</definedName>
    <definedName name="_33308">#REF!</definedName>
    <definedName name="_33309">#REF!</definedName>
    <definedName name="_33310">#REF!</definedName>
    <definedName name="_33311">#REF!</definedName>
    <definedName name="_33312">#REF!</definedName>
    <definedName name="_33313">#REF!</definedName>
    <definedName name="_33314">#REF!</definedName>
    <definedName name="_33315">#REF!</definedName>
    <definedName name="_33316">#REF!</definedName>
    <definedName name="_33317">#REF!</definedName>
    <definedName name="_33318">#REF!</definedName>
    <definedName name="_33400">#REF!</definedName>
    <definedName name="_33401">#REF!</definedName>
    <definedName name="_33402">#REF!</definedName>
    <definedName name="_33403">#REF!</definedName>
    <definedName name="_33404">#REF!</definedName>
    <definedName name="_33405">#REF!</definedName>
    <definedName name="_33406">#REF!</definedName>
    <definedName name="_33407">#REF!</definedName>
    <definedName name="_33408">#REF!</definedName>
    <definedName name="_33409">#REF!</definedName>
    <definedName name="_33410">#REF!</definedName>
    <definedName name="_33411">#REF!</definedName>
    <definedName name="_33412">#REF!</definedName>
    <definedName name="_33413">#REF!</definedName>
    <definedName name="_33414">#REF!</definedName>
    <definedName name="_33415">#REF!</definedName>
    <definedName name="_33416">#REF!</definedName>
    <definedName name="_336____________________________________________________________________________________wrn.Ã¶°ñÁý°èÇ_._.5Ä­." hidden="1">{#N/A,#N/A,FALSE,"Sheet1"}</definedName>
    <definedName name="_338___________________________________________________________________________________¤§¤_¤¡" hidden="1">{#N/A,#N/A,FALSE,"Sheet1"}</definedName>
    <definedName name="_33평">#REF!</definedName>
    <definedName name="_33EE1_" hidden="1">{#N/A,#N/A,FALSE,"단가표지"}</definedName>
    <definedName name="_33EE2_" hidden="1">{#N/A,#N/A,FALSE,"단가표지"}</definedName>
    <definedName name="_33G_0Extr">#REF!</definedName>
    <definedName name="_33S" hidden="1">#N/A</definedName>
    <definedName name="_34">#N/A</definedName>
    <definedName name="_34____________________________________________________________________________________________________________0_0_F" hidden="1">#REF!</definedName>
    <definedName name="_34__123Graph_LBL_EENE_VVVF" hidden="1">#REF!</definedName>
    <definedName name="_34_3_0Crite">#N/A</definedName>
    <definedName name="_34000">#REF!</definedName>
    <definedName name="_341____________0_0_F" hidden="1">#REF!</definedName>
    <definedName name="_34100">#REF!</definedName>
    <definedName name="_34101">#REF!</definedName>
    <definedName name="_34102">#REF!</definedName>
    <definedName name="_34103">#REF!</definedName>
    <definedName name="_34104">#REF!</definedName>
    <definedName name="_34105">#REF!</definedName>
    <definedName name="_34106">#REF!</definedName>
    <definedName name="_34107">#REF!</definedName>
    <definedName name="_34108">#REF!</definedName>
    <definedName name="_34109">#REF!</definedName>
    <definedName name="_34110">#REF!</definedName>
    <definedName name="_34111">#REF!</definedName>
    <definedName name="_34112">#REF!</definedName>
    <definedName name="_34113">#REF!</definedName>
    <definedName name="_34114">#REF!</definedName>
    <definedName name="_34115">#REF!</definedName>
    <definedName name="_34116">#REF!</definedName>
    <definedName name="_34117">#REF!</definedName>
    <definedName name="_34118">#REF!</definedName>
    <definedName name="_34119">#REF!</definedName>
    <definedName name="_34120">#REF!</definedName>
    <definedName name="_34121">#REF!</definedName>
    <definedName name="_34151">#REF!</definedName>
    <definedName name="_34152">#REF!</definedName>
    <definedName name="_34153">#REF!</definedName>
    <definedName name="_34154">#REF!</definedName>
    <definedName name="_34155">#REF!</definedName>
    <definedName name="_34156">#REF!</definedName>
    <definedName name="_34157">#REF!</definedName>
    <definedName name="_34158">#REF!</definedName>
    <definedName name="_34159">#REF!</definedName>
    <definedName name="_34160">#REF!</definedName>
    <definedName name="_34161">#REF!</definedName>
    <definedName name="_34162">#REF!</definedName>
    <definedName name="_34163">#REF!</definedName>
    <definedName name="_34164">#REF!</definedName>
    <definedName name="_34165">#REF!</definedName>
    <definedName name="_34166">#REF!</definedName>
    <definedName name="_34167">#REF!</definedName>
    <definedName name="_34168">#REF!</definedName>
    <definedName name="_34169">#REF!</definedName>
    <definedName name="_34200">#REF!</definedName>
    <definedName name="_34201">#REF!</definedName>
    <definedName name="_34202">#REF!</definedName>
    <definedName name="_34203">#REF!</definedName>
    <definedName name="_34204">#REF!</definedName>
    <definedName name="_34205">#REF!</definedName>
    <definedName name="_34206">#REF!</definedName>
    <definedName name="_34207">#REF!</definedName>
    <definedName name="_34208">#REF!</definedName>
    <definedName name="_34209">#REF!</definedName>
    <definedName name="_34210">#REF!</definedName>
    <definedName name="_34211">#REF!</definedName>
    <definedName name="_34212">#REF!</definedName>
    <definedName name="_34213">#REF!</definedName>
    <definedName name="_34214">#REF!</definedName>
    <definedName name="_34215">#REF!</definedName>
    <definedName name="_34216">#REF!</definedName>
    <definedName name="_34217">#REF!</definedName>
    <definedName name="_34218">#REF!</definedName>
    <definedName name="_34219">#REF!</definedName>
    <definedName name="_34220">#REF!</definedName>
    <definedName name="_34221">#REF!</definedName>
    <definedName name="_34251">#REF!</definedName>
    <definedName name="_34252">#REF!</definedName>
    <definedName name="_34253">#REF!</definedName>
    <definedName name="_34254">#REF!</definedName>
    <definedName name="_34255">#REF!</definedName>
    <definedName name="_34256">#REF!</definedName>
    <definedName name="_34257">#REF!</definedName>
    <definedName name="_34258">#REF!</definedName>
    <definedName name="_34259">#REF!</definedName>
    <definedName name="_34260">#REF!</definedName>
    <definedName name="_34261">#REF!</definedName>
    <definedName name="_34262">#REF!</definedName>
    <definedName name="_34263">#REF!</definedName>
    <definedName name="_34264">#REF!</definedName>
    <definedName name="_34265">#REF!</definedName>
    <definedName name="_34266">#REF!</definedName>
    <definedName name="_34267">#REF!</definedName>
    <definedName name="_34268">#REF!</definedName>
    <definedName name="_34269">#REF!</definedName>
    <definedName name="_34270">#REF!</definedName>
    <definedName name="_34271">#REF!</definedName>
    <definedName name="_34300">#REF!</definedName>
    <definedName name="_34301">#REF!</definedName>
    <definedName name="_34302">#REF!</definedName>
    <definedName name="_34303">#REF!</definedName>
    <definedName name="_34304">#REF!</definedName>
    <definedName name="_34305">#REF!</definedName>
    <definedName name="_34306">#REF!</definedName>
    <definedName name="_34307">#REF!</definedName>
    <definedName name="_34308">#REF!</definedName>
    <definedName name="_34309">#REF!</definedName>
    <definedName name="_34351">#REF!</definedName>
    <definedName name="_34352">#REF!</definedName>
    <definedName name="_34353">#REF!</definedName>
    <definedName name="_34354">#REF!</definedName>
    <definedName name="_34355">#REF!</definedName>
    <definedName name="_34356">#REF!</definedName>
    <definedName name="_34357">#REF!</definedName>
    <definedName name="_34358">#REF!</definedName>
    <definedName name="_34359">#REF!</definedName>
    <definedName name="_34400">#REF!</definedName>
    <definedName name="_34401">#REF!</definedName>
    <definedName name="_34402">#REF!</definedName>
    <definedName name="_34403">#REF!</definedName>
    <definedName name="_34404">#REF!</definedName>
    <definedName name="_34405">#REF!</definedName>
    <definedName name="_34406">#REF!</definedName>
    <definedName name="_34407">#REF!</definedName>
    <definedName name="_34408">#REF!</definedName>
    <definedName name="_34451">#REF!</definedName>
    <definedName name="_34452">#REF!</definedName>
    <definedName name="_34453">#REF!</definedName>
    <definedName name="_34454">#REF!</definedName>
    <definedName name="_34455">#REF!</definedName>
    <definedName name="_34456">#REF!</definedName>
    <definedName name="_34457">#REF!</definedName>
    <definedName name="_34458">#REF!</definedName>
    <definedName name="_345___________________________________________________________________________________wrn.Ã¶°ñÁý°èÇ_._.5Ä­." hidden="1">{#N/A,#N/A,FALSE,"Sheet1"}</definedName>
    <definedName name="_34500">#REF!</definedName>
    <definedName name="_34501">#REF!</definedName>
    <definedName name="_34502">#REF!</definedName>
    <definedName name="_34503">#REF!</definedName>
    <definedName name="_34504">#REF!</definedName>
    <definedName name="_34505">#REF!</definedName>
    <definedName name="_34506">#REF!</definedName>
    <definedName name="_34507">#REF!</definedName>
    <definedName name="_34508">#REF!</definedName>
    <definedName name="_34551">#REF!</definedName>
    <definedName name="_34552">#REF!</definedName>
    <definedName name="_34553">#REF!</definedName>
    <definedName name="_34554">#REF!</definedName>
    <definedName name="_34555">#REF!</definedName>
    <definedName name="_34556">#REF!</definedName>
    <definedName name="_34557">#REF!</definedName>
    <definedName name="_34558">#REF!</definedName>
    <definedName name="_34600">#REF!</definedName>
    <definedName name="_34601">#REF!</definedName>
    <definedName name="_34602">#REF!</definedName>
    <definedName name="_34603">#REF!</definedName>
    <definedName name="_34604">#REF!</definedName>
    <definedName name="_34605">#REF!</definedName>
    <definedName name="_34606">#REF!</definedName>
    <definedName name="_34607">#REF!</definedName>
    <definedName name="_34608">#REF!</definedName>
    <definedName name="_34651">#REF!</definedName>
    <definedName name="_34652">#REF!</definedName>
    <definedName name="_34653">#REF!</definedName>
    <definedName name="_34654">#REF!</definedName>
    <definedName name="_34655">#REF!</definedName>
    <definedName name="_34656">#REF!</definedName>
    <definedName name="_34657">#REF!</definedName>
    <definedName name="_34700">#REF!</definedName>
    <definedName name="_34701">#REF!</definedName>
    <definedName name="_34702">#REF!</definedName>
    <definedName name="_34703">#REF!</definedName>
    <definedName name="_34704">#REF!</definedName>
    <definedName name="_34705">#REF!</definedName>
    <definedName name="_34706">#REF!</definedName>
    <definedName name="_34707">#REF!</definedName>
    <definedName name="_34751">#REF!</definedName>
    <definedName name="_34752">#REF!</definedName>
    <definedName name="_34753">#REF!</definedName>
    <definedName name="_34754">#REF!</definedName>
    <definedName name="_34755">#REF!</definedName>
    <definedName name="_34756">#REF!</definedName>
    <definedName name="_34800">#REF!</definedName>
    <definedName name="_34801">#REF!</definedName>
    <definedName name="_34802">#REF!</definedName>
    <definedName name="_34803">#REF!</definedName>
    <definedName name="_34804">#REF!</definedName>
    <definedName name="_34805">#REF!</definedName>
    <definedName name="_34806">#REF!</definedName>
    <definedName name="_34851">#REF!</definedName>
    <definedName name="_34852">#REF!</definedName>
    <definedName name="_34853">#REF!</definedName>
    <definedName name="_34854">#REF!</definedName>
    <definedName name="_34855">#REF!</definedName>
    <definedName name="_34856">#REF!</definedName>
    <definedName name="_34a11_" hidden="1">{"'장비'!$A$3:$M$12"}</definedName>
    <definedName name="_34G_0Extract">#REF!</definedName>
    <definedName name="_34P5_" hidden="1">{#N/A,#N/A,FALSE,"배수1"}</definedName>
    <definedName name="_35">#N/A</definedName>
    <definedName name="_35___________________________________________________________________________________________________________0_0_F" hidden="1">#REF!</definedName>
    <definedName name="_35_____F" hidden="1">#REF!</definedName>
    <definedName name="_35__123Graph_XENE_VVVF" hidden="1">#REF!</definedName>
    <definedName name="_35_3_0Criteria">#N/A</definedName>
    <definedName name="_35000">#REF!</definedName>
    <definedName name="_35100">#REF!</definedName>
    <definedName name="_35101">#REF!</definedName>
    <definedName name="_35102">#REF!</definedName>
    <definedName name="_35103">#REF!</definedName>
    <definedName name="_35104">#REF!</definedName>
    <definedName name="_35105">#REF!</definedName>
    <definedName name="_35106">#REF!</definedName>
    <definedName name="_35107">#REF!</definedName>
    <definedName name="_35108">#REF!</definedName>
    <definedName name="_35109">#REF!</definedName>
    <definedName name="_35110">#REF!</definedName>
    <definedName name="_35111">#REF!</definedName>
    <definedName name="_35112">#REF!</definedName>
    <definedName name="_35113">#REF!</definedName>
    <definedName name="_35114">#REF!</definedName>
    <definedName name="_35115">#REF!</definedName>
    <definedName name="_35116">#REF!</definedName>
    <definedName name="_35117">#REF!</definedName>
    <definedName name="_35118">#REF!</definedName>
    <definedName name="_35119">#REF!</definedName>
    <definedName name="_35120">#REF!</definedName>
    <definedName name="_35121">#REF!</definedName>
    <definedName name="_35126">#REF!</definedName>
    <definedName name="_35127">#REF!</definedName>
    <definedName name="_35128">#REF!</definedName>
    <definedName name="_35129">#REF!</definedName>
    <definedName name="_35130">#REF!</definedName>
    <definedName name="_35131">#REF!</definedName>
    <definedName name="_35132">#REF!</definedName>
    <definedName name="_35133">#REF!</definedName>
    <definedName name="_35134">#REF!</definedName>
    <definedName name="_35135">#REF!</definedName>
    <definedName name="_35136">#REF!</definedName>
    <definedName name="_35137">#REF!</definedName>
    <definedName name="_35138">#REF!</definedName>
    <definedName name="_35139">#REF!</definedName>
    <definedName name="_35140">#REF!</definedName>
    <definedName name="_35141">#REF!</definedName>
    <definedName name="_35142">#REF!</definedName>
    <definedName name="_35143">#REF!</definedName>
    <definedName name="_35144">#REF!</definedName>
    <definedName name="_35151">#REF!</definedName>
    <definedName name="_35152">#REF!</definedName>
    <definedName name="_35153">#REF!</definedName>
    <definedName name="_35154">#REF!</definedName>
    <definedName name="_35155">#REF!</definedName>
    <definedName name="_35156">#REF!</definedName>
    <definedName name="_35157">#REF!</definedName>
    <definedName name="_35158">#REF!</definedName>
    <definedName name="_35159">#REF!</definedName>
    <definedName name="_35160">#REF!</definedName>
    <definedName name="_35161">#REF!</definedName>
    <definedName name="_35162">#REF!</definedName>
    <definedName name="_35163">#REF!</definedName>
    <definedName name="_35164">#REF!</definedName>
    <definedName name="_35165">#REF!</definedName>
    <definedName name="_35166">#REF!</definedName>
    <definedName name="_35167">#REF!</definedName>
    <definedName name="_35168">#REF!</definedName>
    <definedName name="_35169">#REF!</definedName>
    <definedName name="_35170">#REF!</definedName>
    <definedName name="_35171">#REF!</definedName>
    <definedName name="_35176">#REF!</definedName>
    <definedName name="_35177">#REF!</definedName>
    <definedName name="_35178">#REF!</definedName>
    <definedName name="_35179">#REF!</definedName>
    <definedName name="_35180">#REF!</definedName>
    <definedName name="_35181">#REF!</definedName>
    <definedName name="_35182">#REF!</definedName>
    <definedName name="_35183">#REF!</definedName>
    <definedName name="_35184">#REF!</definedName>
    <definedName name="_35185">#REF!</definedName>
    <definedName name="_35186">#REF!</definedName>
    <definedName name="_35187">#REF!</definedName>
    <definedName name="_35188">#REF!</definedName>
    <definedName name="_35189">#REF!</definedName>
    <definedName name="_35190">#REF!</definedName>
    <definedName name="_35191">#REF!</definedName>
    <definedName name="_35192">#REF!</definedName>
    <definedName name="_35193">#REF!</definedName>
    <definedName name="_35194">#REF!</definedName>
    <definedName name="_35195">#REF!</definedName>
    <definedName name="_35196">#REF!</definedName>
    <definedName name="_352_____________0__123Grap" hidden="1">#REF!</definedName>
    <definedName name="_35200">#REF!</definedName>
    <definedName name="_35201">#REF!</definedName>
    <definedName name="_35202">#REF!</definedName>
    <definedName name="_35203">#REF!</definedName>
    <definedName name="_35204">#REF!</definedName>
    <definedName name="_35205">#REF!</definedName>
    <definedName name="_35206">#REF!</definedName>
    <definedName name="_35207">#REF!</definedName>
    <definedName name="_35208">#REF!</definedName>
    <definedName name="_35209">#REF!</definedName>
    <definedName name="_35226">#REF!</definedName>
    <definedName name="_35227">#REF!</definedName>
    <definedName name="_35228">#REF!</definedName>
    <definedName name="_35229">#REF!</definedName>
    <definedName name="_35230">#REF!</definedName>
    <definedName name="_35231">#REF!</definedName>
    <definedName name="_35232">#REF!</definedName>
    <definedName name="_35233">#REF!</definedName>
    <definedName name="_35234">#REF!</definedName>
    <definedName name="_35251">#REF!</definedName>
    <definedName name="_35252">#REF!</definedName>
    <definedName name="_35253">#REF!</definedName>
    <definedName name="_35254">#REF!</definedName>
    <definedName name="_35255">#REF!</definedName>
    <definedName name="_35256">#REF!</definedName>
    <definedName name="_35257">#REF!</definedName>
    <definedName name="_35258">#REF!</definedName>
    <definedName name="_35276">#REF!</definedName>
    <definedName name="_35277">#REF!</definedName>
    <definedName name="_35278">#REF!</definedName>
    <definedName name="_35279">#REF!</definedName>
    <definedName name="_35280">#REF!</definedName>
    <definedName name="_35281">#REF!</definedName>
    <definedName name="_35282">#REF!</definedName>
    <definedName name="_35283">#REF!</definedName>
    <definedName name="_35300">#REF!</definedName>
    <definedName name="_35301">#REF!</definedName>
    <definedName name="_35302">#REF!</definedName>
    <definedName name="_35303">#REF!</definedName>
    <definedName name="_35304">#REF!</definedName>
    <definedName name="_35305">#REF!</definedName>
    <definedName name="_35306">#REF!</definedName>
    <definedName name="_35307">#REF!</definedName>
    <definedName name="_35308">#REF!</definedName>
    <definedName name="_35326">#REF!</definedName>
    <definedName name="_35327">#REF!</definedName>
    <definedName name="_35328">#REF!</definedName>
    <definedName name="_35329">#REF!</definedName>
    <definedName name="_35330">#REF!</definedName>
    <definedName name="_35331">#REF!</definedName>
    <definedName name="_35332">#REF!</definedName>
    <definedName name="_35333">#REF!</definedName>
    <definedName name="_35351">#REF!</definedName>
    <definedName name="_35352">#REF!</definedName>
    <definedName name="_35353">#REF!</definedName>
    <definedName name="_35354">#REF!</definedName>
    <definedName name="_35355">#REF!</definedName>
    <definedName name="_35356">#REF!</definedName>
    <definedName name="_35357">#REF!</definedName>
    <definedName name="_35358">#REF!</definedName>
    <definedName name="_35376">#REF!</definedName>
    <definedName name="_35377">#REF!</definedName>
    <definedName name="_35378">#REF!</definedName>
    <definedName name="_35379">#REF!</definedName>
    <definedName name="_35380">#REF!</definedName>
    <definedName name="_35381">#REF!</definedName>
    <definedName name="_35382">#REF!</definedName>
    <definedName name="_354_________________________________________________________________________________¤§¤_¤¡" hidden="1">{#N/A,#N/A,FALSE,"Sheet1"}</definedName>
    <definedName name="_35400">#REF!</definedName>
    <definedName name="_35401">#REF!</definedName>
    <definedName name="_35402">#REF!</definedName>
    <definedName name="_35403">#REF!</definedName>
    <definedName name="_35404">#REF!</definedName>
    <definedName name="_35405">#REF!</definedName>
    <definedName name="_35406">#REF!</definedName>
    <definedName name="_35407">#REF!</definedName>
    <definedName name="_35426">#REF!</definedName>
    <definedName name="_35427">#REF!</definedName>
    <definedName name="_35428">#REF!</definedName>
    <definedName name="_35429">#REF!</definedName>
    <definedName name="_35430">#REF!</definedName>
    <definedName name="_35431">#REF!</definedName>
    <definedName name="_35451">#REF!</definedName>
    <definedName name="_35452">#REF!</definedName>
    <definedName name="_35453">#REF!</definedName>
    <definedName name="_35454">#REF!</definedName>
    <definedName name="_35455">#REF!</definedName>
    <definedName name="_35456">#REF!</definedName>
    <definedName name="_35476">#REF!</definedName>
    <definedName name="_35477">#REF!</definedName>
    <definedName name="_35478">#REF!</definedName>
    <definedName name="_35479">#REF!</definedName>
    <definedName name="_35480">#REF!</definedName>
    <definedName name="_35481">#REF!</definedName>
    <definedName name="_35500">#REF!</definedName>
    <definedName name="_35501">#REF!</definedName>
    <definedName name="_35502">#REF!</definedName>
    <definedName name="_35503">#REF!</definedName>
    <definedName name="_35504">#REF!</definedName>
    <definedName name="_35505">#REF!</definedName>
    <definedName name="_35506">#REF!</definedName>
    <definedName name="_35507">#REF!</definedName>
    <definedName name="_35508">#REF!</definedName>
    <definedName name="_35511">#REF!</definedName>
    <definedName name="_35512">#REF!</definedName>
    <definedName name="_35513">#REF!</definedName>
    <definedName name="_35514">#REF!</definedName>
    <definedName name="_35515">#REF!</definedName>
    <definedName name="_35516">#REF!</definedName>
    <definedName name="_35517">#REF!</definedName>
    <definedName name="_35518">#REF!</definedName>
    <definedName name="_35521">#REF!</definedName>
    <definedName name="_35522">#REF!</definedName>
    <definedName name="_35523">#REF!</definedName>
    <definedName name="_35524">#REF!</definedName>
    <definedName name="_35525">#REF!</definedName>
    <definedName name="_35526">#REF!</definedName>
    <definedName name="_35527">#REF!</definedName>
    <definedName name="_35528">#REF!</definedName>
    <definedName name="_35531">#REF!</definedName>
    <definedName name="_35532">#REF!</definedName>
    <definedName name="_35533">#REF!</definedName>
    <definedName name="_35534">#REF!</definedName>
    <definedName name="_35535">#REF!</definedName>
    <definedName name="_35536">#REF!</definedName>
    <definedName name="_35537">#REF!</definedName>
    <definedName name="_35538">#REF!</definedName>
    <definedName name="_35541">#REF!</definedName>
    <definedName name="_35542">#REF!</definedName>
    <definedName name="_35543">#REF!</definedName>
    <definedName name="_35544">#REF!</definedName>
    <definedName name="_35545">#REF!</definedName>
    <definedName name="_35551">#REF!</definedName>
    <definedName name="_35552">#REF!</definedName>
    <definedName name="_35553">#REF!</definedName>
    <definedName name="_35554">#REF!</definedName>
    <definedName name="_35555">#REF!</definedName>
    <definedName name="_35561">#REF!</definedName>
    <definedName name="_35562">#REF!</definedName>
    <definedName name="_35563">#REF!</definedName>
    <definedName name="_35564">#REF!</definedName>
    <definedName name="_35565">#REF!</definedName>
    <definedName name="_35571">#REF!</definedName>
    <definedName name="_35572">#REF!</definedName>
    <definedName name="_35573">#REF!</definedName>
    <definedName name="_35574">#REF!</definedName>
    <definedName name="_35575">#REF!</definedName>
    <definedName name="_35581">#REF!</definedName>
    <definedName name="_35582">#REF!</definedName>
    <definedName name="_35583">#REF!</definedName>
    <definedName name="_35584">#REF!</definedName>
    <definedName name="_35585">#REF!</definedName>
    <definedName name="_35591">#REF!</definedName>
    <definedName name="_35592">#REF!</definedName>
    <definedName name="_35593">#REF!</definedName>
    <definedName name="_35594">#REF!</definedName>
    <definedName name="_35595">#REF!</definedName>
    <definedName name="_35600">#REF!</definedName>
    <definedName name="_35601">#REF!</definedName>
    <definedName name="_35602">#REF!</definedName>
    <definedName name="_35603">#REF!</definedName>
    <definedName name="_35604">#REF!</definedName>
    <definedName name="_35611">#REF!</definedName>
    <definedName name="_35612">#REF!</definedName>
    <definedName name="_35613">#REF!</definedName>
    <definedName name="_35614">#REF!</definedName>
    <definedName name="_35621">#REF!</definedName>
    <definedName name="_35622">#REF!</definedName>
    <definedName name="_35623">#REF!</definedName>
    <definedName name="_35624">#REF!</definedName>
    <definedName name="_35631">#REF!</definedName>
    <definedName name="_35632">#REF!</definedName>
    <definedName name="_35633">#REF!</definedName>
    <definedName name="_35634">#REF!</definedName>
    <definedName name="_35641">#REF!</definedName>
    <definedName name="_35642">#REF!</definedName>
    <definedName name="_35643">#REF!</definedName>
    <definedName name="_35644">#REF!</definedName>
    <definedName name="_35651">#REF!</definedName>
    <definedName name="_35652">#REF!</definedName>
    <definedName name="_35653">#REF!</definedName>
    <definedName name="_35654">#REF!</definedName>
    <definedName name="_35661">#REF!</definedName>
    <definedName name="_35662">#REF!</definedName>
    <definedName name="_35663">#REF!</definedName>
    <definedName name="_35671">#REF!</definedName>
    <definedName name="_35672">#REF!</definedName>
    <definedName name="_35673">#REF!</definedName>
    <definedName name="_35681">#REF!</definedName>
    <definedName name="_35682">#REF!</definedName>
    <definedName name="_35683">#REF!</definedName>
    <definedName name="_35686">#REF!</definedName>
    <definedName name="_35687">#REF!</definedName>
    <definedName name="_35688">#REF!</definedName>
    <definedName name="_35691">#REF!</definedName>
    <definedName name="_35692">#REF!</definedName>
    <definedName name="_35693">#REF!</definedName>
    <definedName name="_35700">#REF!</definedName>
    <definedName name="_35701">#REF!</definedName>
    <definedName name="_35702">#REF!</definedName>
    <definedName name="_35703">#REF!</definedName>
    <definedName name="_35704">#REF!</definedName>
    <definedName name="_35705">#REF!</definedName>
    <definedName name="_35711">#REF!</definedName>
    <definedName name="_35712">#REF!</definedName>
    <definedName name="_35713">#REF!</definedName>
    <definedName name="_35714">#REF!</definedName>
    <definedName name="_35715">#REF!</definedName>
    <definedName name="_35721">#REF!</definedName>
    <definedName name="_35722">#REF!</definedName>
    <definedName name="_35723">#REF!</definedName>
    <definedName name="_35724">#REF!</definedName>
    <definedName name="_35725">#REF!</definedName>
    <definedName name="_35731">#REF!</definedName>
    <definedName name="_35732">#REF!</definedName>
    <definedName name="_35733">#REF!</definedName>
    <definedName name="_35734">#REF!</definedName>
    <definedName name="_35735">#REF!</definedName>
    <definedName name="_35741">#REF!</definedName>
    <definedName name="_35742">#REF!</definedName>
    <definedName name="_35743">#REF!</definedName>
    <definedName name="_35744">#REF!</definedName>
    <definedName name="_35745">#REF!</definedName>
    <definedName name="_35751">#REF!</definedName>
    <definedName name="_35752">#REF!</definedName>
    <definedName name="_35753">#REF!</definedName>
    <definedName name="_35754">#REF!</definedName>
    <definedName name="_35755">#REF!</definedName>
    <definedName name="_35761">#REF!</definedName>
    <definedName name="_35762">#REF!</definedName>
    <definedName name="_35763">#REF!</definedName>
    <definedName name="_35764">#REF!</definedName>
    <definedName name="_35765">#REF!</definedName>
    <definedName name="_35771">#REF!</definedName>
    <definedName name="_35772">#REF!</definedName>
    <definedName name="_35773">#REF!</definedName>
    <definedName name="_35774">#REF!</definedName>
    <definedName name="_35775">#REF!</definedName>
    <definedName name="_35781">#REF!</definedName>
    <definedName name="_35782">#REF!</definedName>
    <definedName name="_35783">#REF!</definedName>
    <definedName name="_35784">#REF!</definedName>
    <definedName name="_35785">#REF!</definedName>
    <definedName name="_35791">#REF!</definedName>
    <definedName name="_35792">#REF!</definedName>
    <definedName name="_35793">#REF!</definedName>
    <definedName name="_35794">#REF!</definedName>
    <definedName name="_35795">#REF!</definedName>
    <definedName name="_35800">#REF!</definedName>
    <definedName name="_35801">#REF!</definedName>
    <definedName name="_35802">#REF!</definedName>
    <definedName name="_35803">#REF!</definedName>
    <definedName name="_35804">#REF!</definedName>
    <definedName name="_35811">#REF!</definedName>
    <definedName name="_35812">#REF!</definedName>
    <definedName name="_35813">#REF!</definedName>
    <definedName name="_35814">#REF!</definedName>
    <definedName name="_35821">#REF!</definedName>
    <definedName name="_35822">#REF!</definedName>
    <definedName name="_35823">#REF!</definedName>
    <definedName name="_35824">#REF!</definedName>
    <definedName name="_35831">#REF!</definedName>
    <definedName name="_35832">#REF!</definedName>
    <definedName name="_35833">#REF!</definedName>
    <definedName name="_35834">#REF!</definedName>
    <definedName name="_35841">#REF!</definedName>
    <definedName name="_35842">#REF!</definedName>
    <definedName name="_35843">#REF!</definedName>
    <definedName name="_35844">#REF!</definedName>
    <definedName name="_35851">#REF!</definedName>
    <definedName name="_35852">#REF!</definedName>
    <definedName name="_35853">#REF!</definedName>
    <definedName name="_35854">#REF!</definedName>
    <definedName name="_35861">#REF!</definedName>
    <definedName name="_35862">#REF!</definedName>
    <definedName name="_35863">#REF!</definedName>
    <definedName name="_35871">#REF!</definedName>
    <definedName name="_35872">#REF!</definedName>
    <definedName name="_35873">#REF!</definedName>
    <definedName name="_35881">#REF!</definedName>
    <definedName name="_35882">#REF!</definedName>
    <definedName name="_35883">#REF!</definedName>
    <definedName name="_35886">#REF!</definedName>
    <definedName name="_35887">#REF!</definedName>
    <definedName name="_35888">#REF!</definedName>
    <definedName name="_35891">#REF!</definedName>
    <definedName name="_35892">#REF!</definedName>
    <definedName name="_35893">#REF!</definedName>
    <definedName name="_35G_0Extract">#REF!</definedName>
    <definedName name="_36">#N/A</definedName>
    <definedName name="_36__________________________________________________________________________________________________________0_0_F" hidden="1">#REF!</definedName>
    <definedName name="_36__123Graph_XPOWER_MT" hidden="1">#REF!</definedName>
    <definedName name="_36_0_0__123Grap" hidden="1">#REF!</definedName>
    <definedName name="_36_0_S" hidden="1">#REF!</definedName>
    <definedName name="_36_3__Crite">#N/A</definedName>
    <definedName name="_36000">#REF!</definedName>
    <definedName name="_361_________________________________________________________________________________wrn.Ã¶°ñÁý°èÇ_._.5Ä­." hidden="1">{#N/A,#N/A,FALSE,"Sheet1"}</definedName>
    <definedName name="_36100">#REF!</definedName>
    <definedName name="_36101">#REF!</definedName>
    <definedName name="_36102">#REF!</definedName>
    <definedName name="_36103">#REF!</definedName>
    <definedName name="_36104">#REF!</definedName>
    <definedName name="_36105">#REF!</definedName>
    <definedName name="_36106">#REF!</definedName>
    <definedName name="_36107">#REF!</definedName>
    <definedName name="_36111">#REF!</definedName>
    <definedName name="_36112">#REF!</definedName>
    <definedName name="_36113">#REF!</definedName>
    <definedName name="_36114">#REF!</definedName>
    <definedName name="_36115">#REF!</definedName>
    <definedName name="_36116">#REF!</definedName>
    <definedName name="_36117">#REF!</definedName>
    <definedName name="_36121">#REF!</definedName>
    <definedName name="_36122">#REF!</definedName>
    <definedName name="_36123">#REF!</definedName>
    <definedName name="_36124">#REF!</definedName>
    <definedName name="_36125">#REF!</definedName>
    <definedName name="_36126">#REF!</definedName>
    <definedName name="_36127">#REF!</definedName>
    <definedName name="_36131">#REF!</definedName>
    <definedName name="_36132">#REF!</definedName>
    <definedName name="_36133">#REF!</definedName>
    <definedName name="_36134">#REF!</definedName>
    <definedName name="_36135">#REF!</definedName>
    <definedName name="_36136">#REF!</definedName>
    <definedName name="_36137">#REF!</definedName>
    <definedName name="_36141">#REF!</definedName>
    <definedName name="_36142">#REF!</definedName>
    <definedName name="_36143">#REF!</definedName>
    <definedName name="_36144">#REF!</definedName>
    <definedName name="_36145">#REF!</definedName>
    <definedName name="_36146">#REF!</definedName>
    <definedName name="_36147">#REF!</definedName>
    <definedName name="_36151">#REF!</definedName>
    <definedName name="_36152">#REF!</definedName>
    <definedName name="_36153">#REF!</definedName>
    <definedName name="_36154">#REF!</definedName>
    <definedName name="_36155">#REF!</definedName>
    <definedName name="_36156">#REF!</definedName>
    <definedName name="_36157">#REF!</definedName>
    <definedName name="_36161">#REF!</definedName>
    <definedName name="_36162">#REF!</definedName>
    <definedName name="_36163">#REF!</definedName>
    <definedName name="_36164">#REF!</definedName>
    <definedName name="_36165">#REF!</definedName>
    <definedName name="_36166">#REF!</definedName>
    <definedName name="_36167">#REF!</definedName>
    <definedName name="_36171">#REF!</definedName>
    <definedName name="_36172">#REF!</definedName>
    <definedName name="_36173">#REF!</definedName>
    <definedName name="_36174">#REF!</definedName>
    <definedName name="_36175">#REF!</definedName>
    <definedName name="_36176">#REF!</definedName>
    <definedName name="_36177">#REF!</definedName>
    <definedName name="_36181">#REF!</definedName>
    <definedName name="_36182">#REF!</definedName>
    <definedName name="_36183">#REF!</definedName>
    <definedName name="_36184">#REF!</definedName>
    <definedName name="_36185">#REF!</definedName>
    <definedName name="_36186">#REF!</definedName>
    <definedName name="_36187">#REF!</definedName>
    <definedName name="_36191">#REF!</definedName>
    <definedName name="_36192">#REF!</definedName>
    <definedName name="_36193">#REF!</definedName>
    <definedName name="_36194">#REF!</definedName>
    <definedName name="_36195">#REF!</definedName>
    <definedName name="_36196">#REF!</definedName>
    <definedName name="_36197">#REF!</definedName>
    <definedName name="_36200">#REF!</definedName>
    <definedName name="_36201">#REF!</definedName>
    <definedName name="_36202">#REF!</definedName>
    <definedName name="_36203">#REF!</definedName>
    <definedName name="_36204">#REF!</definedName>
    <definedName name="_36205">#REF!</definedName>
    <definedName name="_36206">#REF!</definedName>
    <definedName name="_36207">#REF!</definedName>
    <definedName name="_36211">#REF!</definedName>
    <definedName name="_36212">#REF!</definedName>
    <definedName name="_36213">#REF!</definedName>
    <definedName name="_36214">#REF!</definedName>
    <definedName name="_36215">#REF!</definedName>
    <definedName name="_36216">#REF!</definedName>
    <definedName name="_36217">#REF!</definedName>
    <definedName name="_36221">#REF!</definedName>
    <definedName name="_36222">#REF!</definedName>
    <definedName name="_36223">#REF!</definedName>
    <definedName name="_36224">#REF!</definedName>
    <definedName name="_36225">#REF!</definedName>
    <definedName name="_36226">#REF!</definedName>
    <definedName name="_36227">#REF!</definedName>
    <definedName name="_36231">#REF!</definedName>
    <definedName name="_36232">#REF!</definedName>
    <definedName name="_36233">#REF!</definedName>
    <definedName name="_36234">#REF!</definedName>
    <definedName name="_36235">#REF!</definedName>
    <definedName name="_36236">#REF!</definedName>
    <definedName name="_36237">#REF!</definedName>
    <definedName name="_36241">#REF!</definedName>
    <definedName name="_36242">#REF!</definedName>
    <definedName name="_36243">#REF!</definedName>
    <definedName name="_36244">#REF!</definedName>
    <definedName name="_36245">#REF!</definedName>
    <definedName name="_36246">#REF!</definedName>
    <definedName name="_36247">#REF!</definedName>
    <definedName name="_36251">#REF!</definedName>
    <definedName name="_36252">#REF!</definedName>
    <definedName name="_36253">#REF!</definedName>
    <definedName name="_36254">#REF!</definedName>
    <definedName name="_36255">#REF!</definedName>
    <definedName name="_36256">#REF!</definedName>
    <definedName name="_36257">#REF!</definedName>
    <definedName name="_363________________________________________________________________________________¤§¤_¤¡" hidden="1">{#N/A,#N/A,FALSE,"Sheet1"}</definedName>
    <definedName name="_363_____________0_Dist_" hidden="1">#REF!</definedName>
    <definedName name="_36EE1_" hidden="1">{#N/A,#N/A,FALSE,"단가표지"}</definedName>
    <definedName name="_36G__Extr">#REF!</definedName>
    <definedName name="_37">#N/A</definedName>
    <definedName name="_37_________________________________________________________________________________________________________0_0_F" hidden="1">#REF!</definedName>
    <definedName name="_37_3__Criteria">#N/A</definedName>
    <definedName name="_370________________________________________________________________________________wrn.Ã¶°ñÁý°èÇ_._.5Ä­." hidden="1">{#N/A,#N/A,FALSE,"Sheet1"}</definedName>
    <definedName name="_372_______________________________________________________________________________¤§¤_¤¡" hidden="1">{#N/A,#N/A,FALSE,"Sheet1"}</definedName>
    <definedName name="_374___________0_0__123Grap" hidden="1">#REF!</definedName>
    <definedName name="_379_______________________________________________________________________________wrn.Ã¶°ñÁý°èÇ_._.5Ä­." hidden="1">{#N/A,#N/A,FALSE,"Sheet1"}</definedName>
    <definedName name="_37G__Extract">#REF!</definedName>
    <definedName name="_37P6_" hidden="1">{#N/A,#N/A,FALSE,"2~8번"}</definedName>
    <definedName name="_38">#N/A</definedName>
    <definedName name="_38________________________________________________________________________________________________________0_0_F" hidden="1">#REF!</definedName>
    <definedName name="_38_0__123Grap" hidden="1">#REF!</definedName>
    <definedName name="_38_6">#N/A</definedName>
    <definedName name="_381______________________________________________________________________________¤§¤_¤¡" hidden="1">{#N/A,#N/A,FALSE,"Sheet1"}</definedName>
    <definedName name="_385___________0_0_F" hidden="1">#REF!</definedName>
    <definedName name="_388______________________________________________________________________________wrn.Ã¶°ñÁý°èÇ_._.5Ä­." hidden="1">{#N/A,#N/A,FALSE,"Sheet1"}</definedName>
    <definedName name="_39">#N/A</definedName>
    <definedName name="_39_______________________________________________________________________________________________________0_0_F" hidden="1">#REF!</definedName>
    <definedName name="_39_0__123Grap" hidden="1">#REF!</definedName>
    <definedName name="_39_0_0__123Grap" hidden="1">#REF!</definedName>
    <definedName name="_39_7">#N/A</definedName>
    <definedName name="_396____________0__123Grap" hidden="1">#REF!</definedName>
    <definedName name="_397____________________________________________________________________________¤§¤_¤¡" hidden="1">{#N/A,#N/A,FALSE,"Sheet1"}</definedName>
    <definedName name="_3공장">#REF!</definedName>
    <definedName name="_3년간매출">#N/A</definedName>
    <definedName name="_3년간매출액">#REF!</definedName>
    <definedName name="_3월">#REF!</definedName>
    <definedName name="_3A_1">#REF!</definedName>
    <definedName name="_3A_10">#REF!</definedName>
    <definedName name="_3A_11">#REF!</definedName>
    <definedName name="_3A_12">#REF!</definedName>
    <definedName name="_3A_13">#REF!</definedName>
    <definedName name="_3A_14">#REF!</definedName>
    <definedName name="_3A_15">#REF!</definedName>
    <definedName name="_3A_16">#REF!</definedName>
    <definedName name="_3A_17">#REF!</definedName>
    <definedName name="_3A_18">#REF!</definedName>
    <definedName name="_3A_19">#REF!</definedName>
    <definedName name="_3A_2">#REF!</definedName>
    <definedName name="_3A_20">#REF!</definedName>
    <definedName name="_3A_21">#REF!</definedName>
    <definedName name="_3A_22">#REF!</definedName>
    <definedName name="_3A_23">#REF!</definedName>
    <definedName name="_3A_24">#REF!</definedName>
    <definedName name="_3A_25">#REF!</definedName>
    <definedName name="_3A_26">#REF!</definedName>
    <definedName name="_3A_27">#REF!</definedName>
    <definedName name="_3A_28">#REF!</definedName>
    <definedName name="_3A_29">#REF!</definedName>
    <definedName name="_3A_3">#REF!</definedName>
    <definedName name="_3A_30">#REF!</definedName>
    <definedName name="_3A_4">#REF!</definedName>
    <definedName name="_3A_5">#REF!</definedName>
    <definedName name="_3A_6">#REF!</definedName>
    <definedName name="_3A_7">#REF!</definedName>
    <definedName name="_3A_8">#REF!</definedName>
    <definedName name="_3A_9">#REF!</definedName>
    <definedName name="_3B_1">#REF!</definedName>
    <definedName name="_3B_10">#REF!</definedName>
    <definedName name="_3B_11">#REF!</definedName>
    <definedName name="_3B_12">#REF!</definedName>
    <definedName name="_3B_13">#REF!</definedName>
    <definedName name="_3B_14">#REF!</definedName>
    <definedName name="_3B_15">#REF!</definedName>
    <definedName name="_3B_16">#REF!</definedName>
    <definedName name="_3B_17">#REF!</definedName>
    <definedName name="_3B_18">#REF!</definedName>
    <definedName name="_3B_19">#REF!</definedName>
    <definedName name="_3B_2">#REF!</definedName>
    <definedName name="_3B_20">#REF!</definedName>
    <definedName name="_3B_21">#REF!</definedName>
    <definedName name="_3B_22">#REF!</definedName>
    <definedName name="_3B_23">#REF!</definedName>
    <definedName name="_3B_24">#REF!</definedName>
    <definedName name="_3B_25">#REF!</definedName>
    <definedName name="_3B_26">#REF!</definedName>
    <definedName name="_3B_27">#REF!</definedName>
    <definedName name="_3B_28">#REF!</definedName>
    <definedName name="_3B_29">#REF!</definedName>
    <definedName name="_3B_3">#REF!</definedName>
    <definedName name="_3B_30">#REF!</definedName>
    <definedName name="_3B_4">#REF!</definedName>
    <definedName name="_3B_5">#REF!</definedName>
    <definedName name="_3B_6">#REF!</definedName>
    <definedName name="_3B_7">#REF!</definedName>
    <definedName name="_3B_8">#REF!</definedName>
    <definedName name="_3B_9">#REF!</definedName>
    <definedName name="_3C_1">#REF!</definedName>
    <definedName name="_3C_10">#REF!</definedName>
    <definedName name="_3C_11">#REF!</definedName>
    <definedName name="_3C_12">#REF!</definedName>
    <definedName name="_3C_13">#REF!</definedName>
    <definedName name="_3C_14">#REF!</definedName>
    <definedName name="_3C_15">#REF!</definedName>
    <definedName name="_3C_16">#REF!</definedName>
    <definedName name="_3C_17">#REF!</definedName>
    <definedName name="_3C_18">#REF!</definedName>
    <definedName name="_3C_19">#REF!</definedName>
    <definedName name="_3C_2">#REF!</definedName>
    <definedName name="_3C_20">#REF!</definedName>
    <definedName name="_3C_21">#REF!</definedName>
    <definedName name="_3C_22">#REF!</definedName>
    <definedName name="_3C_23">#REF!</definedName>
    <definedName name="_3C_24">#REF!</definedName>
    <definedName name="_3C_25">#REF!</definedName>
    <definedName name="_3C_26">#REF!</definedName>
    <definedName name="_3C_27">#REF!</definedName>
    <definedName name="_3C_28">#REF!</definedName>
    <definedName name="_3C_29">#REF!</definedName>
    <definedName name="_3C_3">#REF!</definedName>
    <definedName name="_3C_30">#REF!</definedName>
    <definedName name="_3C_4">#REF!</definedName>
    <definedName name="_3C_5">#REF!</definedName>
    <definedName name="_3C_6">#REF!</definedName>
    <definedName name="_3C_7">#REF!</definedName>
    <definedName name="_3C_8">#REF!</definedName>
    <definedName name="_3C_9">#REF!</definedName>
    <definedName name="_3D1_">#REF!</definedName>
    <definedName name="_3Dist_" hidden="1">#REF!</definedName>
    <definedName name="_3F" hidden="1">#REF!</definedName>
    <definedName name="_3f2_">#REF!</definedName>
    <definedName name="_3G_0Extr">#REF!</definedName>
    <definedName name="_4">#N/A</definedName>
    <definedName name="_4__________________________________________________________________________________________________________________________________________0_0_F" hidden="1">#REF!</definedName>
    <definedName name="_4________F" hidden="1">#REF!</definedName>
    <definedName name="_4______123Grap" hidden="1">#REF!</definedName>
    <definedName name="_4____0__123Grap" hidden="1">#REF!</definedName>
    <definedName name="_4___0__123Grap" hidden="1">#REF!</definedName>
    <definedName name="_4___0_0_F" hidden="1">#REF!</definedName>
    <definedName name="_4__123Graph_ACHART_1A" hidden="1">#REF!</definedName>
    <definedName name="_4__123Graph_BChart_1A" hidden="1">#REF!</definedName>
    <definedName name="_4__123Graph_BPOWER_MT" hidden="1">#REF!</definedName>
    <definedName name="_4__123Graph_CCHART_1" hidden="1">#REF!</definedName>
    <definedName name="_4_0__123Grap" hidden="1">#REF!</definedName>
    <definedName name="_4_0_0__123Grap" hidden="1">#REF!</definedName>
    <definedName name="_4_0_0_F" hidden="1">#REF!</definedName>
    <definedName name="_4_0_Dist_" hidden="1">#REF!</definedName>
    <definedName name="_4_0_F" hidden="1">#REF!</definedName>
    <definedName name="_4_0_S" hidden="1">#REF!</definedName>
    <definedName name="_4_0\MID">#REF!</definedName>
    <definedName name="_4_123Grap" hidden="1">#REF!</definedName>
    <definedName name="_4_3__Criteria">#REF!</definedName>
    <definedName name="_４._설___비____공___사">#N/A</definedName>
    <definedName name="_4.우수공">#N/A</definedName>
    <definedName name="_4\SM">#REF!</definedName>
    <definedName name="_4¤§¤_¤¡" hidden="1">{#N/A,#N/A,FALSE,"Sheet1"}</definedName>
    <definedName name="_40">#N/A</definedName>
    <definedName name="_40______________________________________________________________________________________________________0_0_F" hidden="1">#REF!</definedName>
    <definedName name="_40__0_0_F" hidden="1">#REF!</definedName>
    <definedName name="_40_0__123Grap" hidden="1">#REF!</definedName>
    <definedName name="_40_0_0_F" hidden="1">#REF!</definedName>
    <definedName name="_40_0_0_S" hidden="1">#REF!</definedName>
    <definedName name="_40_8">#N/A</definedName>
    <definedName name="_404____________________________________________________________________________wrn.Ã¶°ñÁý°èÇ_._.5Ä­." hidden="1">{#N/A,#N/A,FALSE,"Sheet1"}</definedName>
    <definedName name="_407____________0_Dist_" hidden="1">#REF!</definedName>
    <definedName name="_40총괄">#REF!</definedName>
    <definedName name="_40S3_" hidden="1">{#N/A,#N/A,FALSE,"포장2"}</definedName>
    <definedName name="_41">#N/A</definedName>
    <definedName name="_41_____________________________________________________________________________________________________0_0_F" hidden="1">#REF!</definedName>
    <definedName name="_41_0_0_F" hidden="1">#REF!</definedName>
    <definedName name="_41_9">#N/A</definedName>
    <definedName name="_413__________________________________________________________________________¤§¤_¤¡" hidden="1">{#N/A,#N/A,FALSE,"Sheet1"}</definedName>
    <definedName name="_418__________0_0__123Grap" hidden="1">#REF!</definedName>
    <definedName name="_42">#N/A</definedName>
    <definedName name="_42____________________________________________________________________________________________________0_0_F" hidden="1">#REF!</definedName>
    <definedName name="_42_0_S" hidden="1">#REF!</definedName>
    <definedName name="_420__________________________________________________________________________wrn.Ã¶°ñÁý°èÇ_._.5Ä­." hidden="1">{#N/A,#N/A,FALSE,"Sheet1"}</definedName>
    <definedName name="_429________________________________________________________________________¤§¤_¤¡" hidden="1">{#N/A,#N/A,FALSE,"Sheet1"}</definedName>
    <definedName name="_429__________0_0_F" hidden="1">#REF!</definedName>
    <definedName name="_42P3_" hidden="1">{#N/A,#N/A,FALSE,"배수1"}</definedName>
    <definedName name="_43">#N/A</definedName>
    <definedName name="_43___________________________________________________________________________________________________0_0_F" hidden="1">#REF!</definedName>
    <definedName name="_4303">#REF!</definedName>
    <definedName name="_436________________________________________________________________________wrn.Ã¶°ñÁý°èÇ_._.5Ä­." hidden="1">{#N/A,#N/A,FALSE,"Sheet1"}</definedName>
    <definedName name="_43단">#N/A</definedName>
    <definedName name="_44">#N/A</definedName>
    <definedName name="_44__________________________________________________________________________________________________0_0_F" hidden="1">#REF!</definedName>
    <definedName name="_44____________________0__123Grap" hidden="1">#REF!</definedName>
    <definedName name="_44___0__123Grap" hidden="1">#REF!</definedName>
    <definedName name="_４４__分_期">#REF!</definedName>
    <definedName name="_44_10">#N/A</definedName>
    <definedName name="_440___________0__123Grap" hidden="1">#REF!</definedName>
    <definedName name="_445______________________________________________________________________¤§¤_¤¡" hidden="1">{#N/A,#N/A,FALSE,"Sheet1"}</definedName>
    <definedName name="_44a1_">#N/A</definedName>
    <definedName name="_45">#N/A</definedName>
    <definedName name="_45_________________________________________________________________________________________________0_0_F" hidden="1">#REF!</definedName>
    <definedName name="_45_0_0_F" hidden="1">#REF!</definedName>
    <definedName name="_45_11">#N/A</definedName>
    <definedName name="_451___________0_Dist_" hidden="1">#REF!</definedName>
    <definedName name="_452______________________________________________________________________wrn.Ã¶°ñÁý°èÇ_._.5Ä­." hidden="1">{#N/A,#N/A,FALSE,"Sheet1"}</definedName>
    <definedName name="_45a2_">#N/A</definedName>
    <definedName name="_45F" hidden="1">#REF!</definedName>
    <definedName name="_46">#N/A</definedName>
    <definedName name="_46________________________________________________________________________________________________0_0_F" hidden="1">#REF!</definedName>
    <definedName name="_46___0_Dist_" hidden="1">#REF!</definedName>
    <definedName name="_46_0_0_F" hidden="1">#REF!</definedName>
    <definedName name="_46_3_0Crite">#N/A</definedName>
    <definedName name="_461____________________________________________________________________¤§¤_¤¡" hidden="1">{#N/A,#N/A,FALSE,"Sheet1"}</definedName>
    <definedName name="_462_________0_0__123Grap" hidden="1">#REF!</definedName>
    <definedName name="_468____________________________________________________________________wrn.Ã¶°ñÁý°èÇ_._.5Ä­." hidden="1">{#N/A,#N/A,FALSE,"Sheet1"}</definedName>
    <definedName name="_46a3_">#N/A</definedName>
    <definedName name="_47">#N/A</definedName>
    <definedName name="_47_______________________________________________________________________________________________0_0_F" hidden="1">#REF!</definedName>
    <definedName name="_47_3_0Crite">#N/A</definedName>
    <definedName name="_473_________0_0_F" hidden="1">#REF!</definedName>
    <definedName name="_477__________________________________________________________________¤§¤_¤¡" hidden="1">{#N/A,#N/A,FALSE,"Sheet1"}</definedName>
    <definedName name="_47B20996_">#N/A</definedName>
    <definedName name="_47P4_" hidden="1">{#N/A,#N/A,FALSE,"혼합골재"}</definedName>
    <definedName name="_48">#N/A</definedName>
    <definedName name="_48______________________________________________________________________________________________0_0_F" hidden="1">#REF!</definedName>
    <definedName name="_48_0_0__123Grap" hidden="1">#REF!</definedName>
    <definedName name="_48_0_0_F" hidden="1">#REF!</definedName>
    <definedName name="_48_3_0Criteria">#N/A</definedName>
    <definedName name="_48³_¿ª" hidden="1">{#N/A,#N/A,FALSE,"CCTV"}</definedName>
    <definedName name="_484__________________________________________________________________wrn.Ã¶°ñÁý°èÇ_._.5Ä­." hidden="1">{#N/A,#N/A,FALSE,"Sheet1"}</definedName>
    <definedName name="_484__________0__123Grap" hidden="1">#REF!</definedName>
    <definedName name="_48C_">#N/A</definedName>
    <definedName name="_48P5_" hidden="1">{#N/A,#N/A,FALSE,"배수1"}</definedName>
    <definedName name="_49">#N/A</definedName>
    <definedName name="_49_3_0Criteria">#N/A</definedName>
    <definedName name="_493________________________________________________________________¤§¤_¤¡" hidden="1">{#N/A,#N/A,FALSE,"Sheet1"}</definedName>
    <definedName name="_495__________0_Dist_" hidden="1">#REF!</definedName>
    <definedName name="_49D1_">#N/A</definedName>
    <definedName name="_49P6_" hidden="1">{#N/A,#N/A,FALSE,"2~8번"}</definedName>
    <definedName name="_4월">#REF!</definedName>
    <definedName name="_4A_1">#REF!</definedName>
    <definedName name="_4A_10">#REF!</definedName>
    <definedName name="_4A_11">#REF!</definedName>
    <definedName name="_4A_12">#REF!</definedName>
    <definedName name="_4A_13">#REF!</definedName>
    <definedName name="_4A_14">#REF!</definedName>
    <definedName name="_4A_15">#REF!</definedName>
    <definedName name="_4A_16">#REF!</definedName>
    <definedName name="_4A_17">#REF!</definedName>
    <definedName name="_4A_18">#REF!</definedName>
    <definedName name="_4A_19">#REF!</definedName>
    <definedName name="_4A_2">#REF!</definedName>
    <definedName name="_4A_20">#REF!</definedName>
    <definedName name="_4A_21">#REF!</definedName>
    <definedName name="_4A_22">#REF!</definedName>
    <definedName name="_4A_23">#REF!</definedName>
    <definedName name="_4A_24">#REF!</definedName>
    <definedName name="_4A_25">#REF!</definedName>
    <definedName name="_4A_26">#REF!</definedName>
    <definedName name="_4A_27">#REF!</definedName>
    <definedName name="_4A_28">#REF!</definedName>
    <definedName name="_4A_29">#REF!</definedName>
    <definedName name="_4A_3">#REF!</definedName>
    <definedName name="_4A_30">#REF!</definedName>
    <definedName name="_4A_4">#REF!</definedName>
    <definedName name="_4A_5">#REF!</definedName>
    <definedName name="_4A_6">#REF!</definedName>
    <definedName name="_4A_7">#REF!</definedName>
    <definedName name="_4A_8">#REF!</definedName>
    <definedName name="_4A_9">#REF!</definedName>
    <definedName name="_4B_1">#REF!</definedName>
    <definedName name="_4B_10">#REF!</definedName>
    <definedName name="_4B_11">#REF!</definedName>
    <definedName name="_4B_12">#REF!</definedName>
    <definedName name="_4B_13">#REF!</definedName>
    <definedName name="_4B_14">#REF!</definedName>
    <definedName name="_4B_15">#REF!</definedName>
    <definedName name="_4B_16">#REF!</definedName>
    <definedName name="_4B_17">#REF!</definedName>
    <definedName name="_4B_18">#REF!</definedName>
    <definedName name="_4B_19">#REF!</definedName>
    <definedName name="_4B_2">#REF!</definedName>
    <definedName name="_4B_20">#REF!</definedName>
    <definedName name="_4B_21">#REF!</definedName>
    <definedName name="_4B_22">#REF!</definedName>
    <definedName name="_4B_23">#REF!</definedName>
    <definedName name="_4B_24">#REF!</definedName>
    <definedName name="_4B_25">#REF!</definedName>
    <definedName name="_4B_26">#REF!</definedName>
    <definedName name="_4B_27">#REF!</definedName>
    <definedName name="_4B_28">#REF!</definedName>
    <definedName name="_4B_29">#REF!</definedName>
    <definedName name="_4B_3">#REF!</definedName>
    <definedName name="_4B_30">#REF!</definedName>
    <definedName name="_4B_4">#REF!</definedName>
    <definedName name="_4B_5">#REF!</definedName>
    <definedName name="_4B_6">#REF!</definedName>
    <definedName name="_4B_7">#REF!</definedName>
    <definedName name="_4B_8">#REF!</definedName>
    <definedName name="_4B_9">#REF!</definedName>
    <definedName name="_4C_">#N/A</definedName>
    <definedName name="_4C_1">#REF!</definedName>
    <definedName name="_4C_10">#REF!</definedName>
    <definedName name="_4C_11">#REF!</definedName>
    <definedName name="_4C_12">#REF!</definedName>
    <definedName name="_4C_13">#REF!</definedName>
    <definedName name="_4C_14">#REF!</definedName>
    <definedName name="_4C_15">#REF!</definedName>
    <definedName name="_4C_16">#REF!</definedName>
    <definedName name="_4C_17">#REF!</definedName>
    <definedName name="_4C_18">#REF!</definedName>
    <definedName name="_4C_19">#REF!</definedName>
    <definedName name="_4C_2">#REF!</definedName>
    <definedName name="_4C_20">#REF!</definedName>
    <definedName name="_4C_21">#REF!</definedName>
    <definedName name="_4C_22">#REF!</definedName>
    <definedName name="_4C_23">#REF!</definedName>
    <definedName name="_4C_24">#REF!</definedName>
    <definedName name="_4C_25">#REF!</definedName>
    <definedName name="_4C_26">#REF!</definedName>
    <definedName name="_4C_27">#REF!</definedName>
    <definedName name="_4C_28">#REF!</definedName>
    <definedName name="_4C_29">#REF!</definedName>
    <definedName name="_4C_3">#REF!</definedName>
    <definedName name="_4C_30">#REF!</definedName>
    <definedName name="_4C_4">#REF!</definedName>
    <definedName name="_4C_5">#REF!</definedName>
    <definedName name="_4C_6">#REF!</definedName>
    <definedName name="_4C_7">#REF!</definedName>
    <definedName name="_4C_8">#REF!</definedName>
    <definedName name="_4C_9">#REF!</definedName>
    <definedName name="_4D1_">#REF!</definedName>
    <definedName name="_4Dist_" hidden="1">#REF!</definedName>
    <definedName name="_4EE2_" hidden="1">{#N/A,#N/A,FALSE,"단가표지"}</definedName>
    <definedName name="_4F" hidden="1">#REF!</definedName>
    <definedName name="_4G_0Extract">#REF!</definedName>
    <definedName name="_4P4_" hidden="1">{#N/A,#N/A,FALSE,"혼합골재"}</definedName>
    <definedName name="_4S" hidden="1">#REF!</definedName>
    <definedName name="_4wrn.Ã¶°ñÁý°èÇ_._.5Ä­." hidden="1">{#N/A,#N/A,FALSE,"Sheet1"}</definedName>
    <definedName name="_5">#N/A</definedName>
    <definedName name="_5_________________________________________________________________________________________________________________________________________0_0_F" hidden="1">#REF!</definedName>
    <definedName name="_5________0__123Grap" hidden="1">#REF!</definedName>
    <definedName name="_5______0_0_F" hidden="1">#REF!</definedName>
    <definedName name="_5______123Grap" hidden="1">#REF!</definedName>
    <definedName name="_5______F" hidden="1">#REF!</definedName>
    <definedName name="_5____0__123Grap" hidden="1">#REF!</definedName>
    <definedName name="_5__123Graph_AMOB_01" hidden="1">#REF!</definedName>
    <definedName name="_5__123Graph_CCHART_2" hidden="1">#REF!</definedName>
    <definedName name="_5__123Graph_CENE_VVVF" hidden="1">#REF!</definedName>
    <definedName name="_5__123Graph_DCHART_1" hidden="1">#REF!</definedName>
    <definedName name="_5_0__123Grap" hidden="1">#REF!</definedName>
    <definedName name="_5_0_0__123Grap" hidden="1">#REF!</definedName>
    <definedName name="_5_0_0_F" hidden="1">#REF!</definedName>
    <definedName name="_5_0_Dist_" hidden="1">#REF!</definedName>
    <definedName name="_5_0_S" hidden="1">#N/A</definedName>
    <definedName name="_5_0\LA">#REF!</definedName>
    <definedName name="_5_0\SM">#REF!</definedName>
    <definedName name="_5_123Grap" hidden="1">#REF!</definedName>
    <definedName name="_5_3__Crite">#REF!</definedName>
    <definedName name="_5_3_0Crite">#REF!</definedName>
    <definedName name="_5.오수공">#N/A</definedName>
    <definedName name="_5¤§¤_¤¡" hidden="1">{#N/A,#N/A,FALSE,"Sheet1"}</definedName>
    <definedName name="_50">#N/A</definedName>
    <definedName name="_50_0_0_F" hidden="1">#REF!</definedName>
    <definedName name="_50_0_Dist_" hidden="1">#REF!</definedName>
    <definedName name="_50_6">#N/A</definedName>
    <definedName name="_500________________________________________________________________wrn.Ã¶°ñÁý°èÇ_._.5Ä­." hidden="1">{#N/A,#N/A,FALSE,"Sheet1"}</definedName>
    <definedName name="_502_______________________________________________________________¤§¤_¤¡" hidden="1">{#N/A,#N/A,FALSE,"Sheet1"}</definedName>
    <definedName name="_506________0_0__123Grap" hidden="1">#REF!</definedName>
    <definedName name="_509_______________________________________________________________wrn.Ã¶°ñÁý°èÇ_._.5Ä­." hidden="1">{#N/A,#N/A,FALSE,"Sheet1"}</definedName>
    <definedName name="_50억이상">#REF!</definedName>
    <definedName name="_50S3_" hidden="1">{#N/A,#N/A,FALSE,"포장2"}</definedName>
    <definedName name="_51">#N/A</definedName>
    <definedName name="_51_0_Dist_" hidden="1">#REF!</definedName>
    <definedName name="_51_7">#N/A</definedName>
    <definedName name="_511______________________________________________________________¤§¤_¤¡" hidden="1">{#N/A,#N/A,FALSE,"Sheet1"}</definedName>
    <definedName name="_517________0_0_F" hidden="1">#REF!</definedName>
    <definedName name="_518______________________________________________________________wrn.Ã¶°ñÁý°èÇ_._.5Ä­." hidden="1">{#N/A,#N/A,FALSE,"Sheet1"}</definedName>
    <definedName name="_51EE1_" hidden="1">{#N/A,#N/A,FALSE,"단가표지"}</definedName>
    <definedName name="_51H3_" hidden="1">{"'장비'!$A$3:$M$12"}</definedName>
    <definedName name="_52">#N/A</definedName>
    <definedName name="_52_0__123Grap" hidden="1">#REF!</definedName>
    <definedName name="_52_0_Dist_" hidden="1">#REF!</definedName>
    <definedName name="_52_8">#N/A</definedName>
    <definedName name="_520_____________________________________________________________¤§¤_¤¡" hidden="1">{#N/A,#N/A,FALSE,"Sheet1"}</definedName>
    <definedName name="_527_____________________________________________________________wrn.Ã¶°ñÁý°èÇ_._.5Ä­." hidden="1">{#N/A,#N/A,FALSE,"Sheet1"}</definedName>
    <definedName name="_528_________0__123Grap" hidden="1">#REF!</definedName>
    <definedName name="_529____________________________________________________________¤§¤_¤¡" hidden="1">{#N/A,#N/A,FALSE,"Sheet1"}</definedName>
    <definedName name="_53">#N/A</definedName>
    <definedName name="_53_3_0Criteria">#REF!</definedName>
    <definedName name="_53_9">#N/A</definedName>
    <definedName name="_536____________________________________________________________wrn.Ã¶°ñÁý°èÇ_._.5Ä­." hidden="1">{#N/A,#N/A,FALSE,"Sheet1"}</definedName>
    <definedName name="_538___________________________________________________________¤§¤_¤¡" hidden="1">{#N/A,#N/A,FALSE,"Sheet1"}</definedName>
    <definedName name="_539_________0_Dist_" hidden="1">#REF!</definedName>
    <definedName name="_53a122_" hidden="1">{#N/A,#N/A,FALSE,"속도"}</definedName>
    <definedName name="_54">#N/A</definedName>
    <definedName name="_54_0_0_F" hidden="1">#REF!</definedName>
    <definedName name="_54_3_0Criteria">#REF!</definedName>
    <definedName name="_545___________________________________________________________wrn.Ã¶°ñÁý°èÇ_._.5Ä­." hidden="1">{#N/A,#N/A,FALSE,"Sheet1"}</definedName>
    <definedName name="_547__________________________________________________________¤§¤_¤¡" hidden="1">{#N/A,#N/A,FALSE,"Sheet1"}</definedName>
    <definedName name="_54a122_" hidden="1">{#N/A,#N/A,FALSE,"속도"}</definedName>
    <definedName name="_55">#N/A</definedName>
    <definedName name="_55____________________0_Dist_" hidden="1">#REF!</definedName>
    <definedName name="_550_______0_0__123Grap" hidden="1">#REF!</definedName>
    <definedName name="_55001">#REF!</definedName>
    <definedName name="_55008">#REF!</definedName>
    <definedName name="_554__________________________________________________________wrn.Ã¶°ñÁý°èÇ_._.5Ä­." hidden="1">{#N/A,#N/A,FALSE,"Sheet1"}</definedName>
    <definedName name="_556_________________________________________________________¤§¤_¤¡" hidden="1">{#N/A,#N/A,FALSE,"Sheet1"}</definedName>
    <definedName name="_55단">#N/A</definedName>
    <definedName name="_56">#N/A</definedName>
    <definedName name="_561_______0_0_F" hidden="1">#REF!</definedName>
    <definedName name="_563_________________________________________________________wrn.Ã¶°ñÁý°èÇ_._.5Ä­." hidden="1">{#N/A,#N/A,FALSE,"Sheet1"}</definedName>
    <definedName name="_565________________________________________________________¤§¤_¤¡" hidden="1">{#N/A,#N/A,FALSE,"Sheet1"}</definedName>
    <definedName name="_56B20996_">#N/A</definedName>
    <definedName name="_57">#N/A</definedName>
    <definedName name="_572________________________________________________________wrn.Ã¶°ñÁý°èÇ_._.5Ä­." hidden="1">{#N/A,#N/A,FALSE,"Sheet1"}</definedName>
    <definedName name="_572________0__123Grap" hidden="1">#REF!</definedName>
    <definedName name="_574_______________________________________________________¤§¤_¤¡" hidden="1">{#N/A,#N/A,FALSE,"Sheet1"}</definedName>
    <definedName name="_57C_">#N/A</definedName>
    <definedName name="_57F21008_">#N/A</definedName>
    <definedName name="_58">#N/A</definedName>
    <definedName name="_581_______________________________________________________wrn.Ã¶°ñÁý°èÇ_._.5Ä­." hidden="1">{#N/A,#N/A,FALSE,"Sheet1"}</definedName>
    <definedName name="_583______________________________________________________¤§¤_¤¡" hidden="1">{#N/A,#N/A,FALSE,"Sheet1"}</definedName>
    <definedName name="_583________0_Dist_" hidden="1">#REF!</definedName>
    <definedName name="_58B20996_">#REF!</definedName>
    <definedName name="_58D1_">#N/A</definedName>
    <definedName name="_58EE1_" hidden="1">{#N/A,#N/A,FALSE,"단가표지"}</definedName>
    <definedName name="_58G_0Extr">#N/A</definedName>
    <definedName name="_59">#N/A</definedName>
    <definedName name="_59________0__123Grap" hidden="1">#REF!</definedName>
    <definedName name="_590______________________________________________________wrn.Ã¶°ñÁý°èÇ_._.5Ä­." hidden="1">{#N/A,#N/A,FALSE,"Sheet1"}</definedName>
    <definedName name="_592_____________________________________________________¤§¤_¤¡" hidden="1">{#N/A,#N/A,FALSE,"Sheet1"}</definedName>
    <definedName name="_594______0_0__123Grap" hidden="1">#REF!</definedName>
    <definedName name="_599_____________________________________________________wrn.Ã¶°ñÁý°èÇ_._.5Ä­." hidden="1">{#N/A,#N/A,FALSE,"Sheet1"}</definedName>
    <definedName name="_59EE1_" hidden="1">{#N/A,#N/A,FALSE,"단가표지"}</definedName>
    <definedName name="_59G_0Extract">#N/A</definedName>
    <definedName name="_59wrn.Ã¶°ñÁý°èÇ_._.5Ä­." hidden="1">{#N/A,#N/A,FALSE,"Sheet1"}</definedName>
    <definedName name="_5억원미만">#REF!</definedName>
    <definedName name="_5억이상_50억원미만">#REF!</definedName>
    <definedName name="_5월">#REF!</definedName>
    <definedName name="_5A_1">#REF!</definedName>
    <definedName name="_5A_10">#REF!</definedName>
    <definedName name="_5A_11">#REF!</definedName>
    <definedName name="_5A_12">#REF!</definedName>
    <definedName name="_5A_13">#REF!</definedName>
    <definedName name="_5A_14">#REF!</definedName>
    <definedName name="_5A_15">#REF!</definedName>
    <definedName name="_5A_16">#REF!</definedName>
    <definedName name="_5A_17">#REF!</definedName>
    <definedName name="_5A_18">#REF!</definedName>
    <definedName name="_5A_19">#REF!</definedName>
    <definedName name="_5A_2">#REF!</definedName>
    <definedName name="_5A_20">#REF!</definedName>
    <definedName name="_5A_21">#REF!</definedName>
    <definedName name="_5A_22">#REF!</definedName>
    <definedName name="_5A_23">#REF!</definedName>
    <definedName name="_5A_24">#REF!</definedName>
    <definedName name="_5A_25">#REF!</definedName>
    <definedName name="_5A_26">#REF!</definedName>
    <definedName name="_5A_27">#REF!</definedName>
    <definedName name="_5A_28">#REF!</definedName>
    <definedName name="_5A_29">#REF!</definedName>
    <definedName name="_5A_3">#REF!</definedName>
    <definedName name="_5A_30">#REF!</definedName>
    <definedName name="_5A_4">#REF!</definedName>
    <definedName name="_5A_5">#REF!</definedName>
    <definedName name="_5A_6">#REF!</definedName>
    <definedName name="_5A_7">#REF!</definedName>
    <definedName name="_5A_8">#REF!</definedName>
    <definedName name="_5A_9">#REF!</definedName>
    <definedName name="_5B_1">#REF!</definedName>
    <definedName name="_5B_10">#REF!</definedName>
    <definedName name="_5B_11">#REF!</definedName>
    <definedName name="_5B_12">#REF!</definedName>
    <definedName name="_5B_13">#REF!</definedName>
    <definedName name="_5B_14">#REF!</definedName>
    <definedName name="_5B_15">#REF!</definedName>
    <definedName name="_5B_16">#REF!</definedName>
    <definedName name="_5B_17">#REF!</definedName>
    <definedName name="_5B_18">#REF!</definedName>
    <definedName name="_5B_19">#REF!</definedName>
    <definedName name="_5B_2">#REF!</definedName>
    <definedName name="_5B_20">#REF!</definedName>
    <definedName name="_5B_21">#REF!</definedName>
    <definedName name="_5B_22">#REF!</definedName>
    <definedName name="_5B_23">#REF!</definedName>
    <definedName name="_5B_24">#REF!</definedName>
    <definedName name="_5B_25">#REF!</definedName>
    <definedName name="_5B_26">#REF!</definedName>
    <definedName name="_5B_27">#REF!</definedName>
    <definedName name="_5B_28">#REF!</definedName>
    <definedName name="_5B_29">#REF!</definedName>
    <definedName name="_5B_3">#REF!</definedName>
    <definedName name="_5B_30">#REF!</definedName>
    <definedName name="_5B_4">#REF!</definedName>
    <definedName name="_5B_5">#REF!</definedName>
    <definedName name="_5B_6">#REF!</definedName>
    <definedName name="_5B_7">#REF!</definedName>
    <definedName name="_5B_8">#REF!</definedName>
    <definedName name="_5B_9">#REF!</definedName>
    <definedName name="_5C_">#N/A</definedName>
    <definedName name="_5C_1">#REF!</definedName>
    <definedName name="_5C_10">#REF!</definedName>
    <definedName name="_5C_11">#REF!</definedName>
    <definedName name="_5C_12">#REF!</definedName>
    <definedName name="_5C_13">#REF!</definedName>
    <definedName name="_5C_14">#REF!</definedName>
    <definedName name="_5C_15">#REF!</definedName>
    <definedName name="_5C_16">#REF!</definedName>
    <definedName name="_5C_17">#REF!</definedName>
    <definedName name="_5C_18">#REF!</definedName>
    <definedName name="_5C_19">#REF!</definedName>
    <definedName name="_5C_2">#REF!</definedName>
    <definedName name="_5C_20">#REF!</definedName>
    <definedName name="_5C_21">#REF!</definedName>
    <definedName name="_5C_22">#REF!</definedName>
    <definedName name="_5C_23">#REF!</definedName>
    <definedName name="_5C_24">#REF!</definedName>
    <definedName name="_5C_25">#REF!</definedName>
    <definedName name="_5C_26">#REF!</definedName>
    <definedName name="_5C_27">#REF!</definedName>
    <definedName name="_5C_28">#REF!</definedName>
    <definedName name="_5C_29">#REF!</definedName>
    <definedName name="_5C_3">#REF!</definedName>
    <definedName name="_5C_30">#REF!</definedName>
    <definedName name="_5C_4">#REF!</definedName>
    <definedName name="_5C_5">#REF!</definedName>
    <definedName name="_5C_6">#REF!</definedName>
    <definedName name="_5C_7">#REF!</definedName>
    <definedName name="_5C_8">#REF!</definedName>
    <definedName name="_5C_9">#REF!</definedName>
    <definedName name="_5D2_">#REF!</definedName>
    <definedName name="_5EE1_" hidden="1">{#N/A,#N/A,FALSE,"단가표지"}</definedName>
    <definedName name="_5F" hidden="1">#REF!</definedName>
    <definedName name="_6">#N/A</definedName>
    <definedName name="_6________________________________________________________________________________________________________________________________________0_0_F" hidden="1">#REF!</definedName>
    <definedName name="_6_____F" hidden="1">#REF!</definedName>
    <definedName name="_6____0__123Grap" hidden="1">#REF!</definedName>
    <definedName name="_6____0_Dist_" hidden="1">#REF!</definedName>
    <definedName name="_6__0_0_F" hidden="1">#REF!</definedName>
    <definedName name="_6__123Graph_AMOB_02" hidden="1">#REF!</definedName>
    <definedName name="_6__123Graph_CPOWER_MT" hidden="1">#REF!</definedName>
    <definedName name="_6__123Graph_XChart_1A" hidden="1">#REF!</definedName>
    <definedName name="_6_?쾴?_?">#REF!</definedName>
    <definedName name="_6_0__123Grap" hidden="1">#REF!</definedName>
    <definedName name="_6_0_0__123Grap" hidden="1">#REF!</definedName>
    <definedName name="_6_0_0_F" hidden="1">#REF!</definedName>
    <definedName name="_6_0_0_S" hidden="1">#REF!</definedName>
    <definedName name="_6_0_Dist_" hidden="1">#REF!</definedName>
    <definedName name="_6_0_S" hidden="1">#REF!</definedName>
    <definedName name="_6_0\MID">#REF!</definedName>
    <definedName name="_6_123Grap" hidden="1">#REF!</definedName>
    <definedName name="_6_3__Criteria">#REF!</definedName>
    <definedName name="_6_3_0Crite">#REF!</definedName>
    <definedName name="_6.포장공">#N/A</definedName>
    <definedName name="_60">#N/A</definedName>
    <definedName name="_60_0_0_S" hidden="1">#REF!</definedName>
    <definedName name="_601____________________________________________________¤§¤_¤¡" hidden="1">{#N/A,#N/A,FALSE,"Sheet1"}</definedName>
    <definedName name="_605______0_0_F" hidden="1">#REF!</definedName>
    <definedName name="_608____________________________________________________wrn.Ã¶°ñÁý°èÇ_._.5Ä­." hidden="1">{#N/A,#N/A,FALSE,"Sheet1"}</definedName>
    <definedName name="_60G__Extr">#N/A</definedName>
    <definedName name="_61">#N/A</definedName>
    <definedName name="_610___________________________________________________¤§¤_¤¡" hidden="1">{#N/A,#N/A,FALSE,"Sheet1"}</definedName>
    <definedName name="_616_______0__123Grap" hidden="1">#REF!</definedName>
    <definedName name="_617___________________________________________________wrn.Ã¶°ñÁý°èÇ_._.5Ä­." hidden="1">{#N/A,#N/A,FALSE,"Sheet1"}</definedName>
    <definedName name="_619__________________________________________________¤§¤_¤¡" hidden="1">{#N/A,#N/A,FALSE,"Sheet1"}</definedName>
    <definedName name="_61G__Extract">#N/A</definedName>
    <definedName name="_62">#N/A</definedName>
    <definedName name="_626__________________________________________________wrn.Ã¶°ñÁý°èÇ_._.5Ä­." hidden="1">{#N/A,#N/A,FALSE,"Sheet1"}</definedName>
    <definedName name="_627_______0_Dist_" hidden="1">#REF!</definedName>
    <definedName name="_628_________________________________________________¤§¤_¤¡" hidden="1">{#N/A,#N/A,FALSE,"Sheet1"}</definedName>
    <definedName name="_63">#N/A</definedName>
    <definedName name="_635_________________________________________________wrn.Ã¶°ñÁý°èÇ_._.5Ä­." hidden="1">{#N/A,#N/A,FALSE,"Sheet1"}</definedName>
    <definedName name="_637________________________________________________¤§¤_¤¡" hidden="1">{#N/A,#N/A,FALSE,"Sheet1"}</definedName>
    <definedName name="_638_____0_0__123Grap" hidden="1">#REF!</definedName>
    <definedName name="_63IL1_">#N/A</definedName>
    <definedName name="_64">#N/A</definedName>
    <definedName name="_644________________________________________________wrn.Ã¶°ñÁý°èÇ_._.5Ä­." hidden="1">{#N/A,#N/A,FALSE,"Sheet1"}</definedName>
    <definedName name="_646_______________________________________________¤§¤_¤¡" hidden="1">{#N/A,#N/A,FALSE,"Sheet1"}</definedName>
    <definedName name="_649_____0_0_F" hidden="1">#REF!</definedName>
    <definedName name="_64G_0Extr">#REF!</definedName>
    <definedName name="_65">#N/A</definedName>
    <definedName name="_657_______________________________________________wrn.Ã¶°ñÁý°èÇ_._.5Ä­." hidden="1">{#N/A,#N/A,FALSE,"Sheet1"}</definedName>
    <definedName name="_659______________________________________________¤§¤_¤¡" hidden="1">{#N/A,#N/A,FALSE,"Sheet1"}</definedName>
    <definedName name="_65G_0Extr">#REF!</definedName>
    <definedName name="_66">#N/A</definedName>
    <definedName name="_66__________________0_0__123Grap" hidden="1">#REF!</definedName>
    <definedName name="_660______0__123Grap" hidden="1">#REF!</definedName>
    <definedName name="_66F21008_">#N/A</definedName>
    <definedName name="_67">#N/A</definedName>
    <definedName name="_67_0_F" hidden="1">#N/A</definedName>
    <definedName name="_670______________________________________________wrn.Ã¶°ñÁý°èÇ_._.5Ä­." hidden="1">{#N/A,#N/A,FALSE,"Sheet1"}</definedName>
    <definedName name="_671______0_Dist_" hidden="1">#REF!</definedName>
    <definedName name="_672_____________________________________________¤§¤_¤¡" hidden="1">{#N/A,#N/A,FALSE,"Sheet1"}</definedName>
    <definedName name="_67G_0Extr">#N/A</definedName>
    <definedName name="_68">#N/A</definedName>
    <definedName name="_682____0_0__123Grap" hidden="1">#REF!</definedName>
    <definedName name="_683_____________________________________________wrn.Ã¶°ñÁý°èÇ_._.5Ä­." hidden="1">{#N/A,#N/A,FALSE,"Sheet1"}</definedName>
    <definedName name="_685____________________________________________¤§¤_¤¡" hidden="1">{#N/A,#N/A,FALSE,"Sheet1"}</definedName>
    <definedName name="_68G_0Extr">#N/A</definedName>
    <definedName name="_69">#N/A</definedName>
    <definedName name="_693____0_0_F" hidden="1">#REF!</definedName>
    <definedName name="_696____________________________________________wrn.Ã¶°ñÁý°èÇ_._.5Ä­." hidden="1">{#N/A,#N/A,FALSE,"Sheet1"}</definedName>
    <definedName name="_69G_0Extract">#N/A</definedName>
    <definedName name="_6월">#REF!</definedName>
    <definedName name="_6A_1">#REF!</definedName>
    <definedName name="_6A_10">#REF!</definedName>
    <definedName name="_6A_11">#REF!</definedName>
    <definedName name="_6A_12">#REF!</definedName>
    <definedName name="_6A_13">#REF!</definedName>
    <definedName name="_6A_14">#REF!</definedName>
    <definedName name="_6A_15">#REF!</definedName>
    <definedName name="_6A_16">#REF!</definedName>
    <definedName name="_6A_17">#REF!</definedName>
    <definedName name="_6A_18">#REF!</definedName>
    <definedName name="_6A_19">#REF!</definedName>
    <definedName name="_6A_2">#REF!</definedName>
    <definedName name="_6A_20">#REF!</definedName>
    <definedName name="_6A_21">#REF!</definedName>
    <definedName name="_6A_22">#REF!</definedName>
    <definedName name="_6A_23">#REF!</definedName>
    <definedName name="_6A_24">#REF!</definedName>
    <definedName name="_6A_25">#REF!</definedName>
    <definedName name="_6A_26">#REF!</definedName>
    <definedName name="_6A_27">#REF!</definedName>
    <definedName name="_6A_28">#REF!</definedName>
    <definedName name="_6A_29">#REF!</definedName>
    <definedName name="_6A_3">#REF!</definedName>
    <definedName name="_6A_30">#REF!</definedName>
    <definedName name="_6A_4">#REF!</definedName>
    <definedName name="_6A_5">#REF!</definedName>
    <definedName name="_6A_6">#REF!</definedName>
    <definedName name="_6A_7">#REF!</definedName>
    <definedName name="_6A_8">#REF!</definedName>
    <definedName name="_6A_9">#REF!</definedName>
    <definedName name="_6a122_" hidden="1">{#N/A,#N/A,FALSE,"속도"}</definedName>
    <definedName name="_6B_1">#REF!</definedName>
    <definedName name="_6B_10">#REF!</definedName>
    <definedName name="_6B_11">#REF!</definedName>
    <definedName name="_6B_12">#REF!</definedName>
    <definedName name="_6B_13">#REF!</definedName>
    <definedName name="_6B_14">#REF!</definedName>
    <definedName name="_6B_15">#REF!</definedName>
    <definedName name="_6B_16">#REF!</definedName>
    <definedName name="_6B_17">#REF!</definedName>
    <definedName name="_6B_18">#REF!</definedName>
    <definedName name="_6B_19">#REF!</definedName>
    <definedName name="_6B_2">#REF!</definedName>
    <definedName name="_6B_20">#REF!</definedName>
    <definedName name="_6B_21">#REF!</definedName>
    <definedName name="_6B_22">#REF!</definedName>
    <definedName name="_6B_23">#REF!</definedName>
    <definedName name="_6B_24">#REF!</definedName>
    <definedName name="_6B_25">#REF!</definedName>
    <definedName name="_6B_26">#REF!</definedName>
    <definedName name="_6B_27">#REF!</definedName>
    <definedName name="_6B_28">#REF!</definedName>
    <definedName name="_6B_29">#REF!</definedName>
    <definedName name="_6B_3">#REF!</definedName>
    <definedName name="_6B_30">#REF!</definedName>
    <definedName name="_6B_4">#REF!</definedName>
    <definedName name="_6B_5">#REF!</definedName>
    <definedName name="_6B_6">#REF!</definedName>
    <definedName name="_6B_7">#REF!</definedName>
    <definedName name="_6B_8">#REF!</definedName>
    <definedName name="_6B_9">#REF!</definedName>
    <definedName name="_6C_1">#REF!</definedName>
    <definedName name="_6C_10">#REF!</definedName>
    <definedName name="_6C_11">#REF!</definedName>
    <definedName name="_6C_12">#REF!</definedName>
    <definedName name="_6C_13">#REF!</definedName>
    <definedName name="_6C_14">#REF!</definedName>
    <definedName name="_6C_15">#REF!</definedName>
    <definedName name="_6C_16">#REF!</definedName>
    <definedName name="_6C_17">#REF!</definedName>
    <definedName name="_6C_18">#REF!</definedName>
    <definedName name="_6C_19">#REF!</definedName>
    <definedName name="_6C_2">#REF!</definedName>
    <definedName name="_6C_20">#REF!</definedName>
    <definedName name="_6C_21">#REF!</definedName>
    <definedName name="_6C_22">#REF!</definedName>
    <definedName name="_6C_23">#REF!</definedName>
    <definedName name="_6C_24">#REF!</definedName>
    <definedName name="_6C_25">#REF!</definedName>
    <definedName name="_6C_26">#REF!</definedName>
    <definedName name="_6C_27">#REF!</definedName>
    <definedName name="_6C_28">#REF!</definedName>
    <definedName name="_6C_29">#REF!</definedName>
    <definedName name="_6C_3">#REF!</definedName>
    <definedName name="_6C_30">#REF!</definedName>
    <definedName name="_6C_4">#REF!</definedName>
    <definedName name="_6C_5">#REF!</definedName>
    <definedName name="_6C_6">#REF!</definedName>
    <definedName name="_6C_7">#REF!</definedName>
    <definedName name="_6C_8">#REF!</definedName>
    <definedName name="_6C_9">#REF!</definedName>
    <definedName name="_6Dist_" hidden="1">#REF!</definedName>
    <definedName name="_6EE2_" hidden="1">{#N/A,#N/A,FALSE,"단가표지"}</definedName>
    <definedName name="_6G__Extr">#REF!</definedName>
    <definedName name="_6P5_" hidden="1">{#N/A,#N/A,FALSE,"배수1"}</definedName>
    <definedName name="_6S" hidden="1">#REF!</definedName>
    <definedName name="_6wrn.Ã¶°ñÁý°èÇ_._.5Ä­." hidden="1">{#N/A,#N/A,FALSE,"Sheet1"}</definedName>
    <definedName name="_7">#N/A</definedName>
    <definedName name="_7_______________________________________________________________________________________________________________________________________0_0_F" hidden="1">#REF!</definedName>
    <definedName name="_7_____F" hidden="1">#REF!</definedName>
    <definedName name="_7____0_Dist_" hidden="1">#REF!</definedName>
    <definedName name="_7__123Graph_BMOB_01" hidden="1">#REF!</definedName>
    <definedName name="_7__123Graph_DCHART_2" hidden="1">#REF!</definedName>
    <definedName name="_7__123Graph_DENE_VVVF" hidden="1">#REF!</definedName>
    <definedName name="_7_0__123Grap" hidden="1">#REF!</definedName>
    <definedName name="_7_0_0__123Grap" hidden="1">#REF!</definedName>
    <definedName name="_7_0_0_F" hidden="1">#REF!</definedName>
    <definedName name="_7_0_Dist_" hidden="1">#REF!</definedName>
    <definedName name="_7_0_F" hidden="1">#N/A</definedName>
    <definedName name="_7_0_S" hidden="1">#REF!</definedName>
    <definedName name="_7_0\SM">#REF!</definedName>
    <definedName name="_7_123Grap" hidden="1">#REF!</definedName>
    <definedName name="_7_15_17_13.5_13.5">#REF!</definedName>
    <definedName name="_7_3_0Crite">#REF!</definedName>
    <definedName name="_7_3_0Criteria">#REF!</definedName>
    <definedName name="_7.부대공">#N/A</definedName>
    <definedName name="_70">#N/A</definedName>
    <definedName name="_70_0_0_F" hidden="1">#REF!</definedName>
    <definedName name="_70_0_S" hidden="1">#N/A</definedName>
    <definedName name="_704_____0__123Grap" hidden="1">#REF!</definedName>
    <definedName name="_709__________________________________________¤§¤_¤¡" hidden="1">{#N/A,#N/A,FALSE,"Sheet1"}</definedName>
    <definedName name="_70G_0Extract">#N/A</definedName>
    <definedName name="_71">#N/A</definedName>
    <definedName name="_71_0_0_F" hidden="1">#REF!</definedName>
    <definedName name="_71_123Grap" hidden="1">#REF!</definedName>
    <definedName name="_715_____0_Dist_" hidden="1">#REF!</definedName>
    <definedName name="_71G_0Extract">#REF!</definedName>
    <definedName name="_72">#N/A</definedName>
    <definedName name="_72_0__123Grap" hidden="1">#REF!</definedName>
    <definedName name="_72_0_0_F" hidden="1">#REF!</definedName>
    <definedName name="_720__________________________________________wrn.Ã¶°ñÁý°èÇ_._.5Ä­." hidden="1">{#N/A,#N/A,FALSE,"Sheet1"}</definedName>
    <definedName name="_722_________________________________________¤§¤_¤¡" hidden="1">{#N/A,#N/A,FALSE,"Sheet1"}</definedName>
    <definedName name="_726___0_0__123Grap" hidden="1">#REF!</definedName>
    <definedName name="_72G_0Extract">#REF!</definedName>
    <definedName name="_72IL1_">#N/A</definedName>
    <definedName name="_73">#N/A</definedName>
    <definedName name="_73_0_S" hidden="1">#N/A</definedName>
    <definedName name="_733_________________________________________wrn.Ã¶°ñÁý°èÇ_._.5Ä­." hidden="1">{#N/A,#N/A,FALSE,"Sheet1"}</definedName>
    <definedName name="_735________________________________________¤§¤_¤¡" hidden="1">{#N/A,#N/A,FALSE,"Sheet1"}</definedName>
    <definedName name="_74">#N/A</definedName>
    <definedName name="_746________________________________________wrn.Ã¶°ñÁý°èÇ_._.5Ä­." hidden="1">{#N/A,#N/A,FALSE,"Sheet1"}</definedName>
    <definedName name="_748_______________________________________¤§¤_¤¡" hidden="1">{#N/A,#N/A,FALSE,"Sheet1"}</definedName>
    <definedName name="_74EE1_" hidden="1">{#N/A,#N/A,FALSE,"단가표지"}</definedName>
    <definedName name="_75">#N/A</definedName>
    <definedName name="_759_______________________________________wrn.Ã¶°ñÁý°èÇ_._.5Ä­." hidden="1">{#N/A,#N/A,FALSE,"Sheet1"}</definedName>
    <definedName name="_76">#N/A</definedName>
    <definedName name="_761______________________________________¤§¤_¤¡" hidden="1">{#N/A,#N/A,FALSE,"Sheet1"}</definedName>
    <definedName name="_77">#N/A</definedName>
    <definedName name="_77__________________0_0_F" hidden="1">#REF!</definedName>
    <definedName name="_772______________________________________wrn.Ã¶°ñÁý°èÇ_._.5Ä­." hidden="1">{#N/A,#N/A,FALSE,"Sheet1"}</definedName>
    <definedName name="_774_____________________________________¤§¤_¤¡" hidden="1">{#N/A,#N/A,FALSE,"Sheet1"}</definedName>
    <definedName name="_78">#N/A</definedName>
    <definedName name="_78_0__123Grap" hidden="1">#REF!</definedName>
    <definedName name="_785_____________________________________wrn.Ã¶°ñÁý°èÇ_._.5Ä­." hidden="1">{#N/A,#N/A,FALSE,"Sheet1"}</definedName>
    <definedName name="_79">#N/A</definedName>
    <definedName name="_79P3_" hidden="1">{#N/A,#N/A,FALSE,"배수1"}</definedName>
    <definedName name="_7A_1">#REF!</definedName>
    <definedName name="_7A_10">#REF!</definedName>
    <definedName name="_7A_11">#REF!</definedName>
    <definedName name="_7A_12">#REF!</definedName>
    <definedName name="_7A_13">#REF!</definedName>
    <definedName name="_7A_14">#REF!</definedName>
    <definedName name="_7A_15">#REF!</definedName>
    <definedName name="_7A_16">#REF!</definedName>
    <definedName name="_7A_17">#REF!</definedName>
    <definedName name="_7A_18">#REF!</definedName>
    <definedName name="_7A_19">#REF!</definedName>
    <definedName name="_7A_2">#REF!</definedName>
    <definedName name="_7A_20">#REF!</definedName>
    <definedName name="_7A_21">#REF!</definedName>
    <definedName name="_7A_22">#REF!</definedName>
    <definedName name="_7A_23">#REF!</definedName>
    <definedName name="_7A_24">#REF!</definedName>
    <definedName name="_7A_25">#REF!</definedName>
    <definedName name="_7A_26">#REF!</definedName>
    <definedName name="_7A_27">#REF!</definedName>
    <definedName name="_7A_28">#REF!</definedName>
    <definedName name="_7A_29">#REF!</definedName>
    <definedName name="_7A_3">#REF!</definedName>
    <definedName name="_7A_30">#REF!</definedName>
    <definedName name="_7A_4">#REF!</definedName>
    <definedName name="_7A_5">#REF!</definedName>
    <definedName name="_7A_6">#REF!</definedName>
    <definedName name="_7A_7">#REF!</definedName>
    <definedName name="_7A_8">#REF!</definedName>
    <definedName name="_7A_9">#REF!</definedName>
    <definedName name="_7a1_" hidden="1">0</definedName>
    <definedName name="_7B_1">#REF!</definedName>
    <definedName name="_7B_10">#REF!</definedName>
    <definedName name="_7B_11">#REF!</definedName>
    <definedName name="_7B_12">#REF!</definedName>
    <definedName name="_7B_13">#REF!</definedName>
    <definedName name="_7B_14">#REF!</definedName>
    <definedName name="_7B_15">#REF!</definedName>
    <definedName name="_7B_16">#REF!</definedName>
    <definedName name="_7B_17">#REF!</definedName>
    <definedName name="_7B_18">#REF!</definedName>
    <definedName name="_7B_19">#REF!</definedName>
    <definedName name="_7B_2">#REF!</definedName>
    <definedName name="_7B_20">#REF!</definedName>
    <definedName name="_7B_21">#REF!</definedName>
    <definedName name="_7B_22">#REF!</definedName>
    <definedName name="_7B_23">#REF!</definedName>
    <definedName name="_7B_24">#REF!</definedName>
    <definedName name="_7B_25">#REF!</definedName>
    <definedName name="_7B_26">#REF!</definedName>
    <definedName name="_7B_27">#REF!</definedName>
    <definedName name="_7B_28">#REF!</definedName>
    <definedName name="_7B_29">#REF!</definedName>
    <definedName name="_7B_3">#REF!</definedName>
    <definedName name="_7B_30">#REF!</definedName>
    <definedName name="_7B_4">#REF!</definedName>
    <definedName name="_7B_5">#REF!</definedName>
    <definedName name="_7B_6">#REF!</definedName>
    <definedName name="_7B_7">#REF!</definedName>
    <definedName name="_7B_8">#REF!</definedName>
    <definedName name="_7B_9">#REF!</definedName>
    <definedName name="_7C_1">#REF!</definedName>
    <definedName name="_7C_10">#REF!</definedName>
    <definedName name="_7C_11">#REF!</definedName>
    <definedName name="_7C_12">#REF!</definedName>
    <definedName name="_7C_13">#REF!</definedName>
    <definedName name="_7C_14">#REF!</definedName>
    <definedName name="_7C_15">#REF!</definedName>
    <definedName name="_7C_16">#REF!</definedName>
    <definedName name="_7C_17">#REF!</definedName>
    <definedName name="_7C_18">#REF!</definedName>
    <definedName name="_7C_19">#REF!</definedName>
    <definedName name="_7C_2">#REF!</definedName>
    <definedName name="_7C_20">#REF!</definedName>
    <definedName name="_7C_21">#REF!</definedName>
    <definedName name="_7C_22">#REF!</definedName>
    <definedName name="_7C_23">#REF!</definedName>
    <definedName name="_7C_24">#REF!</definedName>
    <definedName name="_7C_25">#REF!</definedName>
    <definedName name="_7C_26">#REF!</definedName>
    <definedName name="_7C_27">#REF!</definedName>
    <definedName name="_7C_28">#REF!</definedName>
    <definedName name="_7C_29">#REF!</definedName>
    <definedName name="_7C_3">#REF!</definedName>
    <definedName name="_7C_30">#REF!</definedName>
    <definedName name="_7C_4">#REF!</definedName>
    <definedName name="_7C_5">#REF!</definedName>
    <definedName name="_7C_6">#REF!</definedName>
    <definedName name="_7C_7">#REF!</definedName>
    <definedName name="_7C_8">#REF!</definedName>
    <definedName name="_7C_9">#REF!</definedName>
    <definedName name="_7D3_">#REF!</definedName>
    <definedName name="_7Dist_" hidden="1">#REF!</definedName>
    <definedName name="_7EE1_" hidden="1">{#N/A,#N/A,FALSE,"단가표지"}</definedName>
    <definedName name="_7F" hidden="1">#REF!</definedName>
    <definedName name="_7P3_" hidden="1">{#N/A,#N/A,FALSE,"배수1"}</definedName>
    <definedName name="_7q45_">{"'용역비'!$A$4:$C$8"}</definedName>
    <definedName name="_7S" hidden="1">#REF!</definedName>
    <definedName name="_8">#N/A</definedName>
    <definedName name="_8______________________________________________________________________________________________________________________________________0_0_F" hidden="1">#REF!</definedName>
    <definedName name="_8____0_Dist_" hidden="1">#REF!</definedName>
    <definedName name="_8__0_0_F" hidden="1">#REF!</definedName>
    <definedName name="_8__123Graph_BMOB_02" hidden="1">#REF!</definedName>
    <definedName name="_8__123Graph_DPOWER_MT" hidden="1">#REF!</definedName>
    <definedName name="_8_0__123Grap" hidden="1">#REF!</definedName>
    <definedName name="_8_0_0__123Grap" hidden="1">#REF!</definedName>
    <definedName name="_8_0_0_F" hidden="1">#REF!</definedName>
    <definedName name="_8_0_0_FF" hidden="1">#REF!</definedName>
    <definedName name="_8_0_Dist_" hidden="1">#REF!</definedName>
    <definedName name="_8_0_F" hidden="1">#REF!</definedName>
    <definedName name="_8_0_S" hidden="1">#REF!</definedName>
    <definedName name="_8_0ME">#REF!</definedName>
    <definedName name="_8_123Grap" hidden="1">#N/A</definedName>
    <definedName name="_8_3__Criteria">#REF!</definedName>
    <definedName name="_8_3_0Criteria">#REF!</definedName>
    <definedName name="_8.자재운반공">#N/A</definedName>
    <definedName name="_80">#N/A</definedName>
    <definedName name="_802___0_0_F" hidden="1">#REF!</definedName>
    <definedName name="_803___0_0_F" hidden="1">#REF!</definedName>
    <definedName name="_80P4_" hidden="1">{#N/A,#N/A,FALSE,"혼합골재"}</definedName>
    <definedName name="_81">#N/A</definedName>
    <definedName name="_814____0__123Grap" hidden="1">#REF!</definedName>
    <definedName name="_81P5_" hidden="1">{#N/A,#N/A,FALSE,"배수1"}</definedName>
    <definedName name="_82">#N/A</definedName>
    <definedName name="_825____0_Dist_" hidden="1">#REF!</definedName>
    <definedName name="_82P6_" hidden="1">{#N/A,#N/A,FALSE,"2~8번"}</definedName>
    <definedName name="_83">#N/A</definedName>
    <definedName name="_836__0_0__123Grap" hidden="1">#REF!</definedName>
    <definedName name="_84">#N/A</definedName>
    <definedName name="_84S3_" hidden="1">{#N/A,#N/A,FALSE,"포장2"}</definedName>
    <definedName name="_85">#N/A</definedName>
    <definedName name="_86">#N/A</definedName>
    <definedName name="_868__________________________¤§¤_¤¡" hidden="1">{#N/A,#N/A,FALSE,"Sheet1"}</definedName>
    <definedName name="_869__________________________wrn.Ã¶°ñÁý°èÇ_._.5Ä­." hidden="1">{#N/A,#N/A,FALSE,"Sheet1"}</definedName>
    <definedName name="_87">#N/A</definedName>
    <definedName name="_870_______________¤§¤_¤¡" hidden="1">{#N/A,#N/A,FALSE,"Sheet1"}</definedName>
    <definedName name="_871_______________wrn.Ã¶°ñÁý°èÇ_._.5Ä­." hidden="1">{#N/A,#N/A,FALSE,"Sheet1"}</definedName>
    <definedName name="_872______________¤§¤_¤¡" hidden="1">{#N/A,#N/A,FALSE,"Sheet1"}</definedName>
    <definedName name="_873______________wrn.Ã¶°ñÁý°èÇ_._.5Ä­." hidden="1">{#N/A,#N/A,FALSE,"Sheet1"}</definedName>
    <definedName name="_874_____________¤§¤_¤¡" hidden="1">{#N/A,#N/A,FALSE,"Sheet1"}</definedName>
    <definedName name="_875_____________wrn.Ã¶°ñÁý°èÇ_._.5Ä­." hidden="1">{#N/A,#N/A,FALSE,"Sheet1"}</definedName>
    <definedName name="_877____________¤§¤_¤¡" hidden="1">{#N/A,#N/A,FALSE,"Sheet1"}</definedName>
    <definedName name="_88">#N/A</definedName>
    <definedName name="_88___________________0__123Grap" hidden="1">#REF!</definedName>
    <definedName name="_884____________wrn.Ã¶°ñÁý°èÇ_._.5Ä­." hidden="1">{#N/A,#N/A,FALSE,"Sheet1"}</definedName>
    <definedName name="_886___________¤§¤_¤¡" hidden="1">{#N/A,#N/A,FALSE,"Sheet1"}</definedName>
    <definedName name="_89">#N/A</definedName>
    <definedName name="_893___________wrn.Ã¶°ñÁý°èÇ_._.5Ä­." hidden="1">{#N/A,#N/A,FALSE,"Sheet1"}</definedName>
    <definedName name="_895__________¤§¤_¤¡" hidden="1">{#N/A,#N/A,FALSE,"Sheet1"}</definedName>
    <definedName name="_8A_1">#REF!</definedName>
    <definedName name="_8A_10">#REF!</definedName>
    <definedName name="_8A_11">#REF!</definedName>
    <definedName name="_8A_12">#REF!</definedName>
    <definedName name="_8A_13">#REF!</definedName>
    <definedName name="_8A_14">#REF!</definedName>
    <definedName name="_8A_15">#REF!</definedName>
    <definedName name="_8A_16">#REF!</definedName>
    <definedName name="_8A_17">#REF!</definedName>
    <definedName name="_8A_18">#REF!</definedName>
    <definedName name="_8A_19">#REF!</definedName>
    <definedName name="_8A_2">#REF!</definedName>
    <definedName name="_8A_20">#REF!</definedName>
    <definedName name="_8A_21">#REF!</definedName>
    <definedName name="_8A_22">#REF!</definedName>
    <definedName name="_8A_23">#REF!</definedName>
    <definedName name="_8A_24">#REF!</definedName>
    <definedName name="_8A_25">#REF!</definedName>
    <definedName name="_8A_26">#REF!</definedName>
    <definedName name="_8A_27">#REF!</definedName>
    <definedName name="_8A_28">#REF!</definedName>
    <definedName name="_8A_29">#REF!</definedName>
    <definedName name="_8A_3">#REF!</definedName>
    <definedName name="_8A_30">#REF!</definedName>
    <definedName name="_8A_4">#REF!</definedName>
    <definedName name="_8A_5">#REF!</definedName>
    <definedName name="_8A_6">#REF!</definedName>
    <definedName name="_8A_7">#REF!</definedName>
    <definedName name="_8A_8">#REF!</definedName>
    <definedName name="_8A_9">#REF!</definedName>
    <definedName name="_8B_1">#REF!</definedName>
    <definedName name="_8B_10">#REF!</definedName>
    <definedName name="_8B_11">#REF!</definedName>
    <definedName name="_8B_12">#REF!</definedName>
    <definedName name="_8B_13">#REF!</definedName>
    <definedName name="_8B_14">#REF!</definedName>
    <definedName name="_8B_15">#REF!</definedName>
    <definedName name="_8B_16">#REF!</definedName>
    <definedName name="_8B_17">#REF!</definedName>
    <definedName name="_8B_18">#REF!</definedName>
    <definedName name="_8B_19">#REF!</definedName>
    <definedName name="_8B_2">#REF!</definedName>
    <definedName name="_8B_20">#REF!</definedName>
    <definedName name="_8B_21">#REF!</definedName>
    <definedName name="_8B_22">#REF!</definedName>
    <definedName name="_8B_23">#REF!</definedName>
    <definedName name="_8B_24">#REF!</definedName>
    <definedName name="_8B_25">#REF!</definedName>
    <definedName name="_8B_26">#REF!</definedName>
    <definedName name="_8B_27">#REF!</definedName>
    <definedName name="_8B_28">#REF!</definedName>
    <definedName name="_8B_29">#REF!</definedName>
    <definedName name="_8B_3">#REF!</definedName>
    <definedName name="_8B_30">#REF!</definedName>
    <definedName name="_8B_4">#REF!</definedName>
    <definedName name="_8B_5">#REF!</definedName>
    <definedName name="_8B_6">#REF!</definedName>
    <definedName name="_8B_7">#REF!</definedName>
    <definedName name="_8B_8">#REF!</definedName>
    <definedName name="_8B_9">#REF!</definedName>
    <definedName name="_8C_1">#REF!</definedName>
    <definedName name="_8C_10">#REF!</definedName>
    <definedName name="_8C_11">#REF!</definedName>
    <definedName name="_8C_12">#REF!</definedName>
    <definedName name="_8C_13">#REF!</definedName>
    <definedName name="_8C_14">#REF!</definedName>
    <definedName name="_8C_15">#REF!</definedName>
    <definedName name="_8C_16">#REF!</definedName>
    <definedName name="_8C_17">#REF!</definedName>
    <definedName name="_8C_18">#REF!</definedName>
    <definedName name="_8C_19">#REF!</definedName>
    <definedName name="_8C_2">#REF!</definedName>
    <definedName name="_8C_20">#REF!</definedName>
    <definedName name="_8C_21">#REF!</definedName>
    <definedName name="_8C_22">#REF!</definedName>
    <definedName name="_8C_23">#REF!</definedName>
    <definedName name="_8C_24">#REF!</definedName>
    <definedName name="_8C_25">#REF!</definedName>
    <definedName name="_8C_26">#REF!</definedName>
    <definedName name="_8C_27">#REF!</definedName>
    <definedName name="_8C_28">#REF!</definedName>
    <definedName name="_8C_29">#REF!</definedName>
    <definedName name="_8C_3">#REF!</definedName>
    <definedName name="_8C_30">#REF!</definedName>
    <definedName name="_8C_4">#REF!</definedName>
    <definedName name="_8C_5">#REF!</definedName>
    <definedName name="_8C_6">#REF!</definedName>
    <definedName name="_8C_7">#REF!</definedName>
    <definedName name="_8C_8">#REF!</definedName>
    <definedName name="_8C_9">#REF!</definedName>
    <definedName name="_8D2_">#REF!</definedName>
    <definedName name="_8E0">#REF!</definedName>
    <definedName name="_8F" hidden="1">#REF!</definedName>
    <definedName name="_8G__Extract">#REF!</definedName>
    <definedName name="_8G_0Extr">#REF!</definedName>
    <definedName name="_8P6_" hidden="1">{#N/A,#N/A,FALSE,"2~8번"}</definedName>
    <definedName name="_8q45_">{"'용역비'!$A$4:$C$8"}</definedName>
    <definedName name="_8wrn.Ã¶°ñÁý°èÇ_._.5Ä­." hidden="1">{#N/A,#N/A,FALSE,"Sheet1"}</definedName>
    <definedName name="_9">#N/A</definedName>
    <definedName name="_9_____________________________________________________________________________________________________________________________________0_0_F" hidden="1">#REF!</definedName>
    <definedName name="_9__0_0__123Grap" hidden="1">#REF!</definedName>
    <definedName name="_9__0_0_F" hidden="1">#REF!</definedName>
    <definedName name="_9__123Graph_CMOB_01" hidden="1">#REF!</definedName>
    <definedName name="_9__123Graph_EENE_VVVF" hidden="1">#REF!</definedName>
    <definedName name="_9_?쾴?___P">#REF!</definedName>
    <definedName name="_9_0__123Grap" hidden="1">#REF!</definedName>
    <definedName name="_9_0_0_F" hidden="1">#REF!</definedName>
    <definedName name="_9_0_Dist_" hidden="1">#REF!</definedName>
    <definedName name="_9_0_F" hidden="1">#N/A</definedName>
    <definedName name="_9_0_S" hidden="1">#REF!</definedName>
    <definedName name="_9_0ME">#REF!</definedName>
    <definedName name="_9_123Grap" hidden="1">#REF!</definedName>
    <definedName name="_9¤§¤_¤¡" hidden="1">{#N/A,#N/A,FALSE,"Sheet1"}</definedName>
    <definedName name="_90">#N/A</definedName>
    <definedName name="_902__________wrn.Ã¶°ñÁý°èÇ_._.5Ä­." hidden="1">{#N/A,#N/A,FALSE,"Sheet1"}</definedName>
    <definedName name="_904_________¤§¤_¤¡" hidden="1">{#N/A,#N/A,FALSE,"Sheet1"}</definedName>
    <definedName name="_91">#N/A</definedName>
    <definedName name="_911_________wrn.Ã¶°ñÁý°èÇ_._.5Ä­." hidden="1">{#N/A,#N/A,FALSE,"Sheet1"}</definedName>
    <definedName name="_912__0_0_F" hidden="1">#REF!</definedName>
    <definedName name="_913__0_0_F" hidden="1">#REF!</definedName>
    <definedName name="_92">#N/A</definedName>
    <definedName name="_920_______¤§¤_¤¡" hidden="1">{#N/A,#N/A,FALSE,"Sheet1"}</definedName>
    <definedName name="_924_123Grap" hidden="1">#REF!</definedName>
    <definedName name="_93">#N/A</definedName>
    <definedName name="_931_______wrn.Ã¶°ñÁý°èÇ_._.5Ä­." hidden="1">{#N/A,#N/A,FALSE,"Sheet1"}</definedName>
    <definedName name="_933______¤§¤_¤¡" hidden="1">{#N/A,#N/A,FALSE,"Sheet1"}</definedName>
    <definedName name="_935___0__123Grap" hidden="1">#REF!</definedName>
    <definedName name="_94">#N/A</definedName>
    <definedName name="_944______wrn.Ã¶°ñÁý°èÇ_._.5Ä­." hidden="1">{#N/A,#N/A,FALSE,"Sheet1"}</definedName>
    <definedName name="_946___0_Dist_" hidden="1">#REF!</definedName>
    <definedName name="_94EE1_" hidden="1">{#N/A,#N/A,FALSE,"단가표지"}</definedName>
    <definedName name="_95">#N/A</definedName>
    <definedName name="_957_0_0__123Grap" hidden="1">#REF!</definedName>
    <definedName name="_96">#N/A</definedName>
    <definedName name="_962__¤§¤_¤¡" hidden="1">{#N/A,#N/A,FALSE,"Sheet1"}</definedName>
    <definedName name="_969__wrn.Ã¶°ñÁý°èÇ_._.5Ä­." hidden="1">{#N/A,#N/A,FALSE,"Sheet1"}</definedName>
    <definedName name="_97">#N/A</definedName>
    <definedName name="_971_0_0_F" hidden="1">#REF!</definedName>
    <definedName name="_98">#N/A</definedName>
    <definedName name="_99">#N/A</definedName>
    <definedName name="_99___________________0_Dist_" hidden="1">#REF!</definedName>
    <definedName name="_99_상반기시중노임">#REF!</definedName>
    <definedName name="_99_하반기시중노임">#REF!</definedName>
    <definedName name="_99wrn.Ã¶°ñÁý°èÇ_._.5Ä­." hidden="1">{#N/A,#N/A,FALSE,"Sheet1"}</definedName>
    <definedName name="_9A_1">#REF!</definedName>
    <definedName name="_9A_10">#REF!</definedName>
    <definedName name="_9A_11">#REF!</definedName>
    <definedName name="_9A_12">#REF!</definedName>
    <definedName name="_9A_13">#REF!</definedName>
    <definedName name="_9A_14">#REF!</definedName>
    <definedName name="_9A_15">#REF!</definedName>
    <definedName name="_9A_16">#REF!</definedName>
    <definedName name="_9A_17">#REF!</definedName>
    <definedName name="_9A_18">#REF!</definedName>
    <definedName name="_9A_19">#REF!</definedName>
    <definedName name="_9A_2">#REF!</definedName>
    <definedName name="_9A_20">#REF!</definedName>
    <definedName name="_9A_21">#REF!</definedName>
    <definedName name="_9A_22">#REF!</definedName>
    <definedName name="_9A_23">#REF!</definedName>
    <definedName name="_9A_24">#REF!</definedName>
    <definedName name="_9A_25">#REF!</definedName>
    <definedName name="_9A_26">#REF!</definedName>
    <definedName name="_9A_27">#REF!</definedName>
    <definedName name="_9A_28">#REF!</definedName>
    <definedName name="_9A_29">#REF!</definedName>
    <definedName name="_9A_3">#REF!</definedName>
    <definedName name="_9A_30">#REF!</definedName>
    <definedName name="_9A_4">#REF!</definedName>
    <definedName name="_9A_5">#REF!</definedName>
    <definedName name="_9A_6">#REF!</definedName>
    <definedName name="_9A_7">#REF!</definedName>
    <definedName name="_9A_8">#REF!</definedName>
    <definedName name="_9A_9">#REF!</definedName>
    <definedName name="_9B_1">#REF!</definedName>
    <definedName name="_9B_10">#REF!</definedName>
    <definedName name="_9B_11">#REF!</definedName>
    <definedName name="_9B_12">#REF!</definedName>
    <definedName name="_9B_13">#REF!</definedName>
    <definedName name="_9B_14">#REF!</definedName>
    <definedName name="_9B_15">#REF!</definedName>
    <definedName name="_9B_16">#REF!</definedName>
    <definedName name="_9B_17">#REF!</definedName>
    <definedName name="_9B_18">#REF!</definedName>
    <definedName name="_9B_19">#REF!</definedName>
    <definedName name="_9B_2">#REF!</definedName>
    <definedName name="_9B_20">#REF!</definedName>
    <definedName name="_9B_21">#REF!</definedName>
    <definedName name="_9B_22">#REF!</definedName>
    <definedName name="_9B_23">#REF!</definedName>
    <definedName name="_9B_24">#REF!</definedName>
    <definedName name="_9B_25">#REF!</definedName>
    <definedName name="_9B_26">#REF!</definedName>
    <definedName name="_9B_27">#REF!</definedName>
    <definedName name="_9B_28">#REF!</definedName>
    <definedName name="_9B_29">#REF!</definedName>
    <definedName name="_9B_3">#REF!</definedName>
    <definedName name="_9B_30">#REF!</definedName>
    <definedName name="_9B_4">#REF!</definedName>
    <definedName name="_9B_5">#REF!</definedName>
    <definedName name="_9B_6">#REF!</definedName>
    <definedName name="_9B_7">#REF!</definedName>
    <definedName name="_9B_8">#REF!</definedName>
    <definedName name="_9B_9">#REF!</definedName>
    <definedName name="_9B20996_">#REF!</definedName>
    <definedName name="_9C_1">#REF!</definedName>
    <definedName name="_9C_10">#REF!</definedName>
    <definedName name="_9C_11">#REF!</definedName>
    <definedName name="_9C_12">#REF!</definedName>
    <definedName name="_9C_13">#REF!</definedName>
    <definedName name="_9C_14">#REF!</definedName>
    <definedName name="_9C_15">#REF!</definedName>
    <definedName name="_9C_16">#REF!</definedName>
    <definedName name="_9C_17">#REF!</definedName>
    <definedName name="_9C_18">#REF!</definedName>
    <definedName name="_9C_19">#REF!</definedName>
    <definedName name="_9C_2">#REF!</definedName>
    <definedName name="_9C_20">#REF!</definedName>
    <definedName name="_9C_21">#REF!</definedName>
    <definedName name="_9C_22">#REF!</definedName>
    <definedName name="_9C_23">#REF!</definedName>
    <definedName name="_9C_24">#REF!</definedName>
    <definedName name="_9C_25">#REF!</definedName>
    <definedName name="_9C_26">#REF!</definedName>
    <definedName name="_9C_27">#REF!</definedName>
    <definedName name="_9C_28">#REF!</definedName>
    <definedName name="_9C_29">#REF!</definedName>
    <definedName name="_9C_3">#REF!</definedName>
    <definedName name="_9C_30">#REF!</definedName>
    <definedName name="_9C_4">#REF!</definedName>
    <definedName name="_9C_5">#REF!</definedName>
    <definedName name="_9C_6">#REF!</definedName>
    <definedName name="_9C_7">#REF!</definedName>
    <definedName name="_9C_8">#REF!</definedName>
    <definedName name="_9C_9">#REF!</definedName>
    <definedName name="_9D4_">#REF!</definedName>
    <definedName name="_9F" hidden="1">#REF!</definedName>
    <definedName name="_9G__Extr">#REF!</definedName>
    <definedName name="_9G_0Extr">#REF!</definedName>
    <definedName name="_9G_0Extract">#REF!</definedName>
    <definedName name="_9P3_" hidden="1">{#N/A,#N/A,TRUE,"대외공문"}</definedName>
    <definedName name="_9S" hidden="1">#REF!</definedName>
    <definedName name="_9wrn.Ã¶°ñÁý°èÇ_._.5Ä­." hidden="1">{#N/A,#N/A,FALSE,"Sheet1"}</definedName>
    <definedName name="_건축목공">#REF!</definedName>
    <definedName name="_노임단가" hidden="1">#REF!</definedName>
    <definedName name="_ㄹ" hidden="1">#REF!</definedName>
    <definedName name="_분당공통">#N/A</definedName>
    <definedName name="_재ㅐ햐" hidden="1">#REF!</definedName>
    <definedName name="_A">#REF!</definedName>
    <definedName name="_A01">#REF!</definedName>
    <definedName name="_A02">#REF!</definedName>
    <definedName name="_A03">#REF!</definedName>
    <definedName name="_A04">#REF!</definedName>
    <definedName name="_A05">#REF!</definedName>
    <definedName name="_a1">#REF!</definedName>
    <definedName name="_a10">#N/A</definedName>
    <definedName name="_A100000">#REF!</definedName>
    <definedName name="_a11">#N/A</definedName>
    <definedName name="_a12">#N/A</definedName>
    <definedName name="_a122" hidden="1">{#N/A,#N/A,FALSE,"속도"}</definedName>
    <definedName name="_a13">#N/A</definedName>
    <definedName name="_a14">#N/A</definedName>
    <definedName name="_A146432">#N/A</definedName>
    <definedName name="_a15">#N/A</definedName>
    <definedName name="_a16">#N/A</definedName>
    <definedName name="_A16800">#REF!</definedName>
    <definedName name="_a17">#N/A</definedName>
    <definedName name="_A183154">#REF!</definedName>
    <definedName name="_a2">#REF!</definedName>
    <definedName name="_A20000">#REF!</definedName>
    <definedName name="_a3">#REF!</definedName>
    <definedName name="_a332">#REF!</definedName>
    <definedName name="_a4">#N/A</definedName>
    <definedName name="_a5">#N/A</definedName>
    <definedName name="_a6">#N/A</definedName>
    <definedName name="_A66000">#REF!</definedName>
    <definedName name="_A67000">#REF!</definedName>
    <definedName name="_A68000">#REF!</definedName>
    <definedName name="_A69999">#REF!</definedName>
    <definedName name="_a7">#N/A</definedName>
    <definedName name="_A70000">#REF!</definedName>
    <definedName name="_A70013">#N/A</definedName>
    <definedName name="_a8">#N/A</definedName>
    <definedName name="_A80000">#REF!</definedName>
    <definedName name="_A82319">#REF!</definedName>
    <definedName name="_a9">#N/A</definedName>
    <definedName name="_A90000">#REF!</definedName>
    <definedName name="_A946432">#N/A</definedName>
    <definedName name="_A99999">#REF!</definedName>
    <definedName name="_AA1">#REF!</definedName>
    <definedName name="_aa11" hidden="1">{#N/A,#N/A,FALSE,"운반시간"}</definedName>
    <definedName name="_aaa2">#REF!</definedName>
    <definedName name="_aab42">#REF!</definedName>
    <definedName name="_AE1" localSheetId="0">BlankMacro1</definedName>
    <definedName name="_AE1">BlankMacro1</definedName>
    <definedName name="_AE2" localSheetId="0">BlankMacro1</definedName>
    <definedName name="_AE2">BlankMacro1</definedName>
    <definedName name="_AE3" localSheetId="0">BlankMacro1</definedName>
    <definedName name="_AE3">BlankMacro1</definedName>
    <definedName name="_alm1">#REF!</definedName>
    <definedName name="_alm2">#REF!</definedName>
    <definedName name="_AOC2">#REF!</definedName>
    <definedName name="_ASP1">#REF!</definedName>
    <definedName name="_att2">#N/A</definedName>
    <definedName name="_av1">#REF!</definedName>
    <definedName name="_B02">#REF!</definedName>
    <definedName name="_b03">#REF!</definedName>
    <definedName name="_b05">#REF!</definedName>
    <definedName name="_b06">#REF!</definedName>
    <definedName name="_b07">#REF!</definedName>
    <definedName name="_b08">#REF!</definedName>
    <definedName name="_B10">#REF!</definedName>
    <definedName name="_B11">#REF!</definedName>
    <definedName name="_b12">#REF!</definedName>
    <definedName name="_b13">#REF!</definedName>
    <definedName name="_B14">#REF!</definedName>
    <definedName name="_b15">#REF!</definedName>
    <definedName name="_b17">#REF!</definedName>
    <definedName name="_b18">#REF!</definedName>
    <definedName name="_b19">#REF!</definedName>
    <definedName name="_b2">#REF!</definedName>
    <definedName name="_B20">#REF!</definedName>
    <definedName name="_B20996">#REF!</definedName>
    <definedName name="_B21">#REF!</definedName>
    <definedName name="_B22">#REF!=#REF!</definedName>
    <definedName name="_B23">#REF!</definedName>
    <definedName name="_B24">#REF!</definedName>
    <definedName name="_B25">#REF!</definedName>
    <definedName name="_B37">#REF!</definedName>
    <definedName name="_B38">#REF!</definedName>
    <definedName name="_BFF1">#REF!</definedName>
    <definedName name="_Builtin13" hidden="1">#REF!</definedName>
    <definedName name="_BVS1">#REF!</definedName>
    <definedName name="_BVS2">#REF!</definedName>
    <definedName name="_BXP1">#REF!</definedName>
    <definedName name="_C">#REF!</definedName>
    <definedName name="_C01">#REF!</definedName>
    <definedName name="_c02">#REF!</definedName>
    <definedName name="_C20">#REF!</definedName>
    <definedName name="_C30">#REF!</definedName>
    <definedName name="_C60">#REF!</definedName>
    <definedName name="_C70">#REF!</definedName>
    <definedName name="_C80">#REF!</definedName>
    <definedName name="_C90">#REF!</definedName>
    <definedName name="_can430">40.73</definedName>
    <definedName name="_can435">43.3</definedName>
    <definedName name="_CDT2">#REF!</definedName>
    <definedName name="_CNP1">#REF!</definedName>
    <definedName name="_CON135">#REF!</definedName>
    <definedName name="_CON210">#REF!</definedName>
    <definedName name="_CON240">#REF!</definedName>
    <definedName name="_ctc1">#REF!</definedName>
    <definedName name="_ctc2">#REF!</definedName>
    <definedName name="_ctc3">#REF!</definedName>
    <definedName name="_d">#REF!</definedName>
    <definedName name="_D01">#REF!</definedName>
    <definedName name="_D02">#REF!</definedName>
    <definedName name="_D1">#REF!</definedName>
    <definedName name="_D2">#REF!</definedName>
    <definedName name="_D3">#REF!</definedName>
    <definedName name="_D4">#REF!</definedName>
    <definedName name="_D5">#REF!</definedName>
    <definedName name="_DAN1">#REF!</definedName>
    <definedName name="_DAN10">#REF!</definedName>
    <definedName name="_DAN100">#REF!</definedName>
    <definedName name="_DAN101">#REF!</definedName>
    <definedName name="_DAN102">#REF!</definedName>
    <definedName name="_DAN103">#REF!</definedName>
    <definedName name="_DAN104">#REF!</definedName>
    <definedName name="_DAN105">#REF!</definedName>
    <definedName name="_DAN106">#REF!</definedName>
    <definedName name="_DAN107">#REF!</definedName>
    <definedName name="_DAN108">#REF!</definedName>
    <definedName name="_DAN109">#REF!</definedName>
    <definedName name="_DAN11">#REF!</definedName>
    <definedName name="_DAN110">#REF!</definedName>
    <definedName name="_DAN111">#REF!</definedName>
    <definedName name="_DAN112">#REF!</definedName>
    <definedName name="_DAN113">#REF!</definedName>
    <definedName name="_DAN114">#REF!</definedName>
    <definedName name="_DAN115">#REF!</definedName>
    <definedName name="_DAN116">#REF!</definedName>
    <definedName name="_DAN117">#REF!</definedName>
    <definedName name="_DAN118">#REF!</definedName>
    <definedName name="_DAN119">#REF!</definedName>
    <definedName name="_DAN12">#REF!</definedName>
    <definedName name="_DAN120">#REF!</definedName>
    <definedName name="_DAN121">#REF!</definedName>
    <definedName name="_DAN122">#REF!</definedName>
    <definedName name="_DAN123">#REF!</definedName>
    <definedName name="_DAN124">#REF!</definedName>
    <definedName name="_DAN125">#REF!</definedName>
    <definedName name="_DAN126">#REF!</definedName>
    <definedName name="_DAN127">#REF!</definedName>
    <definedName name="_DAN128">#REF!</definedName>
    <definedName name="_DAN129">#REF!</definedName>
    <definedName name="_DAN13">#REF!</definedName>
    <definedName name="_DAN130">#REF!</definedName>
    <definedName name="_DAN131">#REF!</definedName>
    <definedName name="_DAN132">#REF!</definedName>
    <definedName name="_DAN133">#REF!</definedName>
    <definedName name="_DAN134">#REF!</definedName>
    <definedName name="_DAN135">#REF!</definedName>
    <definedName name="_DAN136">#REF!</definedName>
    <definedName name="_DAN137">#REF!</definedName>
    <definedName name="_DAN138">#REF!</definedName>
    <definedName name="_DAN139">#REF!</definedName>
    <definedName name="_DAN14">#REF!</definedName>
    <definedName name="_DAN140">#REF!</definedName>
    <definedName name="_DAN141">#REF!</definedName>
    <definedName name="_DAN142">#REF!</definedName>
    <definedName name="_DAN143">#REF!</definedName>
    <definedName name="_DAN144">#REF!</definedName>
    <definedName name="_DAN145">#REF!</definedName>
    <definedName name="_DAN146">#REF!</definedName>
    <definedName name="_DAN147">#REF!</definedName>
    <definedName name="_DAN148">#REF!</definedName>
    <definedName name="_DAN149">#REF!</definedName>
    <definedName name="_DAN15">#REF!</definedName>
    <definedName name="_DAN150">#REF!</definedName>
    <definedName name="_DAN151">#REF!</definedName>
    <definedName name="_DAN152">#REF!</definedName>
    <definedName name="_DAN153">#REF!</definedName>
    <definedName name="_DAN16">#REF!</definedName>
    <definedName name="_DAN17">#REF!</definedName>
    <definedName name="_DAN18">#REF!</definedName>
    <definedName name="_DAN19">#REF!</definedName>
    <definedName name="_DAN2">#REF!</definedName>
    <definedName name="_DAN20">#REF!</definedName>
    <definedName name="_DAN21">#REF!</definedName>
    <definedName name="_DAN22">#REF!</definedName>
    <definedName name="_DAN23">#REF!</definedName>
    <definedName name="_DAN24">#REF!</definedName>
    <definedName name="_DAN25">#REF!</definedName>
    <definedName name="_DAN26">#REF!</definedName>
    <definedName name="_DAN27">#REF!</definedName>
    <definedName name="_DAN28">#REF!</definedName>
    <definedName name="_DAN29">#REF!</definedName>
    <definedName name="_DAN3">#REF!</definedName>
    <definedName name="_DAN30">#REF!</definedName>
    <definedName name="_DAN31">#REF!</definedName>
    <definedName name="_DAN32">#REF!</definedName>
    <definedName name="_DAN33">#REF!</definedName>
    <definedName name="_DAN34">#REF!</definedName>
    <definedName name="_DAN35">#REF!</definedName>
    <definedName name="_DAN36">#REF!</definedName>
    <definedName name="_DAN37">#REF!</definedName>
    <definedName name="_DAN38">#REF!</definedName>
    <definedName name="_DAN39">#REF!</definedName>
    <definedName name="_DAN4">#REF!</definedName>
    <definedName name="_DAN40">#REF!</definedName>
    <definedName name="_DAN41">#REF!</definedName>
    <definedName name="_DAN42">#REF!</definedName>
    <definedName name="_DAN43">#REF!</definedName>
    <definedName name="_DAN44">#REF!</definedName>
    <definedName name="_DAN45">#REF!</definedName>
    <definedName name="_DAN46">#REF!</definedName>
    <definedName name="_DAN47">#REF!</definedName>
    <definedName name="_DAN48">#REF!</definedName>
    <definedName name="_DAN49">#REF!</definedName>
    <definedName name="_DAN5">#REF!</definedName>
    <definedName name="_DAN50">#REF!</definedName>
    <definedName name="_DAN51">#REF!</definedName>
    <definedName name="_DAN52">#REF!</definedName>
    <definedName name="_DAN53">#REF!</definedName>
    <definedName name="_DAN54">#REF!</definedName>
    <definedName name="_DAN55">#REF!</definedName>
    <definedName name="_DAN56">#REF!</definedName>
    <definedName name="_DAN57">#REF!</definedName>
    <definedName name="_DAN58">#REF!</definedName>
    <definedName name="_DAN59">#REF!</definedName>
    <definedName name="_DAN6">#REF!</definedName>
    <definedName name="_DAN60">#REF!</definedName>
    <definedName name="_DAN61">#REF!</definedName>
    <definedName name="_DAN62">#REF!</definedName>
    <definedName name="_DAN63">#REF!</definedName>
    <definedName name="_DAN64">#REF!</definedName>
    <definedName name="_DAN65">#REF!</definedName>
    <definedName name="_DAN66">#REF!</definedName>
    <definedName name="_DAN67">#REF!</definedName>
    <definedName name="_DAN68">#REF!</definedName>
    <definedName name="_DAN69">#REF!</definedName>
    <definedName name="_DAN7">#REF!</definedName>
    <definedName name="_DAN70">#REF!</definedName>
    <definedName name="_DAN71">#REF!</definedName>
    <definedName name="_DAN72">#REF!</definedName>
    <definedName name="_DAN73">#REF!</definedName>
    <definedName name="_DAN74">#REF!</definedName>
    <definedName name="_DAN75">#REF!</definedName>
    <definedName name="_DAN76">#REF!</definedName>
    <definedName name="_DAN77">#REF!</definedName>
    <definedName name="_DAN78">#REF!</definedName>
    <definedName name="_DAN79">#REF!</definedName>
    <definedName name="_DAN8">#REF!</definedName>
    <definedName name="_DAN80">#REF!</definedName>
    <definedName name="_DAN81">#REF!</definedName>
    <definedName name="_DAN82">#REF!</definedName>
    <definedName name="_DAN83">#REF!</definedName>
    <definedName name="_DAN84">#REF!</definedName>
    <definedName name="_DAN85">#REF!</definedName>
    <definedName name="_DAN86">#REF!</definedName>
    <definedName name="_DAN87">#REF!</definedName>
    <definedName name="_DAN88">#REF!</definedName>
    <definedName name="_DAN89">#REF!</definedName>
    <definedName name="_DAN9">#REF!</definedName>
    <definedName name="_DAN90">#REF!</definedName>
    <definedName name="_DAN91">#REF!</definedName>
    <definedName name="_DAN92">#REF!</definedName>
    <definedName name="_DAN93">#REF!</definedName>
    <definedName name="_DAN94">#REF!</definedName>
    <definedName name="_DAN95">#REF!</definedName>
    <definedName name="_DAN96">#REF!</definedName>
    <definedName name="_DAN97">#REF!</definedName>
    <definedName name="_DAN98">#REF!</definedName>
    <definedName name="_DAN99">#REF!</definedName>
    <definedName name="_DB123" hidden="1">{#N/A,#N/A,FALSE,"현장 NCR 분석";#N/A,#N/A,FALSE,"현장품질감사";#N/A,#N/A,FALSE,"현장품질감사"}</definedName>
    <definedName name="_DDD2">#N/A</definedName>
    <definedName name="_DDD3">#N/A</definedName>
    <definedName name="_DDD4">#N/A</definedName>
    <definedName name="_DDD5">#N/A</definedName>
    <definedName name="_df32" hidden="1">{#N/A,#N/A,FALSE,"Sheet1"}</definedName>
    <definedName name="_dfr23" hidden="1">{#N/A,#N/A,FALSE,"Sheet1"}</definedName>
    <definedName name="_dfs223">#REF!</definedName>
    <definedName name="_dfs23123" hidden="1">{#N/A,#N/A,FALSE,"Sheet1"}</definedName>
    <definedName name="_DFS234234" hidden="1">{#N/A,#N/A,FALSE,"Sheet1"}</definedName>
    <definedName name="_DFT334" hidden="1">{#N/A,#N/A,FALSE,"Sheet1"}</definedName>
    <definedName name="_dfu3223" hidden="1">{#N/A,#N/A,FALSE,"Sheet1"}</definedName>
    <definedName name="_dist__bin" hidden="1">#REF!</definedName>
    <definedName name="_Dist_Bin" hidden="1">#REF!</definedName>
    <definedName name="_Dist_Values" hidden="1">#REF!</definedName>
    <definedName name="_dns2" hidden="1">{#N/A,#N/A,FALSE,"운반시간"}</definedName>
    <definedName name="_DOG1">#REF!</definedName>
    <definedName name="_DOG2">#REF!</definedName>
    <definedName name="_DOG22">#REF!</definedName>
    <definedName name="_DOG3">#REF!</definedName>
    <definedName name="_DOG33">#REF!</definedName>
    <definedName name="_DOG4">#REF!</definedName>
    <definedName name="_DS23" hidden="1">{#N/A,#N/A,FALSE,"Sheet1"}</definedName>
    <definedName name="_DSF2323" hidden="1">{#N/A,#N/A,FALSE,"Sheet1"}</definedName>
    <definedName name="_DSF3232" hidden="1">{#N/A,#N/A,FALSE,"Sheet1"}</definedName>
    <definedName name="_DSF78878" hidden="1">{#N/A,#N/A,FALSE,"Sheet1"}</definedName>
    <definedName name="_dsg236732" hidden="1">{#N/A,#N/A,FALSE,"Sheet1"}</definedName>
    <definedName name="_dsg3" hidden="1">{#N/A,#N/A,FALSE,"Sheet1"}</definedName>
    <definedName name="_E01">#REF!</definedName>
    <definedName name="_E10" localSheetId="0">BlankMacro1</definedName>
    <definedName name="_E10">BlankMacro1</definedName>
    <definedName name="_E3" localSheetId="0">BlankMacro1</definedName>
    <definedName name="_E3">BlankMacro1</definedName>
    <definedName name="_E345" hidden="1">{#N/A,#N/A,FALSE,"Sheet1"}</definedName>
    <definedName name="_E4" localSheetId="0">BlankMacro1</definedName>
    <definedName name="_E4">BlankMacro1</definedName>
    <definedName name="_E5" localSheetId="0">BlankMacro1</definedName>
    <definedName name="_E5">BlankMacro1</definedName>
    <definedName name="_E6" localSheetId="0">BlankMacro1</definedName>
    <definedName name="_E6">BlankMacro1</definedName>
    <definedName name="_E7" localSheetId="0">BlankMacro1</definedName>
    <definedName name="_E7">BlankMacro1</definedName>
    <definedName name="_E7_E9_E11_E13_">#N/A</definedName>
    <definedName name="_E8" localSheetId="0">BlankMacro1</definedName>
    <definedName name="_E8">BlankMacro1</definedName>
    <definedName name="_E9" localSheetId="0">BlankMacro1</definedName>
    <definedName name="_E9">BlankMacro1</definedName>
    <definedName name="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E1" hidden="1">{#N/A,#N/A,FALSE,"단가표지"}</definedName>
    <definedName name="_EE2" hidden="1">{#N/A,#N/A,FALSE,"단가표지"}</definedName>
    <definedName name="_eee1">#REF!</definedName>
    <definedName name="_ef345141" hidden="1">{#N/A,#N/A,FALSE,"Sheet1"}</definedName>
    <definedName name="_ELL1">#REF!</definedName>
    <definedName name="_ELL2">#REF!</definedName>
    <definedName name="_ELL45">#REF!</definedName>
    <definedName name="_ELL90">#REF!</definedName>
    <definedName name="_EW1" localSheetId="0">BlankMacro1</definedName>
    <definedName name="_EW1">BlankMacro1</definedName>
    <definedName name="_EW2" localSheetId="0">BlankMacro1</definedName>
    <definedName name="_EW2">BlankMacro1</definedName>
    <definedName name="_EW3" localSheetId="0">BlankMacro1</definedName>
    <definedName name="_EW3">BlankMacro1</definedName>
    <definedName name="_f">#REF!</definedName>
    <definedName name="_F01">#REF!</definedName>
    <definedName name="_F02">#REF!</definedName>
    <definedName name="_F03">#REF!</definedName>
    <definedName name="_F04">#REF!</definedName>
    <definedName name="_F05">#REF!</definedName>
    <definedName name="_F06">#REF!</definedName>
    <definedName name="_F07">#REF!</definedName>
    <definedName name="_F08">#REF!</definedName>
    <definedName name="_F09">#REF!</definedName>
    <definedName name="_f1" localSheetId="0">BlankMacro1</definedName>
    <definedName name="_f1">BlankMacro1</definedName>
    <definedName name="_F10">#REF!</definedName>
    <definedName name="_F11">#REF!</definedName>
    <definedName name="_F12">#REF!</definedName>
    <definedName name="_f13">#REF!</definedName>
    <definedName name="_f14">#REF!</definedName>
    <definedName name="_F15">#REF!</definedName>
    <definedName name="_F16">#REF!</definedName>
    <definedName name="_F17">#REF!</definedName>
    <definedName name="_F18">#REF!</definedName>
    <definedName name="_f19">#REF!</definedName>
    <definedName name="_f2">#REF!</definedName>
    <definedName name="_f20">#REF!</definedName>
    <definedName name="_f21">#REF!</definedName>
    <definedName name="_F23432" hidden="1">{#N/A,#N/A,FALSE,"Sheet1"}</definedName>
    <definedName name="_FBB1">#REF!</definedName>
    <definedName name="_FBB2">#REF!</definedName>
    <definedName name="_FBB3">#REF!</definedName>
    <definedName name="_FC1" hidden="1">{#N/A,#N/A,FALSE,"단가표지"}</definedName>
    <definedName name="_fdg782323" hidden="1">{#N/A,#N/A,FALSE,"Sheet1"}</definedName>
    <definedName name="_FDS2234" hidden="1">{#N/A,#N/A,FALSE,"Sheet1"}</definedName>
    <definedName name="_FDW3232" hidden="1">{#N/A,#N/A,FALSE,"Sheet1"}</definedName>
    <definedName name="_FEW2332" hidden="1">{#N/A,#N/A,FALSE,"Sheet1"}</definedName>
    <definedName name="_fge434" hidden="1">{#N/A,#N/A,FALSE,"Sheet1"}</definedName>
    <definedName name="_fgr55464" hidden="1">{#N/A,#N/A,FALSE,"Sheet1"}</definedName>
    <definedName name="_FHH1">#REF!</definedName>
    <definedName name="_FHH2">#REF!</definedName>
    <definedName name="_FHH3">#REF!</definedName>
    <definedName name="_Fil" hidden="1">#REF!</definedName>
    <definedName name="_Fill" hidden="1">#REF!</definedName>
    <definedName name="_fill1" hidden="1">#REF!</definedName>
    <definedName name="_fill2" hidden="1">#REF!</definedName>
    <definedName name="_xlnm._FilterDatabase" hidden="1">#REF!</definedName>
    <definedName name="_fj327342" hidden="1">{#N/A,#N/A,FALSE,"Sheet1"}</definedName>
    <definedName name="_Fld01">#REF!</definedName>
    <definedName name="_Fld02">#REF!</definedName>
    <definedName name="_Fld03">#REF!</definedName>
    <definedName name="_Fld04">#REF!</definedName>
    <definedName name="_Fld05">#REF!</definedName>
    <definedName name="_Fld06">#REF!</definedName>
    <definedName name="_Fld07">#REF!</definedName>
    <definedName name="_Fld08">#REF!</definedName>
    <definedName name="_Fld09">#REF!</definedName>
    <definedName name="_Fld10">#REF!</definedName>
    <definedName name="_Fld11">#REF!</definedName>
    <definedName name="_Fld13">#REF!</definedName>
    <definedName name="_Fld14">#REF!</definedName>
    <definedName name="_Fld15">#REF!</definedName>
    <definedName name="_Fld16">#REF!</definedName>
    <definedName name="_Fld18">#REF!</definedName>
    <definedName name="_Fld19">#REF!</definedName>
    <definedName name="_Fld20">#REF!</definedName>
    <definedName name="_fsd22" hidden="1">{#N/A,#N/A,FALSE,"지침";#N/A,#N/A,FALSE,"환경분석";#N/A,#N/A,FALSE,"Sheet16"}</definedName>
    <definedName name="_G01">#REF!</definedName>
    <definedName name="_G02">#REF!</definedName>
    <definedName name="_G03">#REF!</definedName>
    <definedName name="_G04">#REF!</definedName>
    <definedName name="_G07">#REF!</definedName>
    <definedName name="_G08">#REF!</definedName>
    <definedName name="_G09">#REF!</definedName>
    <definedName name="_g10">#REF!</definedName>
    <definedName name="_G11">#REF!</definedName>
    <definedName name="_G12">#REF!</definedName>
    <definedName name="_G13">#REF!</definedName>
    <definedName name="_G190534">#N/A</definedName>
    <definedName name="_G410436">#REF!</definedName>
    <definedName name="_GEN2" hidden="1">#REF!</definedName>
    <definedName name="_GF343434" hidden="1">{#N/A,#N/A,FALSE,"Sheet1"}</definedName>
    <definedName name="_ggg1" hidden="1">{#N/A,#N/A,FALSE,"갑지";#N/A,#N/A,FALSE,"개요";#N/A,#N/A,FALSE,"비목별";#N/A,#N/A,FALSE,"건물별";#N/A,#N/A,FALSE,"기구표";#N/A,#N/A,FALSE,"직원투입"}</definedName>
    <definedName name="_gh655665" hidden="1">{#N/A,#N/A,FALSE,"Sheet1"}</definedName>
    <definedName name="_GHH1">#REF!</definedName>
    <definedName name="_GHH2">#REF!</definedName>
    <definedName name="_ghy545" hidden="1">{#N/A,#N/A,FALSE,"Sheet1"}</definedName>
    <definedName name="_GJP1">#REF!</definedName>
    <definedName name="_GJY76876" hidden="1">{#N/A,#N/A,FALSE,"Sheet1"}</definedName>
    <definedName name="_GO1">#REF!</definedName>
    <definedName name="_GO2">#REF!</definedName>
    <definedName name="_go3">#REF!</definedName>
    <definedName name="_H01">#REF!</definedName>
    <definedName name="_H02">#REF!</definedName>
    <definedName name="_H03">#REF!</definedName>
    <definedName name="_H04">#REF!</definedName>
    <definedName name="_H06">#REF!</definedName>
    <definedName name="_h07">#REF!</definedName>
    <definedName name="_h08">#REF!</definedName>
    <definedName name="_H09">#REF!</definedName>
    <definedName name="_H10">#REF!</definedName>
    <definedName name="_H11">#REF!</definedName>
    <definedName name="_H12">#REF!</definedName>
    <definedName name="_H13">#REF!</definedName>
    <definedName name="_H14">#REF!</definedName>
    <definedName name="_H15">#REF!</definedName>
    <definedName name="_H16">#REF!</definedName>
    <definedName name="_h17">#REF!</definedName>
    <definedName name="_H18">#REF!</definedName>
    <definedName name="_H19">#REF!</definedName>
    <definedName name="_hgf4565" hidden="1">{#N/A,#N/A,FALSE,"Sheet1"}</definedName>
    <definedName name="_hor1">#REF!</definedName>
    <definedName name="_hor2">#REF!</definedName>
    <definedName name="_hor3">#REF!</definedName>
    <definedName name="_HPP1">#REF!</definedName>
    <definedName name="_HSH1">#REF!</definedName>
    <definedName name="_HSH2">#REF!</definedName>
    <definedName name="_HTY67867" hidden="1">{#N/A,#N/A,FALSE,"Sheet1"}</definedName>
    <definedName name="_hun1">#REF!</definedName>
    <definedName name="_hun2">#REF!</definedName>
    <definedName name="_i">#REF!</definedName>
    <definedName name="_I01">#REF!</definedName>
    <definedName name="_i8">#REF!</definedName>
    <definedName name="_IL1">#REF!</definedName>
    <definedName name="_J01">#REF!</definedName>
    <definedName name="_JA2">#REF!</definedName>
    <definedName name="_JB1">#REF!</definedName>
    <definedName name="_JEA1">#REF!</definedName>
    <definedName name="_JEA2">#REF!</definedName>
    <definedName name="_JH1">#REF!</definedName>
    <definedName name="_JH10">#REF!</definedName>
    <definedName name="_JH11">#REF!</definedName>
    <definedName name="_JH12">#REF!</definedName>
    <definedName name="_JH13">#REF!</definedName>
    <definedName name="_JH14">#REF!</definedName>
    <definedName name="_JH15">#REF!</definedName>
    <definedName name="_JH16">#REF!</definedName>
    <definedName name="_JH17">#REF!</definedName>
    <definedName name="_JH18">#REF!</definedName>
    <definedName name="_JH19">#REF!</definedName>
    <definedName name="_JH2">#REF!</definedName>
    <definedName name="_JH20">#REF!</definedName>
    <definedName name="_JH3">#REF!</definedName>
    <definedName name="_JH4">#REF!</definedName>
    <definedName name="_JH5">#REF!</definedName>
    <definedName name="_JH6">#REF!</definedName>
    <definedName name="_jh7">#REF!</definedName>
    <definedName name="_jh8">#REF!</definedName>
    <definedName name="_JH9">#REF!</definedName>
    <definedName name="_JK7">#REF!</definedName>
    <definedName name="_JK8">#REF!</definedName>
    <definedName name="_JL1">#REF!</definedName>
    <definedName name="_JL2">#REF!</definedName>
    <definedName name="_JO11">#REF!</definedName>
    <definedName name="_JOI13">#REF!</definedName>
    <definedName name="_JS1">#REF!</definedName>
    <definedName name="_JS2">#REF!</definedName>
    <definedName name="_jy5654">#REF!</definedName>
    <definedName name="_jyt6" hidden="1">{#N/A,#N/A,FALSE,"조골재"}</definedName>
    <definedName name="_k" hidden="1">#REF!</definedName>
    <definedName name="_K01">#REF!</definedName>
    <definedName name="_K02">#REF!=#REF!</definedName>
    <definedName name="_K123" hidden="1">{#N/A,#N/A,FALSE,"현장 NCR 분석";#N/A,#N/A,FALSE,"현장품질감사";#N/A,#N/A,FALSE,"현장품질감사"}</definedName>
    <definedName name="_KD2" hidden="1">#REF!</definedName>
    <definedName name="_KD3" hidden="1">#REF!</definedName>
    <definedName name="_KE2" hidden="1">#REF!</definedName>
    <definedName name="_key01" hidden="1">#REF!</definedName>
    <definedName name="_key02" hidden="1">#REF!</definedName>
    <definedName name="_Key1" hidden="1">#REF!</definedName>
    <definedName name="_key10" hidden="1">#REF!</definedName>
    <definedName name="_Key11" hidden="1">#REF!</definedName>
    <definedName name="_Key2" hidden="1">#REF!</definedName>
    <definedName name="_key21" hidden="1">#REF!</definedName>
    <definedName name="_key3" hidden="1">#N/A</definedName>
    <definedName name="_key4" hidden="1">#REF!</definedName>
    <definedName name="_kfkf" hidden="1">#REF!</definedName>
    <definedName name="_KHM111" hidden="1">{#N/A,#N/A,FALSE,"제목"}</definedName>
    <definedName name="_KHM888" hidden="1">{#N/A,#N/A,FALSE,"제목"}</definedName>
    <definedName name="_KK2" hidden="1">#REF!</definedName>
    <definedName name="_KK3" hidden="1">#REF!</definedName>
    <definedName name="_KLN1">#REF!</definedName>
    <definedName name="_KWS1">#N/A</definedName>
    <definedName name="_KWS2">#N/A</definedName>
    <definedName name="_KWS3">#N/A</definedName>
    <definedName name="_Kz1">#REF!</definedName>
    <definedName name="_Kz2">#REF!</definedName>
    <definedName name="_Kz3">#REF!</definedName>
    <definedName name="_L01">#REF!</definedName>
    <definedName name="_L02">#REF!</definedName>
    <definedName name="_L03">#REF!</definedName>
    <definedName name="_l06">#REF!</definedName>
    <definedName name="_l07">#REF!</definedName>
    <definedName name="_L08">#REF!</definedName>
    <definedName name="_L09">#REF!</definedName>
    <definedName name="_L1">#REF!</definedName>
    <definedName name="_L2">#REF!</definedName>
    <definedName name="_L3">#REF!</definedName>
    <definedName name="_L4">#REF!</definedName>
    <definedName name="_L5">#REF!</definedName>
    <definedName name="_L6">#REF!</definedName>
    <definedName name="_LAB5">#REF!</definedName>
    <definedName name="_LAN1">#REF!</definedName>
    <definedName name="_LAN10">#REF!</definedName>
    <definedName name="_LAN11">#REF!</definedName>
    <definedName name="_LAN12">#REF!</definedName>
    <definedName name="_LAN13">#REF!</definedName>
    <definedName name="_LAN14">#REF!</definedName>
    <definedName name="_LAN15">#REF!</definedName>
    <definedName name="_LAN16">#REF!</definedName>
    <definedName name="_LAN17">#REF!</definedName>
    <definedName name="_LAN18">#REF!</definedName>
    <definedName name="_LAN19">#REF!</definedName>
    <definedName name="_LAN2">#REF!</definedName>
    <definedName name="_LAN20">#REF!</definedName>
    <definedName name="_LAN3">#REF!</definedName>
    <definedName name="_LAN4">#REF!</definedName>
    <definedName name="_LAN5">#REF!</definedName>
    <definedName name="_LAN6">#REF!</definedName>
    <definedName name="_LAN7">#REF!</definedName>
    <definedName name="_LAN8">#REF!</definedName>
    <definedName name="_LAN9">#REF!</definedName>
    <definedName name="_len1">#REF!</definedName>
    <definedName name="_LG10">#REF!</definedName>
    <definedName name="_LG13">#REF!</definedName>
    <definedName name="_LG15">#REF!</definedName>
    <definedName name="_LG17">#REF!</definedName>
    <definedName name="_LG18">#REF!</definedName>
    <definedName name="_LG2">#REF!</definedName>
    <definedName name="_LG20">#REF!</definedName>
    <definedName name="_LG21">#REF!</definedName>
    <definedName name="_LG25" hidden="1">{#N/A,#N/A,FALSE,"생산성";#N/A,#N/A,FALSE,"인력1";#N/A,#N/A,FALSE,"인력2";#N/A,#N/A,FALSE,"인력3";#N/A,#N/A,FALSE,"인건1";#N/A,#N/A,FALSE,"인건2";#N/A,#N/A,FALSE,"인건3";#N/A,#N/A,FALSE,"인원증감";#N/A,#N/A,FALSE,"인건증감";#N/A,#N/A,FALSE,"표지등"}</definedName>
    <definedName name="_LG251" hidden="1">{#N/A,#N/A,FALSE,"생산성";#N/A,#N/A,FALSE,"인력1";#N/A,#N/A,FALSE,"인력2";#N/A,#N/A,FALSE,"인력3";#N/A,#N/A,FALSE,"인건1";#N/A,#N/A,FALSE,"인건2";#N/A,#N/A,FALSE,"인건3";#N/A,#N/A,FALSE,"인원증감";#N/A,#N/A,FALSE,"인건증감";#N/A,#N/A,FALSE,"표지등"}</definedName>
    <definedName name="_LG6">#REF!</definedName>
    <definedName name="_LG9">#REF!</definedName>
    <definedName name="_LHY1">#N/A</definedName>
    <definedName name="_LHY2">#N/A</definedName>
    <definedName name="_LHY4">#N/A</definedName>
    <definedName name="_lkk09">#REF!</definedName>
    <definedName name="_LL1">#REF!</definedName>
    <definedName name="_ll15">#REF!</definedName>
    <definedName name="_LL2">#REF!</definedName>
    <definedName name="_LL3">#REF!</definedName>
    <definedName name="_LL4">#REF!</definedName>
    <definedName name="_LL5">#REF!</definedName>
    <definedName name="_lll1">#REF!</definedName>
    <definedName name="_LP1">#N/A</definedName>
    <definedName name="_LP2">#N/A</definedName>
    <definedName name="_LR1">#REF!</definedName>
    <definedName name="_LR2">#REF!</definedName>
    <definedName name="_LR3">#REF!</definedName>
    <definedName name="_LS1">#REF!</definedName>
    <definedName name="_LS10">#REF!</definedName>
    <definedName name="_LS13">#REF!</definedName>
    <definedName name="_LS15">#REF!</definedName>
    <definedName name="_LS17">#REF!</definedName>
    <definedName name="_LS18">#REF!</definedName>
    <definedName name="_LS2">#REF!</definedName>
    <definedName name="_LS20">#REF!</definedName>
    <definedName name="_LS21">#REF!</definedName>
    <definedName name="_LS3">#REF!</definedName>
    <definedName name="_LS4">#REF!</definedName>
    <definedName name="_LS6">#REF!</definedName>
    <definedName name="_LS9">#REF!</definedName>
    <definedName name="_LSK1">#REF!</definedName>
    <definedName name="_LSK2">#REF!</definedName>
    <definedName name="_LSK3">#REF!</definedName>
    <definedName name="_LTT1">#REF!</definedName>
    <definedName name="_M01">#REF!</definedName>
    <definedName name="_M02">#REF!</definedName>
    <definedName name="_M03">#REF!</definedName>
    <definedName name="_M04">#REF!</definedName>
    <definedName name="_M2">"if(Sheet1!$E$22:$E$48)"</definedName>
    <definedName name="_MaL1">#REF!</definedName>
    <definedName name="_MaL2">#REF!</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C1">#REF!</definedName>
    <definedName name="_MCC3" hidden="1">{#N/A,#N/A,FALSE,"CCTV"}</definedName>
    <definedName name="_MG1">#REF!</definedName>
    <definedName name="_MG109">#REF!</definedName>
    <definedName name="_MG112">#REF!</definedName>
    <definedName name="_MG113">#REF!</definedName>
    <definedName name="_MG118">#REF!</definedName>
    <definedName name="_MG131">#REF!</definedName>
    <definedName name="_MG132">#REF!</definedName>
    <definedName name="_MG135">#REF!</definedName>
    <definedName name="_MG136">#REF!</definedName>
    <definedName name="_MG15">#REF!</definedName>
    <definedName name="_MG25">#REF!</definedName>
    <definedName name="_MG3">#REF!</definedName>
    <definedName name="_MG30">#REF!</definedName>
    <definedName name="_MG43">#REF!</definedName>
    <definedName name="_MG44">#REF!</definedName>
    <definedName name="_MG46">#REF!</definedName>
    <definedName name="_MG51">#REF!</definedName>
    <definedName name="_MG57">#REF!</definedName>
    <definedName name="_MG6">#REF!</definedName>
    <definedName name="_MG60">#REF!</definedName>
    <definedName name="_MG61">#REF!</definedName>
    <definedName name="_MG62">#REF!</definedName>
    <definedName name="_MG63">#REF!</definedName>
    <definedName name="_MG64">#REF!</definedName>
    <definedName name="_MG70">#REF!</definedName>
    <definedName name="_MG71">#REF!</definedName>
    <definedName name="_MG8">#REF!</definedName>
    <definedName name="_MG81">#REF!</definedName>
    <definedName name="_MG86">#REF!</definedName>
    <definedName name="_MG9">#REF!</definedName>
    <definedName name="_MG91">#REF!</definedName>
    <definedName name="_MG99">#REF!</definedName>
    <definedName name="_mm2" hidden="1">{#N/A,#N/A,FALSE,"2~8번"}</definedName>
    <definedName name="_MM562">#REF!</definedName>
    <definedName name="_MPR1">#N/A</definedName>
    <definedName name="_MPR2">#N/A</definedName>
    <definedName name="_MPR3">#N/A</definedName>
    <definedName name="_MS1">#REF!</definedName>
    <definedName name="_MS109">#REF!</definedName>
    <definedName name="_MS112">#REF!</definedName>
    <definedName name="_MS113">#REF!</definedName>
    <definedName name="_MS118">#REF!</definedName>
    <definedName name="_MS131">#REF!</definedName>
    <definedName name="_MS132">#REF!</definedName>
    <definedName name="_MS135">#REF!</definedName>
    <definedName name="_MS136">#REF!</definedName>
    <definedName name="_MS15">#REF!</definedName>
    <definedName name="_MS25">#REF!</definedName>
    <definedName name="_MS275" hidden="1">{#N/A,#N/A,FALSE,"TABLE"}</definedName>
    <definedName name="_MS3">#REF!</definedName>
    <definedName name="_MS30">#REF!</definedName>
    <definedName name="_MS43">#REF!</definedName>
    <definedName name="_MS44">#REF!</definedName>
    <definedName name="_MS46">#REF!</definedName>
    <definedName name="_MS51">#REF!</definedName>
    <definedName name="_MS57">#REF!</definedName>
    <definedName name="_MS6">#REF!</definedName>
    <definedName name="_MS60">#REF!</definedName>
    <definedName name="_MS61">#REF!</definedName>
    <definedName name="_MS62">#REF!</definedName>
    <definedName name="_MS63">#REF!</definedName>
    <definedName name="_MS64">#REF!</definedName>
    <definedName name="_MS70">#REF!</definedName>
    <definedName name="_MS71">#REF!</definedName>
    <definedName name="_MS8">#REF!</definedName>
    <definedName name="_MS81">#REF!</definedName>
    <definedName name="_MS86">#REF!</definedName>
    <definedName name="_MS9">#REF!</definedName>
    <definedName name="_MS91">#REF!</definedName>
    <definedName name="_MS99">#REF!</definedName>
    <definedName name="_Mt1">#REF!</definedName>
    <definedName name="_Mt2">#REF!</definedName>
    <definedName name="_Mt3">#REF!</definedName>
    <definedName name="_Mt4">#REF!</definedName>
    <definedName name="_Mt5">#REF!</definedName>
    <definedName name="_Mt6">#REF!</definedName>
    <definedName name="_Mt7">#REF!</definedName>
    <definedName name="_Mt8">#REF!</definedName>
    <definedName name="_mup1">#REF!</definedName>
    <definedName name="_NEW1">ROUND(#REF!*0.0254,3)</definedName>
    <definedName name="_NEW2">ROUND(#REF!*0.0254,3)</definedName>
    <definedName name="_NEW3">ROUND(#REF!*0.0254,3)</definedName>
    <definedName name="_NLL1">#REF!</definedName>
    <definedName name="_NLL2">#REF!</definedName>
    <definedName name="_NLL3">#REF!</definedName>
    <definedName name="_NLL4">#REF!</definedName>
    <definedName name="_NLL5">#REF!</definedName>
    <definedName name="_NMB96">#REF!</definedName>
    <definedName name="_NO1" hidden="1">#N/A</definedName>
    <definedName name="_NO2" hidden="1">#N/A</definedName>
    <definedName name="_No3">#REF!</definedName>
    <definedName name="_NON1">#REF!</definedName>
    <definedName name="_NON2">#N/A</definedName>
    <definedName name="_NP1">#REF!</definedName>
    <definedName name="_NP2">#REF!</definedName>
    <definedName name="_NS1">#REF!</definedName>
    <definedName name="_NS2">#REF!</definedName>
    <definedName name="_NS3">#REF!</definedName>
    <definedName name="_NS4">#REF!</definedName>
    <definedName name="_NSH1">#REF!</definedName>
    <definedName name="_NSH2">#REF!</definedName>
    <definedName name="_O">"○"</definedName>
    <definedName name="_O01">#REF!</definedName>
    <definedName name="_O02">#REF!</definedName>
    <definedName name="_O03">#REF!=#REF!</definedName>
    <definedName name="_O04">#REF!</definedName>
    <definedName name="_O05">#REF!</definedName>
    <definedName name="_O08">#REF!</definedName>
    <definedName name="_O09">#REF!</definedName>
    <definedName name="_O10">#REF!</definedName>
    <definedName name="_O11">#REF!</definedName>
    <definedName name="_O12">#REF!</definedName>
    <definedName name="_O13">#REF!</definedName>
    <definedName name="_O14">#REF!</definedName>
    <definedName name="_O15">#REF!</definedName>
    <definedName name="_Order1" hidden="1">0</definedName>
    <definedName name="_Order1_1">255</definedName>
    <definedName name="_Order2" hidden="1">0</definedName>
    <definedName name="_Order2_1" hidden="1">0</definedName>
    <definedName name="_ordr2" hidden="1">0</definedName>
    <definedName name="_ordwre2" hidden="1">0</definedName>
    <definedName name="_p">#REF!</definedName>
    <definedName name="_p01">#REF!</definedName>
    <definedName name="_P1">#REF!</definedName>
    <definedName name="_P10">#REF!</definedName>
    <definedName name="_P11">#REF!</definedName>
    <definedName name="_P12">#REF!</definedName>
    <definedName name="_P13">#REF!</definedName>
    <definedName name="_P14">#REF!</definedName>
    <definedName name="_P15">#REF!</definedName>
    <definedName name="_P16">#REF!</definedName>
    <definedName name="_P17">#REF!</definedName>
    <definedName name="_P2">#REF!</definedName>
    <definedName name="_P3">#REF!</definedName>
    <definedName name="_P4">#REF!</definedName>
    <definedName name="_P5">#REF!</definedName>
    <definedName name="_P6">#REF!</definedName>
    <definedName name="_P7">#REF!</definedName>
    <definedName name="_P8">#REF!</definedName>
    <definedName name="_P9">#REF!</definedName>
    <definedName name="_pa1">#REF!</definedName>
    <definedName name="_pa2">#REF!</definedName>
    <definedName name="_Parse_In" hidden="1">#REF!</definedName>
    <definedName name="_Parse_Out" hidden="1">#REF!</definedName>
    <definedName name="_PC1">#REF!</definedName>
    <definedName name="_Ph1">#REF!</definedName>
    <definedName name="_Ph2">#REF!</definedName>
    <definedName name="_Ph3">#REF!</definedName>
    <definedName name="_Ph4">#REF!</definedName>
    <definedName name="_Ph5">#REF!</definedName>
    <definedName name="_Ph6">#REF!</definedName>
    <definedName name="_Ph7">#REF!</definedName>
    <definedName name="_Ph8">#REF!</definedName>
    <definedName name="_PI48">#REF!</definedName>
    <definedName name="_PI60">#REF!</definedName>
    <definedName name="_PK2" hidden="1">{"'장비'!$A$3:$M$12"}</definedName>
    <definedName name="_PKG3" hidden="1">{"'장비'!$A$3:$M$12"}</definedName>
    <definedName name="_pl1">#REF!</definedName>
    <definedName name="_PL2">#REF!</definedName>
    <definedName name="_PL3">#REF!</definedName>
    <definedName name="_PNO10">#REF!</definedName>
    <definedName name="_PNO3">#REF!</definedName>
    <definedName name="_PNO4">#REF!</definedName>
    <definedName name="_PNO5">#REF!</definedName>
    <definedName name="_PNO6">#REF!</definedName>
    <definedName name="_PNO7">#REF!</definedName>
    <definedName name="_PNO8">#REF!</definedName>
    <definedName name="_PNO9">#REF!</definedName>
    <definedName name="_PP1">#REF!</definedName>
    <definedName name="_PR01">#REF!</definedName>
    <definedName name="_PRN2">#REF!</definedName>
    <definedName name="_PRN3">#REF!</definedName>
    <definedName name="_PRN4">#REF!</definedName>
    <definedName name="_PRN6">#REF!</definedName>
    <definedName name="_PRN7">#REF!</definedName>
    <definedName name="_PRT2">#REF!</definedName>
    <definedName name="_PRT3">#REF!</definedName>
    <definedName name="_pvc100">#REF!</definedName>
    <definedName name="_pvc200">#REF!</definedName>
    <definedName name="_pvd201">#REF!</definedName>
    <definedName name="_px1">#REF!</definedName>
    <definedName name="_px2">#REF!</definedName>
    <definedName name="_q">#REF!</definedName>
    <definedName name="_q01">#REF!</definedName>
    <definedName name="_Q1">#REF!</definedName>
    <definedName name="_Q2" localSheetId="0">BlankMacro1</definedName>
    <definedName name="_Q2">BlankMacro1</definedName>
    <definedName name="_Q3" localSheetId="0">BlankMacro1</definedName>
    <definedName name="_Q3">BlankMacro1</definedName>
    <definedName name="_Q4" localSheetId="0">BlankMacro1</definedName>
    <definedName name="_Q4">BlankMacro1</definedName>
    <definedName name="_q45" hidden="1">{"'용역비'!$A$4:$C$8"}</definedName>
    <definedName name="_Q5">#REF!</definedName>
    <definedName name="_Q6" localSheetId="0">BlankMacro1</definedName>
    <definedName name="_Q6">BlankMacro1</definedName>
    <definedName name="_Q7" localSheetId="0">BlankMacro1</definedName>
    <definedName name="_Q7">BlankMacro1</definedName>
    <definedName name="_Q8" localSheetId="0">BlankMacro1</definedName>
    <definedName name="_Q8">BlankMacro1</definedName>
    <definedName name="_Q9" localSheetId="0">BlankMacro1</definedName>
    <definedName name="_Q9">BlankMacro1</definedName>
    <definedName name="_qa01" hidden="1">{#N/A,#N/A,FALSE,"2~8번"}</definedName>
    <definedName name="_qa02" hidden="1">{#N/A,#N/A,FALSE,"골재소요량";#N/A,#N/A,FALSE,"골재소요량"}</definedName>
    <definedName name="_qa03" hidden="1">{#N/A,#N/A,FALSE,"구조2"}</definedName>
    <definedName name="_qa04" hidden="1">{#N/A,#N/A,FALSE,"단가표지"}</definedName>
    <definedName name="_qa05" hidden="1">{#N/A,#N/A,FALSE,"배수1"}</definedName>
    <definedName name="_qa06" hidden="1">{#N/A,#N/A,FALSE,"배수2"}</definedName>
    <definedName name="_qa07" hidden="1">{#N/A,#N/A,FALSE,"부대1"}</definedName>
    <definedName name="_qa08" hidden="1">{#N/A,#N/A,FALSE,"부대2"}</definedName>
    <definedName name="_qa10" hidden="1">{#N/A,#N/A,FALSE,"속도"}</definedName>
    <definedName name="_qa11" hidden="1">{#N/A,#N/A,FALSE,"운반시간"}</definedName>
    <definedName name="_qa12" hidden="1">{#N/A,#N/A,FALSE,"이정표"}</definedName>
    <definedName name="_qa13" hidden="1">{#N/A,#N/A,FALSE,"조골재"}</definedName>
    <definedName name="_qa14" hidden="1">{#N/A,#N/A,FALSE,"구조1"}</definedName>
    <definedName name="_qa15" hidden="1">{#N/A,#N/A,FALSE,"토공2"}</definedName>
    <definedName name="_qa16" hidden="1">{#N/A,#N/A,FALSE,"포장1";#N/A,#N/A,FALSE,"포장1"}</definedName>
    <definedName name="_qa17" hidden="1">{#N/A,#N/A,FALSE,"포장2"}</definedName>
    <definedName name="_qa18" hidden="1">{#N/A,#N/A,FALSE,"표지목차"}</definedName>
    <definedName name="_qa19" hidden="1">{#N/A,#N/A,FALSE,"혼합골재"}</definedName>
    <definedName name="_qa20" hidden="1">{#N/A,#N/A,FALSE,"운반시간"}</definedName>
    <definedName name="_QL">#REF!</definedName>
    <definedName name="_QQ1">#REF!</definedName>
    <definedName name="_QQ2">#REF!</definedName>
    <definedName name="_qqq222" hidden="1">{"'장비'!$A$3:$M$12"}</definedName>
    <definedName name="_qs1">#REF!</definedName>
    <definedName name="_qs12">#REF!</definedName>
    <definedName name="_qs2">#REF!</definedName>
    <definedName name="_qs22">#REF!</definedName>
    <definedName name="_QTY1">#REF!</definedName>
    <definedName name="_QTY2">#REF!</definedName>
    <definedName name="_QW1" hidden="1">{#N/A,#N/A,FALSE,"단가표지"}</definedName>
    <definedName name="_qw2" hidden="1">{#N/A,#N/A,FALSE,"단가표지"}</definedName>
    <definedName name="_qx1" hidden="1">{#N/A,#N/A,FALSE,"운반시간"}</definedName>
    <definedName name="_R">#REF!</definedName>
    <definedName name="_R10㎝">#REF!</definedName>
    <definedName name="_R12㎝">#REF!</definedName>
    <definedName name="_R15㎝">#REF!</definedName>
    <definedName name="_R18㎝">#REF!</definedName>
    <definedName name="_R20㎝">#REF!</definedName>
    <definedName name="_R25㎝">#REF!</definedName>
    <definedName name="_R30㎝">#REF!</definedName>
    <definedName name="_R4㎝이하">#REF!</definedName>
    <definedName name="_R5㎝">#REF!</definedName>
    <definedName name="_R6㎝">#REF!</definedName>
    <definedName name="_R7㎝">#REF!</definedName>
    <definedName name="_R8㎝">#REF!</definedName>
    <definedName name="_RAN2">#N/A</definedName>
    <definedName name="_RE1">"Button 2"</definedName>
    <definedName name="_RE100">#REF!</definedName>
    <definedName name="_RE104">#REF!</definedName>
    <definedName name="_RE112">#REF!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 hidden="1">1</definedName>
    <definedName name="_Regression_Out" hidden="1">#REF!</definedName>
    <definedName name="_Regression_X" hidden="1">#REF!</definedName>
    <definedName name="_Regression_Y" hidden="1">#REF!</definedName>
    <definedName name="_res5" hidden="1">{#N/A,#N/A,FALSE,"CCTV"}</definedName>
    <definedName name="_RMK1">#N/A</definedName>
    <definedName name="_RMK2">#N/A</definedName>
    <definedName name="_RN01">#REF!</definedName>
    <definedName name="_RN02">#REF!</definedName>
    <definedName name="_RN03">#REF!</definedName>
    <definedName name="_RNA3">#N/A</definedName>
    <definedName name="_RNA4">#N/A</definedName>
    <definedName name="_RO110">#REF!</definedName>
    <definedName name="_RO22">#REF!</definedName>
    <definedName name="_RO35">#REF!</definedName>
    <definedName name="_RO45">#REF!</definedName>
    <definedName name="_RO60">#REF!</definedName>
    <definedName name="_RO80">#REF!</definedName>
    <definedName name="_rt45" hidden="1">{#N/A,#N/A,FALSE,"Sheet1"}</definedName>
    <definedName name="_RVD100">#REF!</definedName>
    <definedName name="_RVD150">#REF!</definedName>
    <definedName name="_RVD200">#REF!</definedName>
    <definedName name="_RVD250">#REF!</definedName>
    <definedName name="_rvd251">#REF!</definedName>
    <definedName name="_RVD300">#REF!</definedName>
    <definedName name="_RVD50">#REF!</definedName>
    <definedName name="_rvd51">#REF!</definedName>
    <definedName name="_s" hidden="1">#REF!</definedName>
    <definedName name="_S01" hidden="1">#REF!</definedName>
    <definedName name="_s1">#REF!</definedName>
    <definedName name="_S3" hidden="1">{#N/A,#N/A,FALSE,"포장2"}</definedName>
    <definedName name="_SA1">#REF!</definedName>
    <definedName name="_SA2">#REF!</definedName>
    <definedName name="_SA3">#REF!</definedName>
    <definedName name="_SAN2">#N/A</definedName>
    <definedName name="_SB1">#REF!</definedName>
    <definedName name="_SB2">#REF!</definedName>
    <definedName name="_SB3">#REF!</definedName>
    <definedName name="_SB4">#REF!</definedName>
    <definedName name="_SB5">#REF!</definedName>
    <definedName name="_SBB1">#REF!</definedName>
    <definedName name="_SBB2">#REF!</definedName>
    <definedName name="_SBB3">#REF!</definedName>
    <definedName name="_SBB4">#REF!</definedName>
    <definedName name="_SBB5">#REF!</definedName>
    <definedName name="_SCH1">#REF!</definedName>
    <definedName name="_SD1">#REF!</definedName>
    <definedName name="_SD10">#REF!</definedName>
    <definedName name="_SD11">#REF!</definedName>
    <definedName name="_SD12">#REF!</definedName>
    <definedName name="_sd1253" hidden="1">#REF!</definedName>
    <definedName name="_SD2">#REF!</definedName>
    <definedName name="_SD22">#REF!</definedName>
    <definedName name="_SD3">#REF!</definedName>
    <definedName name="_SD4">#REF!</definedName>
    <definedName name="_SD5">#REF!</definedName>
    <definedName name="_SD6">#REF!</definedName>
    <definedName name="_SD7">#REF!</definedName>
    <definedName name="_SD8">#REF!</definedName>
    <definedName name="_SD9">#REF!</definedName>
    <definedName name="_sdf723723">#REF!</definedName>
    <definedName name="_sdy233" hidden="1">{#N/A,#N/A,FALSE,"Sheet1"}</definedName>
    <definedName name="_sdy872" hidden="1">{#N/A,#N/A,FALSE,"Sheet1"}</definedName>
    <definedName name="_se1">#REF!</definedName>
    <definedName name="_SEA1">#REF!</definedName>
    <definedName name="_SEB1">#REF!</definedName>
    <definedName name="_SEB2">#REF!</definedName>
    <definedName name="_SEB3">#REF!</definedName>
    <definedName name="_SEB4">#REF!</definedName>
    <definedName name="_SEB5">#REF!</definedName>
    <definedName name="_SEC1">#REF!</definedName>
    <definedName name="_SEC2">#REF!</definedName>
    <definedName name="_SEC3">#REF!</definedName>
    <definedName name="_SEJ1">#REF!</definedName>
    <definedName name="_SEJ2">#REF!</definedName>
    <definedName name="_SEP1">#REF!</definedName>
    <definedName name="_SEP2">#REF!</definedName>
    <definedName name="_SEP3">#REF!</definedName>
    <definedName name="_SEP4">#REF!</definedName>
    <definedName name="_SEP5">#REF!</definedName>
    <definedName name="_SEP6">#REF!</definedName>
    <definedName name="_SET1">#REF!</definedName>
    <definedName name="_SET2">#REF!</definedName>
    <definedName name="_sfd2323" hidden="1">{#N/A,#N/A,FALSE,"Sheet1"}</definedName>
    <definedName name="_SG2">#REF!</definedName>
    <definedName name="_SG3">#REF!</definedName>
    <definedName name="_SG5">#REF!</definedName>
    <definedName name="_SG6">#REF!</definedName>
    <definedName name="_SH1">#REF!</definedName>
    <definedName name="_SH10">#REF!</definedName>
    <definedName name="_SH11">#REF!</definedName>
    <definedName name="_SH12">#REF!</definedName>
    <definedName name="_SH13">#REF!</definedName>
    <definedName name="_SH14">#REF!</definedName>
    <definedName name="_SH15">#REF!</definedName>
    <definedName name="_SH16">#REF!</definedName>
    <definedName name="_SH17">#REF!</definedName>
    <definedName name="_SH18">#REF!</definedName>
    <definedName name="_SH19">#REF!</definedName>
    <definedName name="_SH2">#REF!</definedName>
    <definedName name="_SH20">#REF!</definedName>
    <definedName name="_SH3">#REF!</definedName>
    <definedName name="_SH4">#REF!</definedName>
    <definedName name="_SH5">#REF!</definedName>
    <definedName name="_SH6">#REF!</definedName>
    <definedName name="_SH7">#REF!</definedName>
    <definedName name="_SH8">#REF!</definedName>
    <definedName name="_SH9">#REF!</definedName>
    <definedName name="_SHH1">#REF!</definedName>
    <definedName name="_shh10">#REF!</definedName>
    <definedName name="_shh11">#REF!</definedName>
    <definedName name="_shh12">#REF!</definedName>
    <definedName name="_SHH13">#REF!</definedName>
    <definedName name="_SHH2">#REF!</definedName>
    <definedName name="_SHH3">#REF!</definedName>
    <definedName name="_shh4">#REF!</definedName>
    <definedName name="_shh5">#REF!</definedName>
    <definedName name="_shh6">#REF!</definedName>
    <definedName name="_shh7">#REF!</definedName>
    <definedName name="_shh8">#REF!</definedName>
    <definedName name="_shh9">#REF!</definedName>
    <definedName name="_SHT48">#N/A</definedName>
    <definedName name="_SHT481">#REF!</definedName>
    <definedName name="_SL1">#REF!</definedName>
    <definedName name="_SL2">#REF!</definedName>
    <definedName name="_SL3">#REF!</definedName>
    <definedName name="_SL4">#REF!</definedName>
    <definedName name="_SL5">#REF!</definedName>
    <definedName name="_SL6">#REF!</definedName>
    <definedName name="_SLL1">#REF!</definedName>
    <definedName name="_SLL2">#REF!</definedName>
    <definedName name="_SLL3">#REF!</definedName>
    <definedName name="_SN3">#REF!</definedName>
    <definedName name="_SOR" hidden="1">#REF!</definedName>
    <definedName name="_Sort" hidden="1">#REF!</definedName>
    <definedName name="_SORT1" hidden="1">#REF!</definedName>
    <definedName name="_Sortt" hidden="1">#REF!</definedName>
    <definedName name="_SP1">#REF!</definedName>
    <definedName name="_SP12">#REF!</definedName>
    <definedName name="_SP2">#REF!</definedName>
    <definedName name="_SP3">#REF!</definedName>
    <definedName name="_SP4">#REF!</definedName>
    <definedName name="_SP5">#REF!</definedName>
    <definedName name="_SS1" hidden="1">{#N/A,#N/A,FALSE,"운반시간"}</definedName>
    <definedName name="_ss122" hidden="1">{#N/A,#N/A,FALSE,"조골재"}</definedName>
    <definedName name="_SS2">#REF!</definedName>
    <definedName name="_SS3">#REF!</definedName>
    <definedName name="_SS5">#REF!</definedName>
    <definedName name="_SS6">#REF!</definedName>
    <definedName name="_sss11" hidden="1">{#N/A,#N/A,FALSE,"조골재"}</definedName>
    <definedName name="_ST1">#REF!</definedName>
    <definedName name="_ST2">#REF!</definedName>
    <definedName name="_stp1">#REF!</definedName>
    <definedName name="_stp10">#REF!</definedName>
    <definedName name="_stp11">#REF!</definedName>
    <definedName name="_stp12">#REF!</definedName>
    <definedName name="_stp13">#REF!</definedName>
    <definedName name="_stp14">#REF!</definedName>
    <definedName name="_stp15">#REF!</definedName>
    <definedName name="_stp16">#REF!</definedName>
    <definedName name="_stp17">#REF!</definedName>
    <definedName name="_stp18">#REF!</definedName>
    <definedName name="_stp19">#REF!</definedName>
    <definedName name="_stp2">#REF!</definedName>
    <definedName name="_stp20">#REF!</definedName>
    <definedName name="_stp21">#REF!</definedName>
    <definedName name="_stp22">#REF!</definedName>
    <definedName name="_stp23">#REF!</definedName>
    <definedName name="_stp24">#REF!</definedName>
    <definedName name="_stp25">#REF!</definedName>
    <definedName name="_stp26">#REF!</definedName>
    <definedName name="_stp27">#REF!</definedName>
    <definedName name="_stp28">#REF!</definedName>
    <definedName name="_stp29">#REF!</definedName>
    <definedName name="_stp3">#REF!</definedName>
    <definedName name="_stp30">#REF!</definedName>
    <definedName name="_stp31">#REF!</definedName>
    <definedName name="_stp32">#REF!</definedName>
    <definedName name="_stp33">#REF!</definedName>
    <definedName name="_stp34">#REF!</definedName>
    <definedName name="_stp35">#REF!</definedName>
    <definedName name="_stp36">#REF!</definedName>
    <definedName name="_stp37">#REF!</definedName>
    <definedName name="_stp38">#REF!</definedName>
    <definedName name="_stp39">#REF!</definedName>
    <definedName name="_stp4">#REF!</definedName>
    <definedName name="_stp40">#REF!</definedName>
    <definedName name="_stp41">#REF!</definedName>
    <definedName name="_stp42">#REF!</definedName>
    <definedName name="_stp43">#REF!</definedName>
    <definedName name="_stp44">#REF!</definedName>
    <definedName name="_stp45">#REF!</definedName>
    <definedName name="_stp46">#REF!</definedName>
    <definedName name="_stp47">#REF!</definedName>
    <definedName name="_stp48">#REF!</definedName>
    <definedName name="_stp49">#REF!</definedName>
    <definedName name="_stp5">#REF!</definedName>
    <definedName name="_stp50">#REF!</definedName>
    <definedName name="_stp51">#REF!</definedName>
    <definedName name="_stp52">#REF!</definedName>
    <definedName name="_stp53">#REF!</definedName>
    <definedName name="_stp54">#REF!</definedName>
    <definedName name="_stp55">#REF!</definedName>
    <definedName name="_stp56">#REF!</definedName>
    <definedName name="_stp57">#REF!</definedName>
    <definedName name="_stp58">#REF!</definedName>
    <definedName name="_stp59">#REF!</definedName>
    <definedName name="_stp6">#REF!</definedName>
    <definedName name="_stp60">#REF!</definedName>
    <definedName name="_stp61">#REF!</definedName>
    <definedName name="_stp62">#REF!</definedName>
    <definedName name="_stp63">#REF!</definedName>
    <definedName name="_stp64">#REF!</definedName>
    <definedName name="_stp65">#REF!</definedName>
    <definedName name="_stp66">#REF!</definedName>
    <definedName name="_stp67">#REF!</definedName>
    <definedName name="_stp68">#REF!</definedName>
    <definedName name="_stp69">#REF!</definedName>
    <definedName name="_stp7">#REF!</definedName>
    <definedName name="_stp70">#REF!</definedName>
    <definedName name="_stp71">#REF!</definedName>
    <definedName name="_stp72">#REF!</definedName>
    <definedName name="_stp73">#REF!</definedName>
    <definedName name="_stp74">#REF!</definedName>
    <definedName name="_stp75">#REF!</definedName>
    <definedName name="_stp76">#REF!</definedName>
    <definedName name="_stp77">#REF!</definedName>
    <definedName name="_stp78">#REF!</definedName>
    <definedName name="_stp79">#REF!</definedName>
    <definedName name="_stp8">#REF!</definedName>
    <definedName name="_stp80">#REF!</definedName>
    <definedName name="_stp9">#REF!</definedName>
    <definedName name="_STT1">#REF!</definedName>
    <definedName name="_STT2">#REF!</definedName>
    <definedName name="_STT3">#REF!</definedName>
    <definedName name="_STT4">#REF!</definedName>
    <definedName name="_STT5">#REF!</definedName>
    <definedName name="_STT6">#REF!</definedName>
    <definedName name="_SUB1">#REF!</definedName>
    <definedName name="_SUB2">#REF!</definedName>
    <definedName name="_SUB3">#N/A</definedName>
    <definedName name="_SUB4">#N/A</definedName>
    <definedName name="_SUM1">#REF!</definedName>
    <definedName name="_SUM2">#REF!</definedName>
    <definedName name="_SUN1">#N/A</definedName>
    <definedName name="_SUN2">#N/A</definedName>
    <definedName name="_Table1_In1" hidden="1">#REF!</definedName>
    <definedName name="_Table1_In2" hidden="1">#REF!</definedName>
    <definedName name="_Table1_Out" hidden="1">#REF!</definedName>
    <definedName name="_tbb1">#REF!</definedName>
    <definedName name="_tbb2">#REF!</definedName>
    <definedName name="_tbb3">#REF!</definedName>
    <definedName name="_tbb4">#REF!</definedName>
    <definedName name="_tbb5">#REF!</definedName>
    <definedName name="_tbb6">#REF!</definedName>
    <definedName name="_tbb7">#REF!</definedName>
    <definedName name="_TC1" hidden="1">{#N/A,#N/A,FALSE,"물량산출"}</definedName>
    <definedName name="_TC2">#REF!</definedName>
    <definedName name="_tco3" hidden="1">#REF!</definedName>
    <definedName name="_Ted1">#REF!</definedName>
    <definedName name="_tem1">#N/A</definedName>
    <definedName name="_tft454" hidden="1">{#N/A,#N/A,FALSE,"Sheet1"}</definedName>
    <definedName name="_tj4">#REF!</definedName>
    <definedName name="_TON1">#REF!</definedName>
    <definedName name="_TON2">#REF!</definedName>
    <definedName name="_TOT1">#REF!</definedName>
    <definedName name="_TOT2">#REF!</definedName>
    <definedName name="_TOT3">#REF!</definedName>
    <definedName name="_TOT4">#REF!</definedName>
    <definedName name="_TRT45" hidden="1">{#N/A,#N/A,FALSE,"Sheet1"}</definedName>
    <definedName name="_Ts1">#REF!</definedName>
    <definedName name="_tt1">"tt1"</definedName>
    <definedName name="_tu76" hidden="1">{#N/A,#N/A,FALSE,"골재소요량";#N/A,#N/A,FALSE,"골재소요량"}</definedName>
    <definedName name="_TW1">#REF!</definedName>
    <definedName name="_TW2">#REF!</definedName>
    <definedName name="_Ty1">#REF!</definedName>
    <definedName name="_Ty2">#REF!</definedName>
    <definedName name="_TYU55445" hidden="1">{#N/A,#N/A,FALSE,"Sheet1"}</definedName>
    <definedName name="_UTT1">#REF!</definedName>
    <definedName name="_uyj76" hidden="1">{#N/A,#N/A,FALSE,"단가표지"}</definedName>
    <definedName name="_ver1">#REF!</definedName>
    <definedName name="_ver2">#REF!</definedName>
    <definedName name="_ver3">#REF!</definedName>
    <definedName name="_vv233" hidden="1">{#N/A,#N/A,FALSE,"지침";#N/A,#N/A,FALSE,"환경분석";#N/A,#N/A,FALSE,"Sheet16"}</definedName>
    <definedName name="_W">#N/A</definedName>
    <definedName name="_W1">#REF!</definedName>
    <definedName name="_WC1">#REF!</definedName>
    <definedName name="_wd1">#REF!</definedName>
    <definedName name="_wd2">#REF!</definedName>
    <definedName name="_wer23" hidden="1">{#N/A,#N/A,FALSE,"Sheet1"}</definedName>
    <definedName name="_WHH1">#REF!</definedName>
    <definedName name="_WL1">#REF!</definedName>
    <definedName name="_WL2">#REF!</definedName>
    <definedName name="_woogi" hidden="1">#REF!</definedName>
    <definedName name="_woogi2" hidden="1">#REF!</definedName>
    <definedName name="_woogi24" hidden="1">#REF!</definedName>
    <definedName name="_woogi3" hidden="1">#REF!</definedName>
    <definedName name="_wrn1" hidden="1">{#N/A,#N/A,FALSE,"전력간선"}</definedName>
    <definedName name="_wt5" hidden="1">{#N/A,#N/A,FALSE,"토공2"}</definedName>
    <definedName name="_WTT1">#REF!</definedName>
    <definedName name="_WW1">#REF!</definedName>
    <definedName name="_WW2">#REF!</definedName>
    <definedName name="_WW3">#REF!</definedName>
    <definedName name="_WW6">#REF!</definedName>
    <definedName name="_WW7">#REF!</definedName>
    <definedName name="_WW8">#REF!</definedName>
    <definedName name="_XS1">#REF!</definedName>
    <definedName name="_xx1">#REF!</definedName>
    <definedName name="_xx2">#REF!</definedName>
    <definedName name="_xx3">#REF!</definedName>
    <definedName name="_xx4">#REF!</definedName>
    <definedName name="_xx5">#REF!</definedName>
    <definedName name="_xx6">#REF!</definedName>
    <definedName name="_xx7">#REF!</definedName>
    <definedName name="_xx8">#REF!</definedName>
    <definedName name="_xx9">#REF!</definedName>
    <definedName name="_YO1">#REF!</definedName>
    <definedName name="_YU565676" hidden="1">{#N/A,#N/A,FALSE,"Sheet1"}</definedName>
    <definedName name="_yu8" hidden="1">{#N/A,#N/A,FALSE,"혼합골재"}</definedName>
    <definedName name="_z">#REF!</definedName>
    <definedName name="_ZK1">#REF!</definedName>
    <definedName name="_ZZ1">#REF!</definedName>
    <definedName name="_zz2">#REF!</definedName>
    <definedName name="_zz3">#REF!</definedName>
    <definedName name="_zz5">#REF!</definedName>
    <definedName name="_zz6">#REF!</definedName>
    <definedName name="_zz7">#REF!</definedName>
    <definedName name="_zz8">#REF!</definedName>
    <definedName name="_zz9">#REF!</definedName>
    <definedName name="¡ÆC">#N/A</definedName>
    <definedName name="¿uº°¿μ¾÷">#REF!</definedName>
    <definedName name="㈜대우">#REF!</definedName>
    <definedName name="[경비실]도장">#REF!</definedName>
    <definedName name="[경비실]도장공사">#REF!</definedName>
    <definedName name="[경비실]수장공사">#REF!</definedName>
    <definedName name="\">#REF!</definedName>
    <definedName name="\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ㄴ">#REF!</definedName>
    <definedName name="\_M">#REF!</definedName>
    <definedName name="\\O">#REF!</definedName>
    <definedName name="\0">#REF!</definedName>
    <definedName name="\1">#REF!</definedName>
    <definedName name="\11">#REF!</definedName>
    <definedName name="\1111">#REF!</definedName>
    <definedName name="\2">#REF!</definedName>
    <definedName name="\3">#REF!</definedName>
    <definedName name="\ㅁ">#REF!</definedName>
    <definedName name="\ㅂ">#REF!</definedName>
    <definedName name="\ㅈ">#REF!</definedName>
    <definedName name="\ㅋ">#REF!</definedName>
    <definedName name="\a">#REF!</definedName>
    <definedName name="\A?">#REF!</definedName>
    <definedName name="\aa">#REF!</definedName>
    <definedName name="\b">#REF!</definedName>
    <definedName name="\b?">#REF!</definedName>
    <definedName name="\B1">#REF!</definedName>
    <definedName name="\B10">#REF!</definedName>
    <definedName name="\B11">#REF!</definedName>
    <definedName name="\B12">#REF!</definedName>
    <definedName name="\B2">#REF!</definedName>
    <definedName name="\B3">#REF!</definedName>
    <definedName name="\B4">#REF!</definedName>
    <definedName name="\B5">#REF!</definedName>
    <definedName name="\B6">#REF!</definedName>
    <definedName name="\B7">#REF!</definedName>
    <definedName name="\B8">#REF!</definedName>
    <definedName name="\B9">#REF!</definedName>
    <definedName name="\c">#N/A</definedName>
    <definedName name="\c?">#REF!</definedName>
    <definedName name="\d">#REF!</definedName>
    <definedName name="\d?">#REF!</definedName>
    <definedName name="\dddddddd">#N/A</definedName>
    <definedName name="\ddddddddd">#N/A</definedName>
    <definedName name="\e">#REF!</definedName>
    <definedName name="\e?">#REF!</definedName>
    <definedName name="\f">#N/A</definedName>
    <definedName name="\f?">#REF!</definedName>
    <definedName name="\g">#N/A</definedName>
    <definedName name="\g?">#REF!</definedName>
    <definedName name="\h">#REF!</definedName>
    <definedName name="\h?">#REF!</definedName>
    <definedName name="\hhhhhhhhh">#N/A</definedName>
    <definedName name="\i">#N/A</definedName>
    <definedName name="\i?">#REF!</definedName>
    <definedName name="\j">#REF!</definedName>
    <definedName name="\j?">#REF!</definedName>
    <definedName name="\k">#N/A</definedName>
    <definedName name="\k?">#REF!</definedName>
    <definedName name="\KWS123">#N/A</definedName>
    <definedName name="\l">#REF!</definedName>
    <definedName name="\l?">#REF!</definedName>
    <definedName name="\LARGE">#REF!</definedName>
    <definedName name="\LL">#REF!</definedName>
    <definedName name="\m">#N/A</definedName>
    <definedName name="\m?">#REF!</definedName>
    <definedName name="\MIDDLE">#REF!</definedName>
    <definedName name="\n">#N/A</definedName>
    <definedName name="\n?">#N/A</definedName>
    <definedName name="\o">#REF!</definedName>
    <definedName name="\o?">#N/A</definedName>
    <definedName name="\p">#REF!</definedName>
    <definedName name="\P?">#REF!</definedName>
    <definedName name="\P1">#REF!</definedName>
    <definedName name="\PA">#REF!</definedName>
    <definedName name="\PB">#REF!</definedName>
    <definedName name="\PC">#REF!</definedName>
    <definedName name="\PD">#REF!</definedName>
    <definedName name="\PE">#REF!</definedName>
    <definedName name="\PF">#REF!</definedName>
    <definedName name="\PG">#REF!</definedName>
    <definedName name="\PP">#REF!</definedName>
    <definedName name="\q">#REF!</definedName>
    <definedName name="\r">#N/A</definedName>
    <definedName name="\s">#N/A</definedName>
    <definedName name="\sfdgg32627" hidden="1">{#N/A,#N/A,FALSE,"Sheet1"}</definedName>
    <definedName name="\SMALL">#REF!</definedName>
    <definedName name="\t">#REF!</definedName>
    <definedName name="\u">#REF!</definedName>
    <definedName name="\v">#REF!</definedName>
    <definedName name="\w">#REF!</definedName>
    <definedName name="\x">#REF!</definedName>
    <definedName name="\y">#REF!</definedName>
    <definedName name="\z">#REF!</definedName>
    <definedName name="\Z1">#REF!</definedName>
    <definedName name="´cAE°eE¹" hidden="1">#REF!</definedName>
    <definedName name="°C">#N/A</definedName>
    <definedName name="°Ç">#N/A</definedName>
    <definedName name="←→">#REF!</definedName>
    <definedName name="√">"SQRT"</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392">#REF!</definedName>
    <definedName name="¤±8529">#N/A</definedName>
    <definedName name="¤¤¤±¤±¤¤¤¤¤±">#N/A</definedName>
    <definedName name="¤¤¤¤¤¤">#N/A</definedName>
    <definedName name="¤¤¤¤¤¤¤¤¤·">#N/A</definedName>
    <definedName name="¤½¤½¤½">#N/A</definedName>
    <definedName name="¤²">#N/A</definedName>
    <definedName name="¤²¤²¤²">#N/A</definedName>
    <definedName name="¤²¤²¤²¤²¤²">#N/A</definedName>
    <definedName name="¤¾¤¾">#N/A</definedName>
    <definedName name="¤A¤A¤A¤A¤A">#N/A</definedName>
    <definedName name="¤A¤A¤C¶o¤A¤¤¿A¶o¤A¤±¤¤¿A¶o³N¿A¶÷¤¤¾o¤¤¤·¤·¤¤¤±¤±¤¤¤·¤·¤¤¤¤¤·¤±">#N/A</definedName>
    <definedName name="¤C¤C¤C¤C">#N/A</definedName>
    <definedName name="¤ⓒ¤ⓒ¤ⓒ¤ⓒ¤°¤¾">#N/A</definedName>
    <definedName name="¤C315">#REF!</definedName>
    <definedName name="¤Ç315">#REF!</definedName>
    <definedName name="¤Ð¤I¤Ð¤I¤I¤I">#N/A</definedName>
    <definedName name="¤E¤A¤A¤A">#N/A</definedName>
    <definedName name="¤I¤I¤I">#N/A</definedName>
    <definedName name="￠?u¨￢¡Æ￠?￥i¨u¡A">#REF!</definedName>
    <definedName name="￠´¡×￠´¡×">#N/A</definedName>
    <definedName name="￠´¡¤">#N/A</definedName>
    <definedName name="￠´¡¤￠´¡¤">#N/A</definedName>
    <definedName name="￠´¡¤￠´¡¤￠´¡¤">#N/A</definedName>
    <definedName name="￠´¡¤￠´¡¤￠´¡¤￠´¡¤">#N/A</definedName>
    <definedName name="￠´¡¤￠´¨I￠´¨I">#N/A</definedName>
    <definedName name="￠´¡¤￠´￠´￠´¡¤">#N/A</definedName>
    <definedName name="￠´¡¤￠´￠´￠´¡¾￠´￠´￠´¡¾￠´￠´￠´¡¤￠´￠´￠´¡¤￠´¡¾￠´￠´￠´¡¤￠´¡¾￠´￠´￠´¡¤￠´¡¾￠´￠´￠´¡¤￠´¡¤￠´￠´￠´￠´￠´¡¤￠´¡¤￠´￠´￠´¡¾">#N/A</definedName>
    <definedName name="￠´¡¾">#N/A</definedName>
    <definedName name="￠´¡¾￠´￠´￠´¡¾￠´¡¾">#N/A</definedName>
    <definedName name="￠´¨￠￠´I￠´¨￠￠´I￠´I￠´I">#N/A</definedName>
    <definedName name="￠´¨I￠´¨I￠´¨I￠´¨I￠´¡Æ￠´¨u">#N/A</definedName>
    <definedName name="￠´¨o￠´¨o￠´¨o">#N/A</definedName>
    <definedName name="￠´¨u￠´¨u">#N/A</definedName>
    <definedName name="￠´￠?￠´￠?￠´￠?￠´￠?￠´￠?">#N/A</definedName>
    <definedName name="￠´￠´￠´¡¾￠´¡¾￠´￠´￠´￠´￠´¡¾">#N/A</definedName>
    <definedName name="￠´￠´￠´￠´￠´￠´">#N/A</definedName>
    <definedName name="￠´￠´￠´￠´￠´￠´￠´￠´￠´¡¤">#N/A</definedName>
    <definedName name="￠´￠￢￠´¡×￠´￠￢￠´¡×">#N/A</definedName>
    <definedName name="￠´A￠´A￠´A￠´A￠´A">#N/A</definedName>
    <definedName name="￠´A￠´A￠´C￠Oo￠´A￠´￠´￠?A￠Oo￠´A￠´¡¾￠´￠´￠?A￠OoⓒøN￠?A￠O¡A￠´￠´¨uo￠´￠´￠´¡¤￠´¡¤￠´￠´￠´¡¾￠´¡¾￠´￠´￠´¡¤￠´¡¤￠´￠´￠´￠´￠´¡¤￠´¡¾">#N/A</definedName>
    <definedName name="￠´ⓒ÷">#N/A</definedName>
    <definedName name="￠´ⓒ÷￠´ⓒ÷￠´ⓒ÷">#N/A</definedName>
    <definedName name="￠´ⓒ÷￠´ⓒ÷￠´ⓒ÷￠´ⓒ÷￠´ⓒ÷">#N/A</definedName>
    <definedName name="￠´C￠´C￠´C￠´C">#N/A</definedName>
    <definedName name="￠´E￠´A￠´A￠´A">#N/A</definedName>
    <definedName name="￠´I￠´I￠´I">#N/A</definedName>
    <definedName name="￠￥cAE¡ÆeEⓒo" hidden="1">#REF!</definedName>
    <definedName name="¼o¼o½CAu7¿u">#N/A</definedName>
    <definedName name="¼ö¼ö½ÇÀû7¿ù">#N/A</definedName>
    <definedName name="ㄱ">#REF!</definedName>
    <definedName name="ㄱ_1" hidden="1">{#N/A,#N/A,FALSE,"이태원철근"}</definedName>
    <definedName name="ㄱ_2" hidden="1">{#N/A,#N/A,FALSE,"이태원철근"}</definedName>
    <definedName name="ㄱ_3" hidden="1">{#N/A,#N/A,FALSE,"기안지";#N/A,#N/A,FALSE,"통신지"}</definedName>
    <definedName name="ㄱ_4" hidden="1">{#N/A,#N/A,FALSE,"이태원철근"}</definedName>
    <definedName name="ㄱ1">#REF!</definedName>
    <definedName name="ㄱ2">#REF!</definedName>
    <definedName name="ㄱ34">[0]!COUNT1</definedName>
    <definedName name="ㄱ43ㅅ43ㅅ43ㅅ43">#REF!</definedName>
    <definedName name="ㄱㄱ" hidden="1">{#N/A,#N/A,TRUE,"1";#N/A,#N/A,TRUE,"2";#N/A,#N/A,TRUE,"3";#N/A,#N/A,TRUE,"4";#N/A,#N/A,TRUE,"5";#N/A,#N/A,TRUE,"6";#N/A,#N/A,TRUE,"7"}</definedName>
    <definedName name="ㄱㄱ_1" hidden="1">{#N/A,#N/A,FALSE,"이태원철근"}</definedName>
    <definedName name="ㄱㄱ_2" hidden="1">{#N/A,#N/A,FALSE,"이태원철근"}</definedName>
    <definedName name="ㄱㄱ_3" hidden="1">{#N/A,#N/A,FALSE,"이태원철근"}</definedName>
    <definedName name="ㄱㄱㄱ" hidden="1">{#N/A,#N/A,FALSE,"기안지";#N/A,#N/A,FALSE,"통신지"}</definedName>
    <definedName name="ㄱㄱㄱ_1" hidden="1">{#N/A,#N/A,FALSE,"표지목차"}</definedName>
    <definedName name="ㄱㄱㄱ_2" hidden="1">{#N/A,#N/A,FALSE,"표지목차"}</definedName>
    <definedName name="ㄱㄱㄱ_3" hidden="1">{#N/A,#N/A,FALSE,"표지목차"}</definedName>
    <definedName name="ㄱㄱㄱㄱ" hidden="1">{#N/A,#N/A,FALSE,"지침";#N/A,#N/A,FALSE,"환경분석";#N/A,#N/A,FALSE,"Sheet16"}</definedName>
    <definedName name="ㄱㄱㄱㄱㄱ">#REF!</definedName>
    <definedName name="ㄱㄱㄱㄱㄱㄱ" hidden="1">{"'용역비'!$A$4:$C$8"}</definedName>
    <definedName name="ㄱㄱㄱㄱㄱㄱ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ㄱㄱㄱㄱㄱㄱㄱㄱㄱㄱㄱㄱ" hidden="1">{#N/A,#N/A,FALSE,"단가표지"}</definedName>
    <definedName name="ㄱㄱㄱㄱㄱㄱㄱㄱㄱㄱㄱㄱㄱㄱㄱㄱ" hidden="1">{#N/A,#N/A,FALSE,"골재소요량";#N/A,#N/A,FALSE,"골재소요량"}</definedName>
    <definedName name="ㄱㄱㄱㄱㄱㄱㄱㄱㄱㄱㄱㄱㄱㄱㄱㄱㄱㄱ" hidden="1">{#N/A,#N/A,FALSE,"조골재"}</definedName>
    <definedName name="ㄱㄱㄱㅎ" hidden="1">{#N/A,#N/A,FALSE,"Sheet6"}</definedName>
    <definedName name="ㄱㄱㄷ" hidden="1">{#N/A,#N/A,FALSE,"CCTV"}</definedName>
    <definedName name="ㄱㄱㄷㄱㄷㄱㄱ" hidden="1">{#N/A,#N/A,FALSE,"현장 NCR 분석";#N/A,#N/A,FALSE,"현장품질감사";#N/A,#N/A,FALSE,"현장품질감사"}</definedName>
    <definedName name="ㄱㄱㅂㅈㄷ" hidden="1">{#N/A,#N/A,FALSE,"단가표지"}</definedName>
    <definedName name="ㄱㄱ숃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ㄱㅈ" hidden="1">{#N/A,#N/A,FALSE,"구조2"}</definedName>
    <definedName name="ㄱ거">#N/A</definedName>
    <definedName name="ㄱㄴ">#REF!</definedName>
    <definedName name="ㄱㄴ슌ㄱ" hidden="1">{#N/A,#N/A,FALSE,"단가표지"}</definedName>
    <definedName name="ㄱ뉴ㅠㅠㅠ" hidden="1">#REF!</definedName>
    <definedName name="ㄱㄷ">#N/A</definedName>
    <definedName name="ㄱㄷㄱ" hidden="1">{#N/A,#N/A,FALSE,"Sheet6"}</definedName>
    <definedName name="ㄱㄷㄱㄷ" hidden="1">{#N/A,#N/A,FALSE,"2~8번"}</definedName>
    <definedName name="ㄱㄷㄱㄷㄱ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ㄱㄷㅎ">#REF!</definedName>
    <definedName name="ㄱㄷㄴ" hidden="1">#REF!</definedName>
    <definedName name="ㄱㄷㄴ슌ㄱ" hidden="1">{#N/A,#N/A,FALSE,"골재소요량";#N/A,#N/A,FALSE,"골재소요량"}</definedName>
    <definedName name="ㄱㄷㄷ" hidden="1">{#N/A,#N/A,FALSE,"전력간선"}</definedName>
    <definedName name="ㄱㄷㄷㄱ" hidden="1">{#N/A,#N/A,FALSE,"구조2"}</definedName>
    <definedName name="ㄱㄷㄹ" hidden="1">{#N/A,#N/A,FALSE,"혼합골재"}</definedName>
    <definedName name="ㄱㄷㄹ거ㅗㄹ견" hidden="1">{#N/A,#N/A,FALSE,"운반시간"}</definedName>
    <definedName name="ㄱㄷㄹㄷㅂㅁ" hidden="1">{#N/A,#N/A,FALSE,"운반시간"}</definedName>
    <definedName name="ㄱㄷㅁㅇㅎ">#REF!</definedName>
    <definedName name="ㄱㄷㅁㅍㅅㅂ" hidden="1">{#N/A,#N/A,FALSE,"골재소요량";#N/A,#N/A,FALSE,"골재소요량"}</definedName>
    <definedName name="ㄱㄷㅁㅎㄹ" localSheetId="0">BlankMacro1</definedName>
    <definedName name="ㄱㄷㅁㅎㄹ">BlankMacro1</definedName>
    <definedName name="ㄱㄷㅂ">#N/A</definedName>
    <definedName name="ㄱㄷㅂㄱㅈ" hidden="1">{#N/A,#N/A,FALSE,"2~8번"}</definedName>
    <definedName name="ㄱㄷㅂㅎㅂㄱ">#N/A</definedName>
    <definedName name="ㄱㄷㅅ" hidden="1">{#N/A,#N/A,FALSE,"Sheet6"}</definedName>
    <definedName name="ㄱㄷㅅㄱㄷㄱㄷㅅ">#N/A</definedName>
    <definedName name="ㄱㄷㅅㄱㅈㄷ" hidden="1">#REF!</definedName>
    <definedName name="ㄱㄷㅅㄷㄱㅎㄷㄱ">#REF!</definedName>
    <definedName name="ㄱㄷㅅ히ㅏ" hidden="1">{#N/A,#N/A,FALSE,"지침";#N/A,#N/A,FALSE,"환경분석";#N/A,#N/A,FALSE,"Sheet16"}</definedName>
    <definedName name="ㄱㄷ셛ㄱ">{"'Sheet1'!$A$4:$M$21","'Sheet1'!$J$17:$K$19"}</definedName>
    <definedName name="ㄱㄷㅇ해ㅣㅠㅎ" hidden="1">{#N/A,#N/A,FALSE,"단가표지"}</definedName>
    <definedName name="ㄱㄷㅈ" hidden="1">#REF!</definedName>
    <definedName name="ㄱㄷㅈㄱ">#REF!,#REF!</definedName>
    <definedName name="ㄱㄷㅈㄱㄷㅈㄱㅈㄷ" hidden="1">{#N/A,#N/A,FALSE,"혼합골재"}</definedName>
    <definedName name="ㄱㄷㅈㄱㅂㅈㄷㄱ" hidden="1">#REF!</definedName>
    <definedName name="ㄱㄷㅈㄷㄱ" hidden="1">{#N/A,#N/A,FALSE,"손익표지";#N/A,#N/A,FALSE,"손익계산";#N/A,#N/A,FALSE,"일반관리비";#N/A,#N/A,FALSE,"영업외수익";#N/A,#N/A,FALSE,"영업외비용";#N/A,#N/A,FALSE,"매출액";#N/A,#N/A,FALSE,"요약손익";#N/A,#N/A,FALSE,"요약대차";#N/A,#N/A,FALSE,"매출채권현황";#N/A,#N/A,FALSE,"매출채권명세"}</definedName>
    <definedName name="ㄱㄷㅈㅂㄱ" hidden="1">#REF!</definedName>
    <definedName name="ㄱㄷㅈㅂㄱㄷ" hidden="1">#REF!</definedName>
    <definedName name="ㄱㄷㅈㅂㄷ" hidden="1">#REF!</definedName>
    <definedName name="ㄱㄷㅈㅅ" hidden="1">{#N/A,#N/A,FALSE,"배수2"}</definedName>
    <definedName name="ㄱㄷㅈㅅㅈㄱㄷㅅ">#N/A</definedName>
    <definedName name="ㄱㄷㅈㅅㅈㄷ" hidden="1">{#N/A,#N/A,FALSE,"손익표지";#N/A,#N/A,FALSE,"손익계산";#N/A,#N/A,FALSE,"일반관리비";#N/A,#N/A,FALSE,"영업외수익";#N/A,#N/A,FALSE,"영업외비용";#N/A,#N/A,FALSE,"매출액";#N/A,#N/A,FALSE,"요약손익";#N/A,#N/A,FALSE,"요약대차";#N/A,#N/A,FALSE,"매출채권현황";#N/A,#N/A,FALSE,"매출채권명세"}</definedName>
    <definedName name="ㄱㄷㅎㄱ">#REF!</definedName>
    <definedName name="ㄱㄷㅎㄱㄷ">#N/A</definedName>
    <definedName name="ㄱㄷㅎㄷㄱ">#REF!</definedName>
    <definedName name="ㄱㄷㅎㄷㄱㅎㅅ" hidden="1">{#N/A,#N/A,FALSE,"골재소요량";#N/A,#N/A,FALSE,"골재소요량"}</definedName>
    <definedName name="ㄱㄷㅎㄷㄳㅎㅅㄱ" hidden="1">{#N/A,#N/A,FALSE,"운반시간"}</definedName>
    <definedName name="ㄱㄷㅎㅅㄷ4" hidden="1">{#N/A,#N/A,FALSE,"운반시간"}</definedName>
    <definedName name="ㄱㄷㅎ숒ㄷㄹ" hidden="1">{#N/A,#N/A,FALSE,"단가표지"}</definedName>
    <definedName name="ㄱㄷㅎㅌㅊㅍㅇ" hidden="1">{#N/A,#N/A,FALSE,"운반시간"}</definedName>
    <definedName name="ㄱㄷㅄㄷㄳㄱㄷㅅㅂ">#REF!</definedName>
    <definedName name="ㄱㄷㅄㅂㄱㄷ">#REF!</definedName>
    <definedName name="ㄱ데ㅐㄳ" hidden="1">{#N/A,#N/A,TRUE,"대외공문"}</definedName>
    <definedName name="ㄱ데ㅐㄳ_1" hidden="1">{#N/A,#N/A,TRUE,"대외공문"}</definedName>
    <definedName name="ㄱ데ㅐㄳ_2" hidden="1">{#N/A,#N/A,TRUE,"대외공문"}</definedName>
    <definedName name="ㄱ데ㅐㄳ_3" hidden="1">{#N/A,#N/A,TRUE,"대외공문"}</definedName>
    <definedName name="ㄱ둊셔교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ㄹ">#REF!</definedName>
    <definedName name="ㄱㄹㄹ">#REF!</definedName>
    <definedName name="ㄱㄹㄹㄹ">#REF!</definedName>
    <definedName name="ㄱㄹㅇㅎㄹ" hidden="1">{#N/A,#N/A,FALSE,"골재소요량";#N/A,#N/A,FALSE,"골재소요량"}</definedName>
    <definedName name="ㄱㄹ아혹ㄷ" hidden="1">{#N/A,#N/A,FALSE,"2~8번"}</definedName>
    <definedName name="ㄱㄹ어ㅏㅓ결" hidden="1">{#N/A,#N/A,FALSE,"운반시간"}</definedName>
    <definedName name="ㄱㄹㅈㄷㄱㅎ놓" hidden="1">#REF!</definedName>
    <definedName name="ㄱㄹ호교호" hidden="1">{#N/A,#N/A,FALSE,"혼합골재"}</definedName>
    <definedName name="ㄱㄹ홍ㄱ호" hidden="1">{#N/A,#N/A,FALSE,"Sheet6"}</definedName>
    <definedName name="ㄱ략혁" hidden="1">{#N/A,#N/A,FALSE,"운반시간"}</definedName>
    <definedName name="ㄱ러ㅏ로ㅜㅕ혻" hidden="1">{#N/A,#N/A,FALSE,"단가표지"}</definedName>
    <definedName name="ㄱ려ㅓㅛㄱ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로곃ㅊ" hidden="1">{#N/A,#N/A,FALSE,"조골재"}</definedName>
    <definedName name="ㄱ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ㅁㄴ" hidden="1">{#N/A,#N/A,FALSE,"토공2"}</definedName>
    <definedName name="ㄱ미" hidden="1">{#N/A,#N/A,TRUE,"Basic";#N/A,#N/A,TRUE,"EXT-TABLE";#N/A,#N/A,TRUE,"STEEL";#N/A,#N/A,TRUE,"INT-Table";#N/A,#N/A,TRUE,"STEEL";#N/A,#N/A,TRUE,"Door"}</definedName>
    <definedName name="ㄱㅂ5234" localSheetId="0">BlankMacro1</definedName>
    <definedName name="ㄱㅂ5234">BlankMacro1</definedName>
    <definedName name="ㄱㅂㅎ">#N/A</definedName>
    <definedName name="ㄱㅅ" hidden="1">#REF!</definedName>
    <definedName name="ㄱ사ㅓ대ㅕㅑㄳ" hidden="1">{#N/A,#N/A,FALSE,"운반시간"}</definedName>
    <definedName name="ㄱ서ㅗㅗ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서ㅜ혓" hidden="1">{#N/A,#N/A,FALSE,"단가표지"}</definedName>
    <definedName name="ㄱ셔">#REF!</definedName>
    <definedName name="ㄱ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굑" hidden="1">{#N/A,#N/A,FALSE,"단가표지"}</definedName>
    <definedName name="ㄱ소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ㅗ랴ㅕ" hidden="1">{#N/A,#N/A,FALSE,"단가표지"}</definedName>
    <definedName name="ㄱ소ㅛ" hidden="1">{#N/A,#N/A,FALSE,"혼합골재"}</definedName>
    <definedName name="ㄱ쇼">#REF!</definedName>
    <definedName name="ㄱ쇽" hidden="1">{#N/A,#N/A,FALSE,"Sheet6"}</definedName>
    <definedName name="ㄱ쇽숏교" hidden="1">{#N/A,#N/A,FALSE,"이태원철근"}</definedName>
    <definedName name="ㄱ숃교" hidden="1">#REF!</definedName>
    <definedName name="ㄱ숏ㄱ요오헐" hidden="1">{#N/A,#N/A,FALSE,"이태원철근"}</definedName>
    <definedName name="ㄱ숏교" hidden="1">#REF!</definedName>
    <definedName name="ㄱ슈" hidden="1">{#N/A,#N/A,FALSE,"혼합골재"}</definedName>
    <definedName name="ㄱ싫" hidden="1">{#N/A,#N/A,FALSE,"이정표"}</definedName>
    <definedName name="ㄱㅇ" hidden="1">{#N/A,#N/A,FALSE,"단축1";#N/A,#N/A,FALSE,"단축2";#N/A,#N/A,FALSE,"단축3";#N/A,#N/A,FALSE,"장축";#N/A,#N/A,FALSE,"4WD"}</definedName>
    <definedName name="ㄱㅇㅍㅇ" hidden="1">{#N/A,#N/A,FALSE,"골재소요량";#N/A,#N/A,FALSE,"골재소요량"}</definedName>
    <definedName name="ㄱ어ㅏㅛㅇㅎ" hidden="1">{#N/A,#N/A,FALSE,"표지목차"}</definedName>
    <definedName name="ㄱ얼푤" hidden="1">{#N/A,#N/A,FALSE,"운반시간"}</definedName>
    <definedName name="ㄱㅈ" hidden="1">{#N/A,#N/A,FALSE,"골재소요량";#N/A,#N/A,FALSE,"골재소요량"}</definedName>
    <definedName name="ㄱㅈㄷㄱㅈㄷ" hidden="1">#REF!</definedName>
    <definedName name="ㄱㅈㄷㅂㄱ" hidden="1">#REF!</definedName>
    <definedName name="ㄱㅈㄷㅂㄱㄷㅈㄱㅎㅀㄴㅇㅀㄹ" hidden="1">#REF!</definedName>
    <definedName name="ㄱㅈㅂㄱㄷ" hidden="1">#REF!</definedName>
    <definedName name="ㄱㅈ셪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ㅈㅎ" hidden="1">#REF!</definedName>
    <definedName name="ㄱ젖굑고고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졋">#REF!</definedName>
    <definedName name="ㄱㅎ" hidden="1">{#N/A,#N/A,FALSE,"단가표지"}</definedName>
    <definedName name="ㄱㅎㄱ">#N/A</definedName>
    <definedName name="ㄱㅎㄱㅎㄱ">#N/A</definedName>
    <definedName name="ㄱㅎ겨혿" hidden="1">{#N/A,#N/A,FALSE,"단가표지"}</definedName>
    <definedName name="ㄱㅎㄷㄱㅎㄱㄷ" hidden="1">#REF!</definedName>
    <definedName name="ㄱㅎㄷㅎㄱㄷㅎㅅ" hidden="1">{#N/A,#N/A,FALSE,"운반시간"}</definedName>
    <definedName name="ㄱㅎㄹ" hidden="1">{#N/A,#N/A,FALSE,"조골재"}</definedName>
    <definedName name="ㄱㅎ라ㅓㅎ갸" hidden="1">{#N/A,#N/A,FALSE,"단가표지"}</definedName>
    <definedName name="ㄱㅎㅅ" hidden="1">{#N/A,#N/A,FALSE,"단가표지"}</definedName>
    <definedName name="ㄱㅎ후ㅕㅓㅅ" hidden="1">{#N/A,#N/A,FALSE,"조골재"}</definedName>
    <definedName name="ㄱㅎㅀㄴ">#REF!</definedName>
    <definedName name="ㄱ향" hidden="1">{#N/A,#N/A,FALSE,"단가표지"}</definedName>
    <definedName name="ㄱ허ㅐㅑㅇ" hidden="1">{#N/A,#N/A,FALSE,"혼합골재"}</definedName>
    <definedName name="ㄱ홍" hidden="1">{#N/A,#N/A,FALSE,"현장 NCR 분석";#N/A,#N/A,FALSE,"현장품질감사";#N/A,#N/A,FALSE,"현장품질감사"}</definedName>
    <definedName name="ㄱ홍ㅎ">#N/A</definedName>
    <definedName name="ㄱ효ㅕ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히학생" hidden="1">{#N/A,#N/A,FALSE,"혼합골재"}</definedName>
    <definedName name="ㄱㅎㄳ" hidden="1">#REF!</definedName>
    <definedName name="ㄱㅀ">#N/A</definedName>
    <definedName name="ㄱㅀㅍㅇ">#REF!</definedName>
    <definedName name="가">#REF!</definedName>
    <definedName name="가_드_레_일__개_소_별_명_세">#REF!</definedName>
    <definedName name="가_드_레_일_수_량_집_계">#REF!</definedName>
    <definedName name="가_설_공_사">#REF!</definedName>
    <definedName name="가.건축공사">#N/A</definedName>
    <definedName name="가.공원시설물공">#N/A</definedName>
    <definedName name="가2" hidden="1">{"'정산내역서'!$A$1:$I$35","'정산서(절.성토부)'!$A$1:$Q$17","'정산서(교량부)'!$A$1:$Q$84","'총괄표'!$A$1:$M$12","'시행현황'!$A$1:$G$12","'표지'!$A$1:$N$27","'정산서(절.성토부)'!$A$3:$Q$7"}</definedName>
    <definedName name="가가">#REF!</definedName>
    <definedName name="가가가">[0]!DANGA128</definedName>
    <definedName name="가가가가" hidden="1">{#N/A,#N/A,FALSE,"생산성";#N/A,#N/A,FALSE,"인력1";#N/A,#N/A,FALSE,"인력2";#N/A,#N/A,FALSE,"인력3";#N/A,#N/A,FALSE,"인건1";#N/A,#N/A,FALSE,"인건2";#N/A,#N/A,FALSE,"인건3";#N/A,#N/A,FALSE,"인원증감";#N/A,#N/A,FALSE,"인건증감";#N/A,#N/A,FALSE,"표지등"}</definedName>
    <definedName name="가가가각">#REF!</definedName>
    <definedName name="가가아가" hidden="1">{#N/A,#N/A,FALSE,"단가표지"}</definedName>
    <definedName name="가감">#REF!</definedName>
    <definedName name="가감금액비교표">#REF!</definedName>
    <definedName name="가갸" hidden="1">{#N/A,#N/A,FALSE,"이태원철근"}</definedName>
    <definedName name="가건물">#REF!</definedName>
    <definedName name="가건물손료">#REF!</definedName>
    <definedName name="가격표" hidden="1">{#N/A,#N/A,FALSE,"명세표"}</definedName>
    <definedName name="가공장"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가관지수링">#REF!</definedName>
    <definedName name="가구공사">#REF!</definedName>
    <definedName name="가구공사소계">#REF!</definedName>
    <definedName name="가구사" hidden="1">{#N/A,#N/A,FALSE,"현장 NCR 분석";#N/A,#N/A,FALSE,"현장품질감사";#N/A,#N/A,FALSE,"현장품질감사"}</definedName>
    <definedName name="가나" hidden="1">{#N/A,#N/A,FALSE,"지침";#N/A,#N/A,FALSE,"환경분석";#N/A,#N/A,FALSE,"Sheet16"}</definedName>
    <definedName name="가나나나아아앙"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가나다" hidden="1">{#N/A,#N/A,FALSE,"집계표"}</definedName>
    <definedName name="가나다라" hidden="1">{#N/A,#N/A,FALSE,"운반시간"}</definedName>
    <definedName name="가나다라마" hidden="1">{#N/A,#N/A,FALSE,"배수2"}</definedName>
    <definedName name="가나다라마바사" hidden="1">{#N/A,#N/A,FALSE,"명세표"}</definedName>
    <definedName name="가나다라마바사아" hidden="1">{#N/A,#N/A,FALSE,"이태원철근"}</definedName>
    <definedName name="가나라" hidden="1">#REF!</definedName>
    <definedName name="가난단" hidden="1">{#N/A,#N/A,FALSE,"생산성";#N/A,#N/A,FALSE,"인력1";#N/A,#N/A,FALSE,"인력2";#N/A,#N/A,FALSE,"인력3";#N/A,#N/A,FALSE,"인건1";#N/A,#N/A,FALSE,"인건2";#N/A,#N/A,FALSE,"인건3";#N/A,#N/A,FALSE,"인원증감";#N/A,#N/A,FALSE,"인건증감";#N/A,#N/A,FALSE,"표지등"}</definedName>
    <definedName name="가노">#REF!</definedName>
    <definedName name="가다" hidden="1">{#N/A,#N/A,FALSE,"단가표지"}</definedName>
    <definedName name="가도" hidden="1">#REF!</definedName>
    <definedName name="가도로">#REF!</definedName>
    <definedName name="가라">#REF!</definedName>
    <definedName name="가라가라가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라라">{"Book1","많다.xls"}</definedName>
    <definedName name="가락" hidden="1">{#N/A,#N/A,FALSE,"현장 NCR 분석";#N/A,#N/A,FALSE,"현장품질감사";#N/A,#N/A,FALSE,"현장품질감사"}</definedName>
    <definedName name="가락2" hidden="1">{#N/A,#N/A,FALSE,"현장 NCR 분석";#N/A,#N/A,FALSE,"현장품질감사";#N/A,#N/A,FALSE,"현장품질감사"}</definedName>
    <definedName name="가락가치">OFFSET(#REF!,0,0,1,COUNTA(#REF!))</definedName>
    <definedName name="가락공실">OFFSET(#REF!,0,0,1,COUNT(#REF!))</definedName>
    <definedName name="가락동">#REF!</definedName>
    <definedName name="가락동2">#REF!</definedName>
    <definedName name="가락수익률">OFFSET(#REF!,0,0,1,COUNTA(#REF!))</definedName>
    <definedName name="가락수입">OFFSET(#REF!,0,0,1,COUNTA(#REF!))</definedName>
    <definedName name="가락지출">OFFSET(#REF!,0,0,1,COUNTA(#REF!))</definedName>
    <definedName name="가락NOI">OFFSET(#REF!,0,0,1,COUNTA(#REF!))</definedName>
    <definedName name="가랴항" hidden="1">{#N/A,#N/A,FALSE,"단가표지"}</definedName>
    <definedName name="가로" hidden="1">{#N/A,#N/A,FALSE,"전력간선"}</definedName>
    <definedName name="가로간지" hidden="1">{#N/A,#N/A,FALSE,"현장 NCR 분석";#N/A,#N/A,FALSE,"현장품질감사";#N/A,#N/A,FALSE,"현장품질감사"}</definedName>
    <definedName name="가로내역서" hidden="1">{#N/A,#N/A,FALSE,"이태원철근"}</definedName>
    <definedName name="가로등">[0]!DANGA78</definedName>
    <definedName name="가로등부표1">#REF!</definedName>
    <definedName name="가로등부표2">#REF!,#REF!</definedName>
    <definedName name="가로등입력">#N/A</definedName>
    <definedName name="가로등주">#REF!</definedName>
    <definedName name="가로ㅓ야" hidden="1">{#N/A,#N/A,FALSE,"단가표지"}</definedName>
    <definedName name="가리" hidden="1">#REF!</definedName>
    <definedName name="가몰탈">#REF!</definedName>
    <definedName name="가바바ㅏㅂ">#REF!</definedName>
    <definedName name="가배수로집계표">{"'정산내역서'!$A$1:$I$35","'정산서(절.성토부)'!$A$1:$Q$17","'정산서(교량부)'!$A$1:$Q$84","'총괄표'!$A$1:$M$12","'시행현황'!$A$1:$G$12","'표지'!$A$1:$N$27","'정산서(절.성토부)'!$A$3:$Q$7"}</definedName>
    <definedName name="가비">#REF!</definedName>
    <definedName name="가비리" hidden="1">{#N/A,#N/A,FALSE,"운반시간"}</definedName>
    <definedName name="가상두께">#REF!</definedName>
    <definedName name="가서" hidden="1">{#N/A,#N/A,FALSE,"혼합골재"}</definedName>
    <definedName name="가설">#REF!</definedName>
    <definedName name="가설건물면적">#REF!</definedName>
    <definedName name="가설건물면적산정" hidden="1">{#N/A,#N/A,FALSE,"사업총괄";#N/A,#N/A,FALSE,"장비사업";#N/A,#N/A,FALSE,"철구사업";#N/A,#N/A,FALSE,"준설사업"}</definedName>
    <definedName name="가설건물손료">#N/A</definedName>
    <definedName name="가설경비">#REF!</definedName>
    <definedName name="가설계획" hidden="1">{#N/A,#N/A,FALSE,"갑지";#N/A,#N/A,FALSE,"개요";#N/A,#N/A,FALSE,"비목별";#N/A,#N/A,FALSE,"건물별";#N/A,#N/A,FALSE,"기구표";#N/A,#N/A,FALSE,"직원투입"}</definedName>
    <definedName name="가설공사">#REF!</definedName>
    <definedName name="가설공사비">#REF!</definedName>
    <definedName name="가설노무">#REF!</definedName>
    <definedName name="가설대비4" localSheetId="0">BlankMacro1</definedName>
    <definedName name="가설대비4">BlankMacro1</definedName>
    <definedName name="가설더스트슈트경비">#REF!</definedName>
    <definedName name="가설더스트슈트노무">#REF!</definedName>
    <definedName name="가설더스트슈트재료">#REF!</definedName>
    <definedName name="가설도로">#REF!</definedName>
    <definedName name="가설방음벽" hidden="1">{#N/A,#N/A,FALSE,"골재소요량";#N/A,#N/A,FALSE,"골재소요량"}</definedName>
    <definedName name="가설사무소경">#REF!</definedName>
    <definedName name="가설사무소경비">#REF!</definedName>
    <definedName name="가설사무소노">#REF!</definedName>
    <definedName name="가설사무소노무">#REF!</definedName>
    <definedName name="가설사무소재">#REF!</definedName>
    <definedName name="가설사무소재료">#REF!</definedName>
    <definedName name="가설사무실">#REF!</definedName>
    <definedName name="가설수도" hidden="1">{#N/A,#N/A,FALSE,"갑지";#N/A,#N/A,FALSE,"개요";#N/A,#N/A,FALSE,"비목별";#N/A,#N/A,FALSE,"건물별";#N/A,#N/A,FALSE,"기구표";#N/A,#N/A,FALSE,"직원투입"}</definedName>
    <definedName name="가설양" localSheetId="0">BlankMacro1</definedName>
    <definedName name="가설양">BlankMacro1</definedName>
    <definedName name="가설용역갑지" hidden="1">{#N/A,#N/A,FALSE,"CCTV"}</definedName>
    <definedName name="가설울타리" hidden="1">#REF!</definedName>
    <definedName name="가설재료">#REF!</definedName>
    <definedName name="가설전">#REF!</definedName>
    <definedName name="가설전기">#REF!</definedName>
    <definedName name="가설창고경">#REF!</definedName>
    <definedName name="가설창고경비">#REF!</definedName>
    <definedName name="가설창고노">#REF!</definedName>
    <definedName name="가설창고노무">#REF!</definedName>
    <definedName name="가설창고재">#REF!</definedName>
    <definedName name="가설창고재료">#REF!</definedName>
    <definedName name="가설하품">#N/A</definedName>
    <definedName name="가성" hidden="1">{#N/A,#N/A,FALSE,"골재소요량";#N/A,#N/A,FALSE,"골재소요량"}</definedName>
    <definedName name="가속" hidden="1">{#N/A,#N/A,FALSE,"현장 NCR 분석";#N/A,#N/A,FALSE,"현장품질감사";#N/A,#N/A,FALSE,"현장품질감사"}</definedName>
    <definedName name="가스" hidden="1">{#N/A,#N/A,FALSE,"전력간선"}</definedName>
    <definedName name="가스_1" hidden="1">{#N/A,#N/A,FALSE,"전력간선"}</definedName>
    <definedName name="가스설비1">#REF!</definedName>
    <definedName name="가스실행내역" hidden="1">{#N/A,#N/A,FALSE,"전력간선"}</definedName>
    <definedName name="가시" hidden="1">#REF!</definedName>
    <definedName name="가시공"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가시나무5노무">#REF!</definedName>
    <definedName name="가시나무5재료">#REF!</definedName>
    <definedName name="가시나무6노무">#REF!</definedName>
    <definedName name="가시나무6재료">#REF!</definedName>
    <definedName name="가시나무노무8">#REF!</definedName>
    <definedName name="가시나무재료8">#REF!</definedName>
    <definedName name="가시나무H4.5">#REF!</definedName>
    <definedName name="가시나무R4">#REF!</definedName>
    <definedName name="가시나무R5">#REF!</definedName>
    <definedName name="가시나무R6">#REF!</definedName>
    <definedName name="가시나무R8">#REF!</definedName>
    <definedName name="가시롷" hidden="1">{#N/A,#N/A,FALSE,"표지목차"}</definedName>
    <definedName name="가시설">#REF!</definedName>
    <definedName name="가시설공">#REF!</definedName>
    <definedName name="가시설설치">#REF!</definedName>
    <definedName name="가시설치">#REF!</definedName>
    <definedName name="가시지" hidden="1">{#N/A,#N/A,FALSE,"단가표지"}</definedName>
    <definedName name="가식장">#REF!</definedName>
    <definedName name="가실" hidden="1">{#N/A,#N/A,FALSE,"전력간선"}</definedName>
    <definedName name="가실행">#REF!</definedName>
    <definedName name="가아" hidden="1">#REF!</definedName>
    <definedName name="가야조차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오리" hidden="1">{#N/A,#N/A,FALSE,"운반시간"}</definedName>
    <definedName name="가옥" hidden="1">{#N/A,#N/A,FALSE,"속도"}</definedName>
    <definedName name="가요" hidden="1">#REF!</definedName>
    <definedName name="가원형4회">#REF!</definedName>
    <definedName name="가유1가도">#REF!</definedName>
    <definedName name="가유2가도교">#REF!</definedName>
    <definedName name="가으러ㅜㅈ" hidden="1">{#N/A,#N/A,FALSE,"조골재"}</definedName>
    <definedName name="가으로려겷" hidden="1">{#N/A,#N/A,FALSE,"운반시간"}</definedName>
    <definedName name="가으로ㅛㅕㅈㄷ" hidden="1">{#N/A,#N/A,FALSE,"운반시간"}</definedName>
    <definedName name="가을" hidden="1">{#N/A,#N/A,FALSE,"단축1";#N/A,#N/A,FALSE,"단축2";#N/A,#N/A,FALSE,"단축3";#N/A,#N/A,FALSE,"장축";#N/A,#N/A,FALSE,"4WD"}</definedName>
    <definedName name="가을나나라" hidden="1">{#N/A,#N/A,FALSE,"단가표지"}</definedName>
    <definedName name="가을ㄹ나렫" hidden="1">{#N/A,#N/A,FALSE,"단가표지"}</definedName>
    <definedName name="가을바람" hidden="1">{#N/A,#N/A,FALSE,"단가표지"}</definedName>
    <definedName name="가을인생" hidden="1">{#N/A,#N/A,FALSE,"골재소요량";#N/A,#N/A,FALSE,"골재소요량"}</definedName>
    <definedName name="가을인생은" hidden="1">{#N/A,#N/A,FALSE,"혼합골재"}</definedName>
    <definedName name="가을져" hidden="1">{#N/A,#N/A,FALSE,"혼합골재"}</definedName>
    <definedName name="가을타" hidden="1">{#N/A,#N/A,FALSE,"단가표지"}</definedName>
    <definedName name="가을하늘" hidden="1">{#N/A,#N/A,FALSE,"단가표지"}</definedName>
    <definedName name="가을하능ㄹ" hidden="1">{#N/A,#N/A,FALSE,"운반시간"}</definedName>
    <definedName name="가을한" hidden="1">{#N/A,#N/A,FALSE,"혼합골재"}</definedName>
    <definedName name="가음" hidden="1">{#N/A,#N/A,FALSE,"혼합골재"}</definedName>
    <definedName name="가이즈까">#REF!</definedName>
    <definedName name="가이즈까향1204">#REF!</definedName>
    <definedName name="가이즈까향1505">#REF!</definedName>
    <definedName name="가이즈까향2006">#REF!</definedName>
    <definedName name="가이즈까향2008">#REF!</definedName>
    <definedName name="가이즈까향2510">#REF!</definedName>
    <definedName name="가입">#N/A</definedName>
    <definedName name="가자" hidden="1">{#N/A,#N/A,FALSE,"예상손익";#N/A,#N/A,FALSE,"관리분석";#N/A,#N/A,FALSE,"장비분석";#N/A,#N/A,FALSE,"준설분석";#N/A,#N/A,FALSE,"철구분석"}</definedName>
    <definedName name="가자너구리" hidden="1">{#N/A,#N/A,FALSE,"표지목차"}</definedName>
    <definedName name="가자이씨팔아" localSheetId="0">BlankMacro1</definedName>
    <definedName name="가자이씨팔아">BlankMacro1</definedName>
    <definedName name="가자표" hidden="1">{#N/A,#N/A,FALSE,"이태원철근"}</definedName>
    <definedName name="가장">#REF!</definedName>
    <definedName name="가정건설" hidden="1">{"' 거래명세서'!$B$120:$H$158","'충전산업'!$L$28","'충전산업'!$A$1:$I$40","' 거래명세서'!$K$5"}</definedName>
    <definedName name="가정건설산업" hidden="1">{"' 거래명세서'!$B$120:$H$158","'충전산업'!$L$28","'충전산업'!$A$1:$I$40","' 거래명세서'!$K$5"}</definedName>
    <definedName name="가정단위" localSheetId="0">BlankMacro1</definedName>
    <definedName name="가정단위">BlankMacro1</definedName>
    <definedName name="가중나무B10">#REF!</definedName>
    <definedName name="가중나무B4">#REF!</definedName>
    <definedName name="가중나무B5">#REF!</definedName>
    <definedName name="가중나무B6">#REF!</definedName>
    <definedName name="가중나무B8">#REF!</definedName>
    <definedName name="가지미다" hidden="1">{#N/A,#N/A,FALSE,"운반시간"}</definedName>
    <definedName name="가직접">#REF!</definedName>
    <definedName name="가짜">{"'정산내역서'!$A$1:$I$35","'정산서(절.성토부)'!$A$1:$Q$17","'정산서(교량부)'!$A$1:$Q$84","'총괄표'!$A$1:$M$12","'시행현황'!$A$1:$G$12","'표지'!$A$1:$N$27","'정산서(절.성토부)'!$A$3:$Q$7"}</definedName>
    <definedName name="가철근">#REF!</definedName>
    <definedName name="가치">#REF!</definedName>
    <definedName name="가콘25">#REF!</definedName>
    <definedName name="가콘40">#REF!</definedName>
    <definedName name="가파싱" hidden="1">{#N/A,#N/A,FALSE,"단가표지"}</definedName>
    <definedName name="가평" hidden="1">{#N/A,#N/A,FALSE,"손익표지";#N/A,#N/A,FALSE,"손익계산";#N/A,#N/A,FALSE,"일반관리비";#N/A,#N/A,FALSE,"영업외수익";#N/A,#N/A,FALSE,"영업외비용";#N/A,#N/A,FALSE,"매출액";#N/A,#N/A,FALSE,"요약손익";#N/A,#N/A,FALSE,"요약대차";#N/A,#N/A,FALSE,"매출채권현황";#N/A,#N/A,FALSE,"매출채권명세"}</definedName>
    <definedName name="가햐ㅐㄷ" hidden="1">{#N/A,#N/A,FALSE,"골재소요량";#N/A,#N/A,FALSE,"골재소요량"}</definedName>
    <definedName name="가ㅑㅎㅅ" hidden="1">{#N/A,#N/A,FALSE,"단가표지"}</definedName>
    <definedName name="가ㅓ햇" hidden="1">{#N/A,#N/A,FALSE,"단가표지"}</definedName>
    <definedName name="가ㅓㅑㅎㄱ" hidden="1">{#N/A,#N/A,FALSE,"운반시간"}</definedName>
    <definedName name="가ㅓㅕㅇ" hidden="1">{#N/A,#N/A,FALSE,"단가표지"}</definedName>
    <definedName name="가ㅓㅕㅑㄱ" hidden="1">{#N/A,#N/A,FALSE,"혼합골재"}</definedName>
    <definedName name="가ㅓㅗ툘ㅇㄷ" hidden="1">{#N/A,#N/A,FALSE,"조골재"}</definedName>
    <definedName name="가ㅓㅗ혀" hidden="1">{#N/A,#N/A,FALSE,"표지목차"}</definedName>
    <definedName name="가ㅓㅗㅓㅕㅑㅗㅎㄱ" hidden="1">{#N/A,#N/A,FALSE,"단가표지"}</definedName>
    <definedName name="가ㅓㅗㅕㄱㅎㅎ" hidden="1">{#N/A,#N/A,FALSE,"조골재"}</definedName>
    <definedName name="가ㅕㅑㅓ8ㅑㄱㄱㅎ" hidden="1">{#N/A,#N/A,FALSE,"표지목차"}</definedName>
    <definedName name="가ㅘㅇㄹ" localSheetId="0">BlankMacro1</definedName>
    <definedName name="가ㅘㅇㄹ">BlankMacro1</definedName>
    <definedName name="각">#REF!</definedName>
    <definedName name="각간지" localSheetId="0">Dlog_Show</definedName>
    <definedName name="각간지">Dlog_Show</definedName>
    <definedName name="각공장">#REF!</definedName>
    <definedName name="각종함">#REF!</definedName>
    <definedName name="간">#REF!</definedName>
    <definedName name="간가">#REF!</definedName>
    <definedName name="간공">#REF!</definedName>
    <definedName name="간노">#REF!</definedName>
    <definedName name="간노1">#REF!</definedName>
    <definedName name="간노1간노1">#REF!</definedName>
    <definedName name="간노2">#REF!</definedName>
    <definedName name="간노2간노2">#REF!</definedName>
    <definedName name="간노노">#REF!</definedName>
    <definedName name="간다" hidden="1">{#N/A,#N/A,FALSE,"CCTV"}</definedName>
    <definedName name="간동비56788" hidden="1">{#N/A,#N/A,FALSE,"갑지";#N/A,#N/A,FALSE,"개요";#N/A,#N/A,FALSE,"비목별";#N/A,#N/A,FALSE,"건물별";#N/A,#N/A,FALSE,"기구표";#N/A,#N/A,FALSE,"직원투입"}</definedName>
    <definedName name="간선변경" localSheetId="0">BlankMacro1</definedName>
    <definedName name="간선변경">BlankMacro1</definedName>
    <definedName name="간이지" localSheetId="0">Dlog_Show</definedName>
    <definedName name="간이지">Dlog_Show</definedName>
    <definedName name="간접">#REF!</definedName>
    <definedName name="간접2">#REF!</definedName>
    <definedName name="간접경비" hidden="1">#REF!</definedName>
    <definedName name="간접노무비">#REF!</definedName>
    <definedName name="간접노무비_산식">#N/A</definedName>
    <definedName name="간접노무비요율">#REF!</definedName>
    <definedName name="간접노무비율">#REF!</definedName>
    <definedName name="간접노무비표">#REF!</definedName>
    <definedName name="간접비" hidden="1">{#N/A,#N/A,FALSE,"갑지";#N/A,#N/A,FALSE,"개요";#N/A,#N/A,FALSE,"비목별";#N/A,#N/A,FALSE,"건물별";#N/A,#N/A,FALSE,"기구표";#N/A,#N/A,FALSE,"직원투입"}</definedName>
    <definedName name="간접비_1"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간접비1_1" hidden="1">{#N/A,#N/A,FALSE,"갑지";#N/A,#N/A,FALSE,"개요";#N/A,#N/A,FALSE,"비목별";#N/A,#N/A,FALSE,"건물별";#N/A,#N/A,FALSE,"기구표";#N/A,#N/A,FALSE,"직원투입"}</definedName>
    <definedName name="간접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간접비내역">#REF!</definedName>
    <definedName name="간접비산출">#REF!</definedName>
    <definedName name="간접율">#REF!</definedName>
    <definedName name="간접재료비">#REF!</definedName>
    <definedName name="간지" hidden="1">#REF!</definedName>
    <definedName name="간지7" hidden="1">{#N/A,#N/A,FALSE,"골재소요량";#N/A,#N/A,FALSE,"골재소요량"}</definedName>
    <definedName name="간지8" hidden="1">{#N/A,#N/A,FALSE,"조골재"}</definedName>
    <definedName name="간지삼번" hidden="1">{#N/A,#N/A,FALSE,"운반시간"}</definedName>
    <definedName name="간지설계">#REF!</definedName>
    <definedName name="갅ㅈ">#REF!</definedName>
    <definedName name="갇" hidden="1">{"'정산내역서'!$A$1:$I$35","'정산서(절.성토부)'!$A$1:$Q$17","'정산서(교량부)'!$A$1:$Q$84","'총괄표'!$A$1:$M$12","'시행현황'!$A$1:$G$12","'표지'!$A$1:$N$27","'정산서(절.성토부)'!$A$3:$Q$7"}</definedName>
    <definedName name="갈" hidden="1">{#N/A,#N/A,FALSE,"조골재"}</definedName>
    <definedName name="갈15">#REF!</definedName>
    <definedName name="갈대">#REF!</definedName>
    <definedName name="갈대3">#REF!</definedName>
    <definedName name="갈대노">#REF!</definedName>
    <definedName name="갈대재">#REF!</definedName>
    <definedName name="갈매기표지판_개소별명세">#REF!</definedName>
    <definedName name="갈빌1호">#REF!</definedName>
    <definedName name="갈빌2호">#REF!</definedName>
    <definedName name="갈빌3호">#REF!</definedName>
    <definedName name="갈전교">#REF!</definedName>
    <definedName name="갈지" hidden="1">{#N/A,#N/A,TRUE,"대외공문"}</definedName>
    <definedName name="갈지_1" hidden="1">{#N/A,#N/A,TRUE,"대외공문"}</definedName>
    <definedName name="갈지_2" hidden="1">{#N/A,#N/A,TRUE,"대외공문"}</definedName>
    <definedName name="갈지_3" hidden="1">{#N/A,#N/A,TRUE,"대외공문"}</definedName>
    <definedName name="감">#REF!</definedName>
    <definedName name="감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감귤" hidden="1">{#N/A,#N/A,FALSE,"생산성";#N/A,#N/A,FALSE,"인력1";#N/A,#N/A,FALSE,"인력2";#N/A,#N/A,FALSE,"인력3";#N/A,#N/A,FALSE,"인건1";#N/A,#N/A,FALSE,"인건2";#N/A,#N/A,FALSE,"인건3";#N/A,#N/A,FALSE,"인원증감";#N/A,#N/A,FALSE,"인건증감";#N/A,#N/A,FALSE,"표지등"}</definedName>
    <definedName name="감나무">#REF!</definedName>
    <definedName name="감나무H2.5">#REF!</definedName>
    <definedName name="감나무H3.0">#REF!</definedName>
    <definedName name="감독조서" hidden="1">{#N/A,#N/A,FALSE,"집계표"}</definedName>
    <definedName name="감로건설"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감리" hidden="1">#REF!</definedName>
    <definedName name="감리2" localSheetId="0">BlankMacro1</definedName>
    <definedName name="감리2">BlankMacro1</definedName>
    <definedName name="감리단" hidden="1">{#N/A,#N/A,FALSE,"현장 NCR 분석";#N/A,#N/A,FALSE,"현장품질감사";#N/A,#N/A,FALSE,"현장품질감사"}</definedName>
    <definedName name="감리동2" hidden="1">#REF!</definedName>
    <definedName name="감리상주" hidden="1">{#N/A,#N/A,FALSE,"지침";#N/A,#N/A,FALSE,"환경분석";#N/A,#N/A,FALSE,"Sheet16"}</definedName>
    <definedName name="감리상주_1" hidden="1">{#N/A,#N/A,FALSE,"지침";#N/A,#N/A,FALSE,"환경분석";#N/A,#N/A,FALSE,"Sheet16"}</definedName>
    <definedName name="감리상주_2" hidden="1">{#N/A,#N/A,FALSE,"지침";#N/A,#N/A,FALSE,"환경분석";#N/A,#N/A,FALSE,"Sheet16"}</definedName>
    <definedName name="감리상주_3" hidden="1">{#N/A,#N/A,FALSE,"지침";#N/A,#N/A,FALSE,"환경분석";#N/A,#N/A,FALSE,"Sheet16"}</definedName>
    <definedName name="감리상주_4" hidden="1">{#N/A,#N/A,FALSE,"지침";#N/A,#N/A,FALSE,"환경분석";#N/A,#N/A,FALSE,"Sheet16"}</definedName>
    <definedName name="감리상주_5" hidden="1">{#N/A,#N/A,FALSE,"지침";#N/A,#N/A,FALSE,"환경분석";#N/A,#N/A,FALSE,"Sheet16"}</definedName>
    <definedName name="감리상주2" hidden="1">{#N/A,#N/A,FALSE,"지침";#N/A,#N/A,FALSE,"환경분석";#N/A,#N/A,FALSE,"Sheet16"}</definedName>
    <definedName name="감리원" localSheetId="0">Dlog_Show</definedName>
    <definedName name="감리원">Dlog_Show</definedName>
    <definedName name="감마w">#REF!</definedName>
    <definedName name="감속기_실적가_첨부ㅓㅓㅓㅓㅓㅓㅓㅓㅓㅓ">#REF!</definedName>
    <definedName name="감속턱수량">#REF!</definedName>
    <definedName name="감액" localSheetId="0">BlankMacro1</definedName>
    <definedName name="감액">BlankMacro1</definedName>
    <definedName name="감지기">#N/A</definedName>
    <definedName name="감철근">#REF!</definedName>
    <definedName name="감R10">#REF!</definedName>
    <definedName name="감R12">#REF!</definedName>
    <definedName name="감R15">#REF!</definedName>
    <definedName name="감R5">#REF!</definedName>
    <definedName name="감R6">#REF!</definedName>
    <definedName name="감R7">#REF!</definedName>
    <definedName name="감R8">#REF!</definedName>
    <definedName name="갑">#REF!</definedName>
    <definedName name="갑03">#REF!</definedName>
    <definedName name="갑111">#REF!</definedName>
    <definedName name="갑12" hidden="1">{#N/A,#N/A,FALSE,"전력간선"}</definedName>
    <definedName name="갑갑">#REF!</definedName>
    <definedName name="갑공사" hidden="1">{#N/A,#N/A,FALSE,"공사금액출력";#N/A,#N/A,FALSE,"외주비분류"}</definedName>
    <definedName name="갑디" hidden="1">{#N/A,#N/A,FALSE,"지침";#N/A,#N/A,FALSE,"환경분석";#N/A,#N/A,FALSE,"Sheet16"}</definedName>
    <definedName name="갑비">#REF!,#REF!</definedName>
    <definedName name="갑지" hidden="1">#REF!</definedName>
    <definedName name="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갑지02" hidden="1">{#N/A,#N/A,FALSE,"Sheet6"}</definedName>
    <definedName name="갑지1" hidden="1">{#N/A,#N/A,FALSE,"도급대비시행율";#N/A,#N/A,FALSE,"결의서";#N/A,#N/A,FALSE,"내역서";#N/A,#N/A,FALSE,"도급예상"}</definedName>
    <definedName name="갑지100" hidden="1">{#N/A,#N/A,FALSE,"CCTV"}</definedName>
    <definedName name="갑지111">#N/A</definedName>
    <definedName name="갑지12" localSheetId="0">BlankMacro1</definedName>
    <definedName name="갑지12">BlankMacro1</definedName>
    <definedName name="갑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갑지3" hidden="1">{#N/A,#N/A,FALSE,"CCTV"}</definedName>
    <definedName name="갑지4" hidden="1">{#N/A,#N/A,FALSE,"CCTV"}</definedName>
    <definedName name="갑지5" hidden="1">{#N/A,#N/A,FALSE,"CCTV"}</definedName>
    <definedName name="갑지6" hidden="1">{#N/A,#N/A,FALSE,"CCTV"}</definedName>
    <definedName name="갑지8" hidden="1">{#N/A,#N/A,FALSE,"전력간선"}</definedName>
    <definedName name="갑지9">#N/A</definedName>
    <definedName name="갑지네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갑지다">#REF!</definedName>
    <definedName name="갑지도급비교">#REF!,#REF!</definedName>
    <definedName name="갑지변경" hidden="1">{#N/A,#N/A,FALSE,"전력간선"}</definedName>
    <definedName name="갑지변경1" hidden="1">{#N/A,#N/A,FALSE,"전력간선"}</definedName>
    <definedName name="갑지변경2" hidden="1">{#N/A,#N/A,FALSE,"전력간선"}</definedName>
    <definedName name="갑지변경3" hidden="1">{#N/A,#N/A,FALSE,"전력간선"}</definedName>
    <definedName name="갑지변경4" hidden="1">{#N/A,#N/A,FALSE,"전력간선"}</definedName>
    <definedName name="갑지변경5" hidden="1">{#N/A,#N/A,FALSE,"전력간선"}</definedName>
    <definedName name="갑지변경6" hidden="1">{#N/A,#N/A,FALSE,"전력간선"}</definedName>
    <definedName name="갑지변경7" hidden="1">{#N/A,#N/A,FALSE,"전력간선"}</definedName>
    <definedName name="갑지변경8" hidden="1">{#N/A,#N/A,FALSE,"전력간선"}</definedName>
    <definedName name="갑지변경9" hidden="1">{#N/A,#N/A,FALSE,"전력간선"}</definedName>
    <definedName name="갑지새거" hidden="1">{#N/A,#N/A,FALSE,"Sheet1";#N/A,#N/A,FALSE,"Sheet2";#N/A,#N/A,FALSE,"TAB96-1"}</definedName>
    <definedName name="갑지수정본" hidden="1">#REF!</definedName>
    <definedName name="갑지조정" hidden="1">{#N/A,#N/A,FALSE,"CCTV"}</definedName>
    <definedName name="갑지지" hidden="1">{#N/A,#N/A,FALSE,"집계";#N/A,#N/A,FALSE,"표지";#N/A,#N/A,FALSE,"터빈집계";#N/A,#N/A,FALSE,"터빈내역";#N/A,#N/A,FALSE,"주제어집계";#N/A,#N/A,FALSE,"주제어내역";#N/A,#N/A,FALSE,"보일러집계";#N/A,#N/A,FALSE,"보일러내역"}</definedName>
    <definedName name="갑지A" hidden="1">{#N/A,#N/A,FALSE,"CCTV"}</definedName>
    <definedName name="갑표지" hidden="1">{#N/A,#N/A,FALSE,"부대1"}</definedName>
    <definedName name="강" localSheetId="0">BlankMacro1</definedName>
    <definedName name="강">BlankMacro1</definedName>
    <definedName name="강1">#REF!</definedName>
    <definedName name="강2">#REF!</definedName>
    <definedName name="강3">#REF!</definedName>
    <definedName name="강경욱" hidden="1">{#N/A,#N/A,FALSE,"골재소요량";#N/A,#N/A,FALSE,"골재소요량"}</definedName>
    <definedName name="강경욱1" hidden="1">{#N/A,#N/A,FALSE,"2~8번"}</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관동바리경비">#REF!</definedName>
    <definedName name="강관동바리노무">#REF!</definedName>
    <definedName name="강관동바리재료">#REF!</definedName>
    <definedName name="강관말뚝공">#REF!</definedName>
    <definedName name="강관비개설치재료">#REF!</definedName>
    <definedName name="강관비계다리경비">#REF!</definedName>
    <definedName name="강관비계다리노무">#REF!</definedName>
    <definedName name="강관비계다리재료">#REF!</definedName>
    <definedName name="강관비계설치경비">#REF!</definedName>
    <definedName name="강관비계설치노무">#REF!</definedName>
    <definedName name="강관파일공">#REF!</definedName>
    <definedName name="강교" hidden="1">{#N/A,#N/A,FALSE,"포장2"}</definedName>
    <definedName name="강교_1" hidden="1">{#N/A,#N/A,FALSE,"포장2"}</definedName>
    <definedName name="강교스치로폴_채움">#REF!</definedName>
    <definedName name="강구조물" hidden="1">{#N/A,#N/A,FALSE,"포장1";#N/A,#N/A,FALSE,"포장1"}</definedName>
    <definedName name="강길">#REF!</definedName>
    <definedName name="강덩" hidden="1">{#N/A,#N/A,FALSE,"운반시간"}</definedName>
    <definedName name="강도">#REF!</definedName>
    <definedName name="강릉교동" hidden="1">#REF!</definedName>
    <definedName name="강릉교동터파기" hidden="1">#REF!</definedName>
    <definedName name="강릉교동토목" hidden="1">#REF!</definedName>
    <definedName name="강릉교동흙막이" hidden="1">#REF!</definedName>
    <definedName name="강릉정렬">#REF!</definedName>
    <definedName name="강릉토공사" hidden="1">#REF!</definedName>
    <definedName name="강릉토목공사" hidden="1">#REF!</definedName>
    <definedName name="강릉토목임" hidden="1">#REF!</definedName>
    <definedName name="강북" hidden="1">#REF!</definedName>
    <definedName name="강산개발" hidden="1">{#N/A,#N/A,FALSE,"포장1";#N/A,#N/A,FALSE,"포장1"}</definedName>
    <definedName name="강서그레스힐" hidden="1">#REF!</definedName>
    <definedName name="강석" hidden="1">{#N/A,#N/A,FALSE,"사진대지 (2)"}</definedName>
    <definedName name="강성3Span">#REF!</definedName>
    <definedName name="강성찬" hidden="1">{#N/A,#N/A,FALSE,"골재소요량";#N/A,#N/A,FALSE,"골재소요량"}</definedName>
    <definedName name="강성찬1" hidden="1">{#N/A,#N/A,FALSE,"2~8번"}</definedName>
    <definedName name="강성찬2" hidden="1">{#N/A,#N/A,FALSE,"혼합골재"}</definedName>
    <definedName name="강성찬3" hidden="1">{#N/A,#N/A,FALSE,"골재소요량";#N/A,#N/A,FALSE,"골재소요량"}</definedName>
    <definedName name="강성찬4" hidden="1">{#N/A,#N/A,FALSE,"골재소요량";#N/A,#N/A,FALSE,"골재소요량"}</definedName>
    <definedName name="강수지" localSheetId="0">BlankMacro1</definedName>
    <definedName name="강수지">BlankMacro1</definedName>
    <definedName name="강아지" hidden="1">#REF!</definedName>
    <definedName name="강일부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재" hidden="1">{#N/A,#N/A,FALSE,"배수1"}</definedName>
    <definedName name="강재거푸집">#REF!</definedName>
    <definedName name="강재손료11" hidden="1">{#N/A,#N/A,FALSE,"운반시간"}</definedName>
    <definedName name="강접비">#REF!</definedName>
    <definedName name="강정근" hidden="1">{"'도면'!$G$62:$H$63","'도면'!$G$62:$H$63"}</definedName>
    <definedName name="강지" hidden="1">{#N/A,#N/A,TRUE,"대외공문"}</definedName>
    <definedName name="강판">#REF!</definedName>
    <definedName name="강환" hidden="1">{#N/A,#N/A,FALSE,"월공사비집계표양식 (7)";#N/A,#N/A,FALSE,"월공사비집계표양식 (7)"}</definedName>
    <definedName name="강희정" hidden="1">{#N/A,#N/A,FALSE,"현장 NCR 분석";#N/A,#N/A,FALSE,"현장품질감사";#N/A,#N/A,FALSE,"현장품질감사"}</definedName>
    <definedName name="갖지" hidden="1">{#N/A,#N/A,TRUE,"대외공문"}</definedName>
    <definedName name="갖지_1" hidden="1">{#N/A,#N/A,TRUE,"대외공문"}</definedName>
    <definedName name="갖지_2" hidden="1">{#N/A,#N/A,TRUE,"대외공문"}</definedName>
    <definedName name="갖지_3" hidden="1">{#N/A,#N/A,TRUE,"대외공문"}</definedName>
    <definedName name="개">#N/A</definedName>
    <definedName name="개거" hidden="1">#REF!</definedName>
    <definedName name="개거1" hidden="1">#REF!</definedName>
    <definedName name="개거수량">#REF!</definedName>
    <definedName name="개나리">#REF!</definedName>
    <definedName name="개나리12">#REF!</definedName>
    <definedName name="개나리3">#REF!</definedName>
    <definedName name="개나리5">#REF!</definedName>
    <definedName name="개나리5노무">#REF!</definedName>
    <definedName name="개나리5재료">#REF!</definedName>
    <definedName name="개나리7">#REF!</definedName>
    <definedName name="개나리7노무">#REF!</definedName>
    <definedName name="개나리7재료">#REF!</definedName>
    <definedName name="개나리9">#REF!</definedName>
    <definedName name="개략" hidden="1">{#N/A,#N/A,FALSE,"단가표지"}</definedName>
    <definedName name="개략공사대비표" hidden="1">{#N/A,#N/A,FALSE,"조골재"}</definedName>
    <definedName name="개략금액">#REF!</definedName>
    <definedName name="개발비">#REF!</definedName>
    <definedName name="개발비율">#REF!</definedName>
    <definedName name="개발양수도3">#REF!</definedName>
    <definedName name="개사나견저">#REF!</definedName>
    <definedName name="개산견적" hidden="1">{#N/A,#N/A,FALSE,"갑지";#N/A,#N/A,FALSE,"개요";#N/A,#N/A,FALSE,"비목별";#N/A,#N/A,FALSE,"건물별";#N/A,#N/A,FALSE,"기구표";#N/A,#N/A,FALSE,"직원투입"}</definedName>
    <definedName name="개산급사유서" hidden="1">{#N/A,#N/A,FALSE,"집계표"}</definedName>
    <definedName name="개산분">#REF!</definedName>
    <definedName name="개선내용" hidden="1">{#N/A,#N/A,TRUE,"Y생산";#N/A,#N/A,TRUE,"Y판매";#N/A,#N/A,TRUE,"Y총물량";#N/A,#N/A,TRUE,"Y능력";#N/A,#N/A,TRUE,"YKD"}</definedName>
    <definedName name="개선목차" hidden="1">{#N/A,#N/A,FALSE,"현장 NCR 분석";#N/A,#N/A,FALSE,"현장품질감사";#N/A,#N/A,FALSE,"현장품질감사"}</definedName>
    <definedName name="개선실적" hidden="1">{#N/A,#N/A,TRUE,"Y생산";#N/A,#N/A,TRUE,"Y판매";#N/A,#N/A,TRUE,"Y총물량";#N/A,#N/A,TRUE,"Y능력";#N/A,#N/A,TRUE,"YKD"}</definedName>
    <definedName name="개설" hidden="1">{#N/A,#N/A,FALSE,"신청통보";#N/A,#N/A,FALSE,"기성확인서";#N/A,#N/A,FALSE,"기성내역서"}</definedName>
    <definedName name="개소">#REF!</definedName>
    <definedName name="개소별명세표" hidden="1">{#N/A,#N/A,FALSE,"명세표"}</definedName>
    <definedName name="개수">#REF!</definedName>
    <definedName name="개쉬땅1204">#REF!</definedName>
    <definedName name="개쉬땅1506">#REF!</definedName>
    <definedName name="개쉬땅4노무">#REF!</definedName>
    <definedName name="개쉬땅4재료">#REF!</definedName>
    <definedName name="개쉬땅6노무">#REF!</definedName>
    <definedName name="개쉬땅6재료">#REF!</definedName>
    <definedName name="개시결정일">#REF!</definedName>
    <definedName name="개요" hidden="1">#REF!</definedName>
    <definedName name="개요1" hidden="1">#REF!</definedName>
    <definedName name="개요2">#N/A</definedName>
    <definedName name="개요서">#REF!</definedName>
    <definedName name="개착터널">#REF!</definedName>
    <definedName name="개천내기">#REF!</definedName>
    <definedName name="개ㅏㅎㅅ9ㅐㅐㅎㅇ" hidden="1">{#N/A,#N/A,FALSE,"2~8번"}</definedName>
    <definedName name="갯버들">#REF!</definedName>
    <definedName name="갯버들노">#REF!</definedName>
    <definedName name="갯버들재">#REF!</definedName>
    <definedName name="갯수">#REF!</definedName>
    <definedName name="갱부">#REF!</definedName>
    <definedName name="갱부001">#REF!</definedName>
    <definedName name="갱부002">#REF!</definedName>
    <definedName name="갱부011">#REF!</definedName>
    <definedName name="갱부982">#REF!</definedName>
    <definedName name="갱부991">#REF!</definedName>
    <definedName name="갱부992">#REF!</definedName>
    <definedName name="갱폼" hidden="1">{#N/A,#N/A,FALSE,"예상손익";#N/A,#N/A,FALSE,"관리분석";#N/A,#N/A,FALSE,"장비분석";#N/A,#N/A,FALSE,"준설분석";#N/A,#N/A,FALSE,"철구분석"}</definedName>
    <definedName name="갸" hidden="1">{#N/A,#N/A,FALSE,"CCTV"}</definedName>
    <definedName name="갸ㅐㅓㅑㅇㄱ" hidden="1">{#N/A,#N/A,FALSE,"골재소요량";#N/A,#N/A,FALSE,"골재소요량"}</definedName>
    <definedName name="갸ㅑㄷㅈ" hidden="1">{#N/A,#N/A,FALSE,"단가표지"}</definedName>
    <definedName name="갸ㅓ략ㅎ" hidden="1">{#N/A,#N/A,FALSE,"혼합골재"}</definedName>
    <definedName name="갸ㅕㅛ샤ㅛ" hidden="1">{"'공사부문'!$A$6:$A$32"}</definedName>
    <definedName name="갸ㅗ" hidden="1">{#N/A,#N/A,FALSE,"조골재"}</definedName>
    <definedName name="갹">#REF!</definedName>
    <definedName name="ㄱㅓ">#REF!</definedName>
    <definedName name="거_4">#REF!</definedName>
    <definedName name="거_6">#REF!</definedName>
    <definedName name="거ㄱ">#N/A</definedName>
    <definedName name="거님" hidden="1">{#N/A,#N/A,FALSE,"운반시간"}</definedName>
    <definedName name="거래" localSheetId="0">BlankMacro1</definedName>
    <definedName name="거래">BlankMacro1</definedName>
    <definedName name="거래가격">#REF!</definedName>
    <definedName name="거려녈" hidden="1">{#N/A,#N/A,FALSE,"단가표지"}</definedName>
    <definedName name="거로ㅕㄱㅎㄹ" hidden="1">{#N/A,#N/A,FALSE,"표지목차"}</definedName>
    <definedName name="거로ㅕㅎㄳㅎ" hidden="1">{#N/A,#N/A,FALSE,"골재소요량";#N/A,#N/A,FALSE,"골재소요량"}</definedName>
    <definedName name="거롷" hidden="1">{#N/A,#N/A,FALSE,"단가표지"}</definedName>
    <definedName name="거리는" hidden="1">{#N/A,#N/A,FALSE,"표지목차"}</definedName>
    <definedName name="거리차야" hidden="1">{#N/A,#N/A,FALSE,"운반시간"}</definedName>
    <definedName name="거멈">#REF!</definedName>
    <definedName name="거부" hidden="1">{#N/A,#N/A,FALSE,"현장 NCR 분석";#N/A,#N/A,FALSE,"현장품질감사";#N/A,#N/A,FALSE,"현장품질감사"}</definedName>
    <definedName name="거살미" hidden="1">{#N/A,#N/A,FALSE,"단가표지"}</definedName>
    <definedName name="거서리" hidden="1">{#N/A,#N/A,FALSE,"운반시간"}</definedName>
    <definedName name="거시기" hidden="1">{#N/A,#N/A,FALSE,"생산성";#N/A,#N/A,FALSE,"인력1";#N/A,#N/A,FALSE,"인력2";#N/A,#N/A,FALSE,"인력3";#N/A,#N/A,FALSE,"인건1";#N/A,#N/A,FALSE,"인건2";#N/A,#N/A,FALSE,"인건3";#N/A,#N/A,FALSE,"인원증감";#N/A,#N/A,FALSE,"인건증감";#N/A,#N/A,FALSE,"표지등"}</definedName>
    <definedName name="거실" hidden="1">{#N/A,#N/A,FALSE,"현장 NCR 분석";#N/A,#N/A,FALSE,"현장품질감사";#N/A,#N/A,FALSE,"현장품질감사"}</definedName>
    <definedName name="거실마루" hidden="1">{#N/A,#N/A,FALSE,"현장 NCR 분석";#N/A,#N/A,FALSE,"현장품질감사";#N/A,#N/A,FALSE,"현장품질감사"}</definedName>
    <definedName name="거오럭ㄷ" hidden="1">{#N/A,#N/A,FALSE,"혼합골재"}</definedName>
    <definedName name="거우리나" hidden="1">{#N/A,#N/A,FALSE,"표지목차"}</definedName>
    <definedName name="거제" hidden="1">{#N/A,#N/A,FALSE,"이태원철근"}</definedName>
    <definedName name="거제2" hidden="1">{#N/A,#N/A,FALSE,"이태원철근"}</definedName>
    <definedName name="거제시청">"Chart 63"</definedName>
    <definedName name="거제현장" hidden="1">{#N/A,#N/A,FALSE,"이태원철근"}</definedName>
    <definedName name="거친마감">#REF!</definedName>
    <definedName name="거푸집">#REF!</definedName>
    <definedName name="거푸집6">23.81</definedName>
    <definedName name="거푸집공">#REF!</definedName>
    <definedName name="거푸집스페이스설치">#REF!</definedName>
    <definedName name="거푸집스페이스설치노">#REF!</definedName>
    <definedName name="거호겨" hidden="1">{#N/A,#N/A,FALSE,"조골재"}</definedName>
    <definedName name="거호셕호호" hidden="1">{#N/A,#N/A,FALSE,"운반시간"}</definedName>
    <definedName name="거후ㅑㅌ" hidden="1">{#N/A,#N/A,FALSE,"단가표지"}</definedName>
    <definedName name="거ㅏ" hidden="1">#REF!</definedName>
    <definedName name="거ㅏ호룍" hidden="1">{#N/A,#N/A,FALSE,"단가표지"}</definedName>
    <definedName name="거ㅏㅓㅗㄹ햐ㅐㄹ" hidden="1">{#N/A,#N/A,FALSE,"운반시간"}</definedName>
    <definedName name="거ㅓㅜ" hidden="1">{#N/A,#N/A,FALSE,"단가표지"}</definedName>
    <definedName name="거ㅗㄹㅈ" hidden="1">{#N/A,#N/A,FALSE,"조골재"}</definedName>
    <definedName name="거ㅗㄹ홓" hidden="1">{#N/A,#N/A,FALSE,"혼합골재"}</definedName>
    <definedName name="거ㅗㅍㄱ" hidden="1">{#N/A,#N/A,FALSE,"골재소요량";#N/A,#N/A,FALSE,"골재소요량"}</definedName>
    <definedName name="거ㅗㅑㄷ" hidden="1">{#N/A,#N/A,FALSE,"단가표지"}</definedName>
    <definedName name="거ㅗㅛㅕㄷㄱ" hidden="1">{#N/A,#N/A,FALSE,"운반시간"}</definedName>
    <definedName name="거ㅜ해갸" hidden="1">{#N/A,#N/A,FALSE,"단가표지"}</definedName>
    <definedName name="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걱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#REF!</definedName>
    <definedName name="건1" hidden="1">{#N/A,#N/A,TRUE,"토적및재료집계";#N/A,#N/A,TRUE,"토적및재료집계";#N/A,#N/A,TRUE,"단위량"}</definedName>
    <definedName name="건2" hidden="1">{#N/A,#N/A,TRUE,"토적및재료집계";#N/A,#N/A,TRUE,"토적및재료집계";#N/A,#N/A,TRUE,"단위량"}</definedName>
    <definedName name="건3" hidden="1">{#N/A,#N/A,TRUE,"토적및재료집계";#N/A,#N/A,TRUE,"토적및재료집계";#N/A,#N/A,TRUE,"단위량"}</definedName>
    <definedName name="건4" hidden="1">{#N/A,#N/A,TRUE,"토적및재료집계";#N/A,#N/A,TRUE,"토적및재료집계";#N/A,#N/A,TRUE,"단위량"}</definedName>
    <definedName name="건5" hidden="1">{#N/A,#N/A,TRUE,"토적및재료집계";#N/A,#N/A,TRUE,"토적및재료집계";#N/A,#N/A,TRUE,"단위량"}</definedName>
    <definedName name="건7" hidden="1">{#N/A,#N/A,TRUE,"토적및재료집계";#N/A,#N/A,TRUE,"토적및재료집계";#N/A,#N/A,TRUE,"단위량"}</definedName>
    <definedName name="건강보">#REF!</definedName>
    <definedName name="건강보험">1.97%</definedName>
    <definedName name="건걱" hidden="1">{"'Sheet1'!$A$4:$M$21","'Sheet1'!$J$17:$K$19"}</definedName>
    <definedName name="건기" hidden="1">{#N/A,#N/A,FALSE,"사업총괄";#N/A,#N/A,FALSE,"장비사업";#N/A,#N/A,FALSE,"철구사업";#N/A,#N/A,FALSE,"준설사업"}</definedName>
    <definedName name="건기2" hidden="1">{#N/A,#N/A,FALSE,"사업총괄";#N/A,#N/A,FALSE,"장비사업";#N/A,#N/A,FALSE,"철구사업";#N/A,#N/A,FALSE,"준설사업"}</definedName>
    <definedName name="건목">53461</definedName>
    <definedName name="건물1">#REF!</definedName>
    <definedName name="건물별분석">#REF!</definedName>
    <definedName name="건물상각률">#REF!</definedName>
    <definedName name="건사" hidden="1">{#N/A,#N/A,FALSE,"운반시간"}</definedName>
    <definedName name="건삼">#REF!</definedName>
    <definedName name="건설">#REF!</definedName>
    <definedName name="건설규모">#REF!</definedName>
    <definedName name="건설규모1">#REF!</definedName>
    <definedName name="건설기계" hidden="1">{#N/A,#N/A,FALSE,"골재소요량";#N/A,#N/A,FALSE,"골재소요량"}</definedName>
    <definedName name="건설기계새로움" hidden="1">{#VALUE!,#N/A,FALSE,0;#N/A,#N/A,FALSE,0;#N/A,#N/A,FALSE,0;#N/A,#N/A,FALSE,0}</definedName>
    <definedName name="건설기계운전기사001">#REF!</definedName>
    <definedName name="건설기계운전기사002">#REF!</definedName>
    <definedName name="건설기계운전기사011">#REF!</definedName>
    <definedName name="건설기계운전기사982">#REF!</definedName>
    <definedName name="건설기계운전기사991">#REF!</definedName>
    <definedName name="건설기계운전기사992">#REF!</definedName>
    <definedName name="건설기계운전조수001">#REF!</definedName>
    <definedName name="건설기계운전조수002">#REF!</definedName>
    <definedName name="건설기계운전조수011">#REF!</definedName>
    <definedName name="건설기계운전조수982">#REF!</definedName>
    <definedName name="건설기계운전조수991">#REF!</definedName>
    <definedName name="건설기계운전조수992">#REF!</definedName>
    <definedName name="건설기계조장001">#REF!</definedName>
    <definedName name="건설기계조장002">#REF!</definedName>
    <definedName name="건설기계조장011">#REF!</definedName>
    <definedName name="건설기계조장982">#REF!</definedName>
    <definedName name="건설기계조장991">#REF!</definedName>
    <definedName name="건설기계조장992">#REF!</definedName>
    <definedName name="건설부동산" hidden="1">#REF!</definedName>
    <definedName name="건설터널" hidden="1">{#N/A,#N/A,FALSE,"전력간선"}</definedName>
    <definedName name="건적" hidden="1">{"'Sheet1'!$A$4:$M$21","'Sheet1'!$J$17:$K$19"}</definedName>
    <definedName name="건조기타">#REF!</definedName>
    <definedName name="건축" hidden="1">{#N/A,#N/A,TRUE,"토적및재료집계";#N/A,#N/A,TRUE,"토적및재료집계";#N/A,#N/A,TRUE,"단위량"}</definedName>
    <definedName name="건축1">#REF!</definedName>
    <definedName name="건축2" hidden="1">{#N/A,#N/A,TRUE,"토적및재료집계";#N/A,#N/A,TRUE,"토적및재료집계";#N/A,#N/A,TRUE,"단위량"}</definedName>
    <definedName name="건축3" hidden="1">{#N/A,#N/A,TRUE,"토적및재료집계";#N/A,#N/A,TRUE,"토적및재료집계";#N/A,#N/A,TRUE,"단위량"}</definedName>
    <definedName name="건축4" hidden="1">{#N/A,#N/A,TRUE,"토적및재료집계";#N/A,#N/A,TRUE,"토적및재료집계";#N/A,#N/A,TRUE,"단위량"}</definedName>
    <definedName name="건축5" hidden="1">{#N/A,#N/A,TRUE,"토적및재료집계";#N/A,#N/A,TRUE,"토적및재료집계";#N/A,#N/A,TRUE,"단위량"}</definedName>
    <definedName name="건축6" hidden="1">{#N/A,#N/A,TRUE,"토적및재료집계";#N/A,#N/A,TRUE,"토적및재료집계";#N/A,#N/A,TRUE,"단위량"}</definedName>
    <definedName name="건축가실" hidden="1">#REF!</definedName>
    <definedName name="건축간접비">#REF!</definedName>
    <definedName name="건축경비">#REF!,#REF!</definedName>
    <definedName name="건축공사" hidden="1">#REF!</definedName>
    <definedName name="건축공사집계표">#REF!</definedName>
    <definedName name="건축관급">#REF!</definedName>
    <definedName name="건축관리"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건축내역1" localSheetId="0">BlankMacro1</definedName>
    <definedName name="건축내역1">BlankMacro1</definedName>
    <definedName name="건축내역5" hidden="1">#REF!</definedName>
    <definedName name="건축노무">#REF!,#REF!</definedName>
    <definedName name="건축도급" localSheetId="0">BlankMacro1</definedName>
    <definedName name="건축도급">BlankMacro1</definedName>
    <definedName name="건축면적">#REF!</definedName>
    <definedName name="건축목공">#REF!</definedName>
    <definedName name="건축목공001">#REF!</definedName>
    <definedName name="건축목공002">#REF!</definedName>
    <definedName name="건축목공011">#REF!</definedName>
    <definedName name="건축목공982">#REF!</definedName>
    <definedName name="건축목공991">#REF!</definedName>
    <definedName name="건축목공992">#REF!</definedName>
    <definedName name="건축부평토공" hidden="1">{#N/A,#N/A,FALSE,"조골재"}</definedName>
    <definedName name="건축비목집계" hidden="1">{#N/A,#N/A,FALSE,"표지"}</definedName>
    <definedName name="건축비목집계_1" hidden="1">{#N/A,#N/A,FALSE,"표지"}</definedName>
    <definedName name="건축비용">#REF!</definedName>
    <definedName name="건축서비스">#N/A</definedName>
    <definedName name="건축수량집계" hidden="1">{#N/A,#N/A,FALSE,"월공사비집계표양식 (7)";#N/A,#N/A,FALSE,"월공사비집계표양식 (7)"}</definedName>
    <definedName name="건축원가" hidden="1">#REF!</definedName>
    <definedName name="건축재료">#REF!,#REF!</definedName>
    <definedName name="건축집계">#REF!</definedName>
    <definedName name="건축집계표">#REF!</definedName>
    <definedName name="건축채고">#REF!</definedName>
    <definedName name="건축토공" hidden="1">{#N/A,#N/A,FALSE,"기안지";#N/A,#N/A,FALSE,"통신지"}</definedName>
    <definedName name="건축토공_1" hidden="1">{#N/A,#N/A,FALSE,"기안지";#N/A,#N/A,FALSE,"통신지"}</definedName>
    <definedName name="건축팀별" hidden="1">{#N/A,#N/A,FALSE,"지침";#N/A,#N/A,FALSE,"환경분석";#N/A,#N/A,FALSE,"Sheet16"}</definedName>
    <definedName name="건축플랜트"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건축합계">#REF!,#REF!</definedName>
    <definedName name="걸혀교" hidden="1">{#N/A,#N/A,FALSE,"조골재"}</definedName>
    <definedName name="걸현" hidden="1">{#N/A,#N/A,FALSE,"단가표지"}</definedName>
    <definedName name="검___조___부">#N/A</definedName>
    <definedName name="검ㄴ" hidden="1">{#N/A,#N/A,FALSE,"이정표"}</definedName>
    <definedName name="검단" hidden="1">#REF!</definedName>
    <definedName name="검사내역" hidden="1">{"'Sheet1'!$A$1:$H$49"}</definedName>
    <definedName name="검사조서">{"Book1","많다.xls"}</definedName>
    <definedName name="검사조서2">{"Book1","많다.xls"}</definedName>
    <definedName name="검증"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검측서" hidden="1">{#N/A,#N/A,FALSE,"조골재"}</definedName>
    <definedName name="검토">{"Book1","작업일보.xls"}</definedName>
    <definedName name="검토보고">{"Book1","부대-(표지판,데리,가드).xls","부대-(낙,차,중분대).xls"}</definedName>
    <definedName name="검토서D" hidden="1">{#N/A,#N/A,FALSE,"현장 NCR 분석";#N/A,#N/A,FALSE,"현장품질감사";#N/A,#N/A,FALSE,"현장품질감사"}</definedName>
    <definedName name="검토의견" hidden="1">{#N/A,#N/A,FALSE,"기안지";#N/A,#N/A,FALSE,"통신지"}</definedName>
    <definedName name="겅기" hidden="1">{#N/A,#N/A,FALSE,"조골재"}</definedName>
    <definedName name="겅노엳" hidden="1">{#N/A,#N/A,FALSE,"운반시간"}</definedName>
    <definedName name="겅혉" hidden="1">{#N/A,#N/A,FALSE,"운반시간"}</definedName>
    <definedName name="겉">#REF!</definedName>
    <definedName name="겉표지" hidden="1">{#N/A,#N/A,TRUE,"Basic";#N/A,#N/A,TRUE,"EXT-TABLE";#N/A,#N/A,TRUE,"STEEL";#N/A,#N/A,TRUE,"INT-Table";#N/A,#N/A,TRUE,"STEEL";#N/A,#N/A,TRUE,"Door"}</definedName>
    <definedName name="겋" hidden="1">{#N/A,#N/A,FALSE,"운반시간"}</definedName>
    <definedName name="게이트">#REF!</definedName>
    <definedName name="겡오" hidden="1">{#N/A,#N/A,FALSE,"CCTV"}</definedName>
    <definedName name="겧0ㅐㄱㅎ" hidden="1">{#N/A,#N/A,FALSE,"골재소요량";#N/A,#N/A,FALSE,"골재소요량"}</definedName>
    <definedName name="겨">#REF!</definedName>
    <definedName name="겨격" hidden="1">#REF!</definedName>
    <definedName name="겨소" hidden="1">{#N/A,#N/A,FALSE,"단가표지"}</definedName>
    <definedName name="겨이낸"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견">#REF!,#REF!</definedName>
    <definedName name="견___출___공">#REF!</definedName>
    <definedName name="견__적__결__과___대__비__표">#REF!</definedName>
    <definedName name="견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대" hidden="1">#REF!</definedName>
    <definedName name="견본갑을" hidden="1">{#N/A,#N/A,FALSE,"Sheet1"}</definedName>
    <definedName name="견비" hidden="1">{#N/A,#N/A,FALSE,"포장1";#N/A,#N/A,FALSE,"포장1"}</definedName>
    <definedName name="견이적" localSheetId="0">Dlog_Show</definedName>
    <definedName name="견이적">Dlog_Show</definedName>
    <definedName name="견저조건" hidden="1">{#N/A,#N/A,FALSE,"CCTV"}</definedName>
    <definedName name="견적" hidden="1">{"'Sheet1'!$A$4:$M$21","'Sheet1'!$J$17:$K$19"}</definedName>
    <definedName name="견적.." hidden="1">#REF!</definedName>
    <definedName name="견적1" localSheetId="0">Dlog_Show</definedName>
    <definedName name="견적1">Dlog_Show</definedName>
    <definedName name="견적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_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0030123" hidden="1">#REF!</definedName>
    <definedName name="견적222" hidden="1">{#N/A,#N/A,FALSE,"기안지";#N/A,#N/A,FALSE,"통신지"}</definedName>
    <definedName name="견적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_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_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5" hidden="1">{#N/A,#N/A,FALSE,"CCTV"}</definedName>
    <definedName name="견적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갑">#REF!</definedName>
    <definedName name="견적갑지">#REF!</definedName>
    <definedName name="견적거1">#N/A</definedName>
    <definedName name="견적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관" hidden="1">{#N/A,#N/A,FALSE,"기안지";#N/A,#N/A,FALSE,"통신지"}</definedName>
    <definedName name="견적금액">#N/A</definedName>
    <definedName name="견적금액분석">#REF!</definedName>
    <definedName name="견적금액비교">#REF!</definedName>
    <definedName name="견적기준">#REF!</definedName>
    <definedName name="견적내역" hidden="1">{#N/A,#N/A,FALSE,"CCTV"}</definedName>
    <definedName name="견적내역_1" hidden="1">{#N/A,#N/A,FALSE,"CCTV"}</definedName>
    <definedName name="견적단가">#REF!</definedName>
    <definedName name="견적대">#REF!</definedName>
    <definedName name="견적대비" hidden="1">{#N/A,#N/A,FALSE,"포장2"}</definedName>
    <definedName name="견적대비_1" hidden="1">{"SJ - 기본 보기",#N/A,FALSE,"공사별 외주견적"}</definedName>
    <definedName name="견적대비_2" hidden="1">{#N/A,#N/A,FALSE,"포장2"}</definedName>
    <definedName name="견적대비2">#N/A</definedName>
    <definedName name="견적대비표" hidden="1">#REF!</definedName>
    <definedName name="견적비교" hidden="1">{#N/A,#N/A,FALSE,"포장1";#N/A,#N/A,FALSE,"포장1"}</definedName>
    <definedName name="견적비교표" hidden="1">{#N/A,#N/A,FALSE,"전력간선"}</definedName>
    <definedName name="견적비율">#REF!</definedName>
    <definedName name="견적사항요약">#REF!</definedName>
    <definedName name="견적서" hidden="1">{#N/A,#N/A,FALSE,"기안지";#N/A,#N/A,FALSE,"통신지"}</definedName>
    <definedName name="견적서_1" hidden="1">{#N/A,#N/A,FALSE,"CCTV"}</definedName>
    <definedName name="견적서1">#REF!</definedName>
    <definedName name="견적서2">#REF!</definedName>
    <definedName name="견적서3">#REF!</definedName>
    <definedName name="견적서4">#REF!</definedName>
    <definedName name="견적서5">#REF!</definedName>
    <definedName name="견적서6">#REF!</definedName>
    <definedName name="견적서7">{"Book1","TOTAL.xls"}</definedName>
    <definedName name="견적서갑" hidden="1">{#N/A,#N/A,FALSE,"현장 NCR 분석";#N/A,#N/A,FALSE,"현장품질감사";#N/A,#N/A,FALSE,"현장품질감사"}</definedName>
    <definedName name="견적서갑지" hidden="1">{#N/A,#N/A,FALSE,"현장 NCR 분석";#N/A,#N/A,FALSE,"현장품질감사";#N/A,#N/A,FALSE,"현장품질감사"}</definedName>
    <definedName name="견적시담비교표" hidden="1">{#N/A,#N/A,FALSE,"전력간선"}</definedName>
    <definedName name="견적시스템">#REF!</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용" hidden="1">{#N/A,#N/A,FALSE,"CCTV"}</definedName>
    <definedName name="견적율">#REF!</definedName>
    <definedName name="견적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의뢰" hidden="1">{#N/A,#N/A,FALSE,"기안지";#N/A,#N/A,FALSE,"통신지"}</definedName>
    <definedName name="견적의뢰1" hidden="1">{#N/A,#N/A,FALSE,"기안지";#N/A,#N/A,FALSE,"통신지"}</definedName>
    <definedName name="견적의뢰사항" hidden="1">{#N/A,#N/A,FALSE,"기안지";#N/A,#N/A,FALSE,"통신지"}</definedName>
    <definedName name="견적제출" hidden="1">{#N/A,#N/A,FALSE,"속도"}</definedName>
    <definedName name="견적제출보고서">#REF!</definedName>
    <definedName name="견적조건" hidden="1">{#N/A,#N/A,FALSE,"CCTV"}</definedName>
    <definedName name="견적조건_1" hidden="1">{#N/A,#N/A,FALSE,"CCTV"}</definedName>
    <definedName name="견적조건1">#REF!</definedName>
    <definedName name="견적조건2" hidden="1">{#N/A,#N/A,FALSE,"CCTV"}</definedName>
    <definedName name="견적조건3">{"Book1","도곡1실행.xls"}</definedName>
    <definedName name="견적조건5" hidden="1">{#N/A,#N/A,FALSE,"CCTV"}</definedName>
    <definedName name="견적조건8" hidden="1">{#N/A,#N/A,FALSE,"CCTV"}</definedName>
    <definedName name="견적조건8_1" hidden="1">{#N/A,#N/A,FALSE,"CCTV"}</definedName>
    <definedName name="견적조건보고서">#REF!</definedName>
    <definedName name="견적조건적용" hidden="1">{#N/A,#N/A,FALSE,"기안지";#N/A,#N/A,FALSE,"통신지"}</definedName>
    <definedName name="견적탱크">#REF!</definedName>
    <definedName name="견적표지1" hidden="1">{#N/A,#N/A,FALSE,"개략금액";#N/A,#N/A,FALSE,"공사개요 ";#N/A,#N/A,FALSE,"견적조건";#N/A,#N/A,FALSE,"산출근거";#N/A,#N/A,FALSE,"EL금액";#N/A,#N/A,FALSE,"무인경비"}</definedName>
    <definedName name="견적품의">#REF!</definedName>
    <definedName name="견적품의서" hidden="1">{"'장비'!$A$3:$M$12"}</definedName>
    <definedName name="견적해당" hidden="1">{#N/A,#N/A,FALSE,"CCTV"}</definedName>
    <definedName name="견적협력업체3">#REF!,#REF!,#REF!,#REF!,#REF!,#REF!,#REF!,#REF!,#REF!,#REF!,#REF!,#REF!,#REF!,#REF!,#REF!,#REF!,#REF!,#REF!,#REF!</definedName>
    <definedName name="견적LIST" localSheetId="0">Dlog_Show</definedName>
    <definedName name="견적LIST">Dlog_Show</definedName>
    <definedName name="견적SHEET" hidden="1">{#N/A,#N/A,FALSE,"CCTV"}</definedName>
    <definedName name="견적SHEET_1" hidden="1">{#N/A,#N/A,FALSE,"CCTV"}</definedName>
    <definedName name="견젹">#REF!</definedName>
    <definedName name="견족" hidden="1">{#N/A,#N/A,FALSE,"CCTV"}</definedName>
    <definedName name="견출공001">#REF!</definedName>
    <definedName name="견출공002">#REF!</definedName>
    <definedName name="견출공011">#REF!</definedName>
    <definedName name="견출공982">#REF!</definedName>
    <definedName name="견출공991">#REF!</definedName>
    <definedName name="견출공992">#REF!</definedName>
    <definedName name="결" hidden="1">{#N/A,#N/A,FALSE,"포장2"}</definedName>
    <definedName name="결_과">#REF!</definedName>
    <definedName name="결과" hidden="1">{#N/A,#N/A,FALSE,"포장2"}</definedName>
    <definedName name="결과비교" hidden="1">{#N/A,#N/A,FALSE,"현장 NCR 분석";#N/A,#N/A,FALSE,"현장품질감사";#N/A,#N/A,FALSE,"현장품질감사"}</definedName>
    <definedName name="결로수1">#REF!</definedName>
    <definedName name="결로수2">#REF!</definedName>
    <definedName name="결속선">#REF!</definedName>
    <definedName name="결의" hidden="1">{#N/A,#N/A,FALSE,"결의서";#N/A,#N/A,FALSE,"내역서";#N/A,#N/A,FALSE,"도급예상";#N/A,#N/A,FALSE,"시방서"}</definedName>
    <definedName name="결재">#REF!</definedName>
    <definedName name="결제">#N/A</definedName>
    <definedName name="결제금액">#N/A</definedName>
    <definedName name="결표지" hidden="1">{#N/A,#N/A,FALSE,"표지"}</definedName>
    <definedName name="겹동백1002">#REF!</definedName>
    <definedName name="겹동백1204">#REF!</definedName>
    <definedName name="겹동백1506">#REF!</definedName>
    <definedName name="겹벗R6">#REF!</definedName>
    <definedName name="겹벗R8">#REF!</definedName>
    <definedName name="겹철쭉">#REF!</definedName>
    <definedName name="겹철쭉0304">#REF!</definedName>
    <definedName name="겹철쭉0506">#REF!</definedName>
    <definedName name="겹철쭉0608">#REF!</definedName>
    <definedName name="겹철쭉0810">#REF!</definedName>
    <definedName name="겹철쭉0812">#REF!</definedName>
    <definedName name="겹철쭉6노무">#REF!</definedName>
    <definedName name="겹철쭉6재료">#REF!</definedName>
    <definedName name="겹철쭉8노무">#REF!</definedName>
    <definedName name="겹철쭉8재료">#REF!</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_____________비">#REF!</definedName>
    <definedName name="경계블럭연장" hidden="1">#REF!</definedName>
    <definedName name="경계블럭운반비경비">#REF!</definedName>
    <definedName name="경계블럭운반비노무비">#REF!</definedName>
    <definedName name="경계블럭운반비재료비">#REF!</definedName>
    <definedName name="경계블럭운반운반비계">#REF!</definedName>
    <definedName name="경계블럭운반하차료경비">#REF!</definedName>
    <definedName name="경계블럭운반하차료계">#REF!</definedName>
    <definedName name="경계블럭운반하차료노무비">#REF!</definedName>
    <definedName name="경계블럭운반a경비">#REF!</definedName>
    <definedName name="경계블럭운반a계">#REF!</definedName>
    <definedName name="경계블럭운반a노무비">#REF!</definedName>
    <definedName name="경계블럭운반a재료비">#REF!</definedName>
    <definedName name="경계블럭운반b경비">#REF!</definedName>
    <definedName name="경계블럭운반b계">#REF!</definedName>
    <definedName name="경계블럭운반b노무비">#REF!</definedName>
    <definedName name="경계블럭운반b재료비">#REF!</definedName>
    <definedName name="경계블럭운반c경비">#REF!</definedName>
    <definedName name="경계블럭운반c계">#REF!</definedName>
    <definedName name="경계블럭운반c노무비">#REF!</definedName>
    <definedName name="경계블럭운반c재료비">#REF!</definedName>
    <definedName name="경계블럭하차료재료비">#REF!</definedName>
    <definedName name="경계석" hidden="1">#REF!</definedName>
    <definedName name="경계석노무">#REF!</definedName>
    <definedName name="경계석보수" hidden="1">{#N/A,#N/A,FALSE,"현장 NCR 분석";#N/A,#N/A,FALSE,"현장품질감사";#N/A,#N/A,FALSE,"현장품질감사"}</definedName>
    <definedName name="경계석재료">#REF!</definedName>
    <definedName name="경과년수">#REF!</definedName>
    <definedName name="경금액">#REF!</definedName>
    <definedName name="경금액1">#REF!</definedName>
    <definedName name="경기노임">#REF!</definedName>
    <definedName name="경남" hidden="1">{#N/A,#N/A,FALSE,"갑지";#N/A,#N/A,FALSE,"개요";#N/A,#N/A,FALSE,"비목별";#N/A,#N/A,FALSE,"건물별";#N/A,#N/A,FALSE,"기구표";#N/A,#N/A,FALSE,"직원투입"}</definedName>
    <definedName name="경남14" hidden="1">{#N/A,#N/A,FALSE,"생산성";#N/A,#N/A,FALSE,"인력1";#N/A,#N/A,FALSE,"인력2";#N/A,#N/A,FALSE,"인력3";#N/A,#N/A,FALSE,"인건1";#N/A,#N/A,FALSE,"인건2";#N/A,#N/A,FALSE,"인건3";#N/A,#N/A,FALSE,"인원증감";#N/A,#N/A,FALSE,"인건증감";#N/A,#N/A,FALSE,"표지등"}</definedName>
    <definedName name="경남20" hidden="1">{#N/A,#N/A,FALSE,"생산성";#N/A,#N/A,FALSE,"인력1";#N/A,#N/A,FALSE,"인력2";#N/A,#N/A,FALSE,"인력3";#N/A,#N/A,FALSE,"인건1";#N/A,#N/A,FALSE,"인건2";#N/A,#N/A,FALSE,"인건3";#N/A,#N/A,FALSE,"인원증감";#N/A,#N/A,FALSE,"인건증감";#N/A,#N/A,FALSE,"표지등"}</definedName>
    <definedName name="경남21" hidden="1">{#N/A,#N/A,FALSE,"생산성";#N/A,#N/A,FALSE,"인력1";#N/A,#N/A,FALSE,"인력2";#N/A,#N/A,FALSE,"인력3";#N/A,#N/A,FALSE,"인건1";#N/A,#N/A,FALSE,"인건2";#N/A,#N/A,FALSE,"인건3";#N/A,#N/A,FALSE,"인원증감";#N/A,#N/A,FALSE,"인건증감";#N/A,#N/A,FALSE,"표지등"}</definedName>
    <definedName name="경남24" hidden="1">{#N/A,#N/A,FALSE,"생산성";#N/A,#N/A,FALSE,"인력1";#N/A,#N/A,FALSE,"인력2";#N/A,#N/A,FALSE,"인력3";#N/A,#N/A,FALSE,"인건1";#N/A,#N/A,FALSE,"인건2";#N/A,#N/A,FALSE,"인건3";#N/A,#N/A,FALSE,"인원증감";#N/A,#N/A,FALSE,"인건증감";#N/A,#N/A,FALSE,"표지등"}</definedName>
    <definedName name="경남25" hidden="1">{#N/A,#N/A,FALSE,"생산성";#N/A,#N/A,FALSE,"인력1";#N/A,#N/A,FALSE,"인력2";#N/A,#N/A,FALSE,"인력3";#N/A,#N/A,FALSE,"인건1";#N/A,#N/A,FALSE,"인건2";#N/A,#N/A,FALSE,"인건3";#N/A,#N/A,FALSE,"인원증감";#N/A,#N/A,FALSE,"인건증감";#N/A,#N/A,FALSE,"표지등"}</definedName>
    <definedName name="경남28" hidden="1">{#N/A,#N/A,FALSE,"생산성";#N/A,#N/A,FALSE,"인력1";#N/A,#N/A,FALSE,"인력2";#N/A,#N/A,FALSE,"인력3";#N/A,#N/A,FALSE,"인건1";#N/A,#N/A,FALSE,"인건2";#N/A,#N/A,FALSE,"인건3";#N/A,#N/A,FALSE,"인원증감";#N/A,#N/A,FALSE,"인건증감";#N/A,#N/A,FALSE,"표지등"}</definedName>
    <definedName name="경남3" hidden="1">{#N/A,#N/A,FALSE,"생산성";#N/A,#N/A,FALSE,"인력1";#N/A,#N/A,FALSE,"인력2";#N/A,#N/A,FALSE,"인력3";#N/A,#N/A,FALSE,"인건1";#N/A,#N/A,FALSE,"인건2";#N/A,#N/A,FALSE,"인건3";#N/A,#N/A,FALSE,"인원증감";#N/A,#N/A,FALSE,"인건증감";#N/A,#N/A,FALSE,"표지등"}</definedName>
    <definedName name="경남34" hidden="1">{#N/A,#N/A,FALSE,"생산성";#N/A,#N/A,FALSE,"인력1";#N/A,#N/A,FALSE,"인력2";#N/A,#N/A,FALSE,"인력3";#N/A,#N/A,FALSE,"인건1";#N/A,#N/A,FALSE,"인건2";#N/A,#N/A,FALSE,"인건3";#N/A,#N/A,FALSE,"인원증감";#N/A,#N/A,FALSE,"인건증감";#N/A,#N/A,FALSE,"표지등"}</definedName>
    <definedName name="경남35" hidden="1">{#N/A,#N/A,FALSE,"생산성";#N/A,#N/A,FALSE,"인력1";#N/A,#N/A,FALSE,"인력2";#N/A,#N/A,FALSE,"인력3";#N/A,#N/A,FALSE,"인건1";#N/A,#N/A,FALSE,"인건2";#N/A,#N/A,FALSE,"인건3";#N/A,#N/A,FALSE,"인원증감";#N/A,#N/A,FALSE,"인건증감";#N/A,#N/A,FALSE,"표지등"}</definedName>
    <definedName name="경남38" hidden="1">{#N/A,#N/A,FALSE,"생산성";#N/A,#N/A,FALSE,"인력1";#N/A,#N/A,FALSE,"인력2";#N/A,#N/A,FALSE,"인력3";#N/A,#N/A,FALSE,"인건1";#N/A,#N/A,FALSE,"인건2";#N/A,#N/A,FALSE,"인건3";#N/A,#N/A,FALSE,"인원증감";#N/A,#N/A,FALSE,"인건증감";#N/A,#N/A,FALSE,"표지등"}</definedName>
    <definedName name="경남4" hidden="1">{#N/A,#N/A,FALSE,"생산성";#N/A,#N/A,FALSE,"인력1";#N/A,#N/A,FALSE,"인력2";#N/A,#N/A,FALSE,"인력3";#N/A,#N/A,FALSE,"인건1";#N/A,#N/A,FALSE,"인건2";#N/A,#N/A,FALSE,"인건3";#N/A,#N/A,FALSE,"인원증감";#N/A,#N/A,FALSE,"인건증감";#N/A,#N/A,FALSE,"표지등"}</definedName>
    <definedName name="경남43" hidden="1">{#N/A,#N/A,FALSE,"생산성";#N/A,#N/A,FALSE,"인력1";#N/A,#N/A,FALSE,"인력2";#N/A,#N/A,FALSE,"인력3";#N/A,#N/A,FALSE,"인건1";#N/A,#N/A,FALSE,"인건2";#N/A,#N/A,FALSE,"인건3";#N/A,#N/A,FALSE,"인원증감";#N/A,#N/A,FALSE,"인건증감";#N/A,#N/A,FALSE,"표지등"}</definedName>
    <definedName name="경남44" hidden="1">{#N/A,#N/A,FALSE,"생산성";#N/A,#N/A,FALSE,"인력1";#N/A,#N/A,FALSE,"인력2";#N/A,#N/A,FALSE,"인력3";#N/A,#N/A,FALSE,"인건1";#N/A,#N/A,FALSE,"인건2";#N/A,#N/A,FALSE,"인건3";#N/A,#N/A,FALSE,"인원증감";#N/A,#N/A,FALSE,"인건증감";#N/A,#N/A,FALSE,"표지등"}</definedName>
    <definedName name="경남54" hidden="1">{#N/A,#N/A,FALSE,"생산성";#N/A,#N/A,FALSE,"인력1";#N/A,#N/A,FALSE,"인력2";#N/A,#N/A,FALSE,"인력3";#N/A,#N/A,FALSE,"인건1";#N/A,#N/A,FALSE,"인건2";#N/A,#N/A,FALSE,"인건3";#N/A,#N/A,FALSE,"인원증감";#N/A,#N/A,FALSE,"인건증감";#N/A,#N/A,FALSE,"표지등"}</definedName>
    <definedName name="경남공종">#REF!</definedName>
    <definedName name="경남공종1">#REF!</definedName>
    <definedName name="경단">#REF!</definedName>
    <definedName name="경동">#REF!</definedName>
    <definedName name="경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량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량2">#REF!</definedName>
    <definedName name="경량천정틀">#N/A</definedName>
    <definedName name="경량천정틀_M_BAR">#REF!</definedName>
    <definedName name="경량천정틀노">#REF!</definedName>
    <definedName name="경북">#REF!</definedName>
    <definedName name="경비">#REF!</definedName>
    <definedName name="경비1">#REF!</definedName>
    <definedName name="경비11" hidden="1">#REF!</definedName>
    <definedName name="경비2">#REF!</definedName>
    <definedName name="경비경비">#REF!</definedName>
    <definedName name="경비기준">#REF!</definedName>
    <definedName name="경비선택">#N/A</definedName>
    <definedName name="경비용역비">#REF!</definedName>
    <definedName name="경비율">#REF!</definedName>
    <definedName name="경비율경비율">#REF!</definedName>
    <definedName name="경비정산" localSheetId="0">BlankMacro1</definedName>
    <definedName name="경비정산">BlankMacro1</definedName>
    <definedName name="경비정산서" localSheetId="0">BlankMacro1</definedName>
    <definedName name="경비정산서">BlankMacro1</definedName>
    <definedName name="경비집계">{"'용역비'!$A$4:$C$8"}</definedName>
    <definedName name="경비참고DATA">#REF!</definedName>
    <definedName name="경비합">#REF!</definedName>
    <definedName name="경사">#REF!</definedName>
    <definedName name="경사기">#REF!</definedName>
    <definedName name="경상비">#REF!</definedName>
    <definedName name="경상비1">#REF!</definedName>
    <definedName name="경상비2" hidden="1">{#N/A,#N/A,FALSE,"기안지";#N/A,#N/A,FALSE,"통신지"}</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순" localSheetId="0">BlankMacro1</definedName>
    <definedName name="경순">BlankMacro1</definedName>
    <definedName name="경암">#REF!</definedName>
    <definedName name="경영여건" hidden="1">{#N/A,#N/A,FALSE,"지침";#N/A,#N/A,FALSE,"환경분석";#N/A,#N/A,FALSE,"Sheet16"}</definedName>
    <definedName name="경용">#REF!</definedName>
    <definedName name="경유">#REF!</definedName>
    <definedName name="경유가격">#N/A</definedName>
    <definedName name="경일민">#REF!</definedName>
    <definedName name="경쟁사동향"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경조출장" hidden="1">{#N/A,#N/A,FALSE,"CCTV"}</definedName>
    <definedName name="경진건설" hidden="1">{#N/A,#N/A,FALSE,"이정표"}</definedName>
    <definedName name="경한" hidden="1">{#N/A,#N/A,FALSE,"표지목차"}</definedName>
    <definedName name="경한1" hidden="1">{#N/A,#N/A,FALSE,"포장2"}</definedName>
    <definedName name="경한3" hidden="1">{#N/A,#N/A,FALSE,"운반시간"}</definedName>
    <definedName name="경한4" hidden="1">{#N/A,#N/A,FALSE,"혼합골재"}</definedName>
    <definedName name="경한5" hidden="1">{#N/A,#N/A,FALSE,"2~8번"}</definedName>
    <definedName name="경한6" hidden="1">{#N/A,#N/A,FALSE,"골재소요량";#N/A,#N/A,FALSE,"골재소요량"}</definedName>
    <definedName name="경한7" hidden="1">{#N/A,#N/A,FALSE,"구조2"}</definedName>
    <definedName name="경한8" hidden="1">{#N/A,#N/A,FALSE,"단가표지"}</definedName>
    <definedName name="경한9" hidden="1">{#N/A,#N/A,FALSE,"배수1"}</definedName>
    <definedName name="계">#REF!</definedName>
    <definedName name="계___령___공">#N/A</definedName>
    <definedName name="계___장___공">#REF!</definedName>
    <definedName name="계_①___⑦">#REF!</definedName>
    <definedName name="계1">#REF!</definedName>
    <definedName name="계2">#REF!</definedName>
    <definedName name="계단난간">#REF!</definedName>
    <definedName name="계단난간노">#REF!</definedName>
    <definedName name="계단마구리미장">#REF!</definedName>
    <definedName name="계단마구리미장노">#REF!</definedName>
    <definedName name="계단목재" hidden="1">{#N/A,#N/A,FALSE,"배수1"}</definedName>
    <definedName name="계단블" hidden="1">{#N/A,#N/A,FALSE,"운반시간"}</definedName>
    <definedName name="계단집계표" hidden="1">#REF!</definedName>
    <definedName name="계산1">#REF!</definedName>
    <definedName name="계산조건">#REF!,#REF!</definedName>
    <definedName name="계산조건1">#REF!</definedName>
    <definedName name="계수" hidden="1">{#N/A,#N/A,FALSE,"지침";#N/A,#N/A,FALSE,"환경분석";#N/A,#N/A,FALSE,"Sheet16"}</definedName>
    <definedName name="계수1">#REF!</definedName>
    <definedName name="계수나무6노무">#REF!</definedName>
    <definedName name="계수나무6재료">#REF!</definedName>
    <definedName name="계수실적">#REF!</definedName>
    <definedName name="계수자료" hidden="1">{#N/A,#N/A,FALSE,"지침";#N/A,#N/A,FALSE,"환경분석";#N/A,#N/A,FALSE,"Sheet16"}</definedName>
    <definedName name="계수B5">#REF!</definedName>
    <definedName name="계수B6">#REF!</definedName>
    <definedName name="계수B8">#REF!</definedName>
    <definedName name="계약">#REF!</definedName>
    <definedName name="계약_번호">#REF!</definedName>
    <definedName name="계약공기">#REF!</definedName>
    <definedName name="계약금">#REF!</definedName>
    <definedName name="계약금액">#REF!</definedName>
    <definedName name="계약내역" hidden="1">{#N/A,#N/A,FALSE,"부대2"}</definedName>
    <definedName name="계약서" hidden="1">{#N/A,#N/A,FALSE,"운반시간"}</definedName>
    <definedName name="계약의뢰" hidden="1">#REF!</definedName>
    <definedName name="계약일">#REF!</definedName>
    <definedName name="계약일반조건">#REF!</definedName>
    <definedName name="계약일반조검">#REF!</definedName>
    <definedName name="계약전력1">#N/A</definedName>
    <definedName name="계약전력11">#N/A</definedName>
    <definedName name="계약전력12">#N/A</definedName>
    <definedName name="계약전력2">#N/A</definedName>
    <definedName name="계약전력21">#N/A</definedName>
    <definedName name="계약전력22">#N/A</definedName>
    <definedName name="계약전력3">#N/A</definedName>
    <definedName name="계약전력31">#N/A</definedName>
    <definedName name="계약전력32">#N/A</definedName>
    <definedName name="계약전력33">#N/A</definedName>
    <definedName name="계약전력4">#N/A</definedName>
    <definedName name="계약전력41">#N/A</definedName>
    <definedName name="계약전력42">#N/A</definedName>
    <definedName name="계약전력43">#N/A</definedName>
    <definedName name="계약직">#REF!</definedName>
    <definedName name="계장">#REF!</definedName>
    <definedName name="계장2004">#REF!</definedName>
    <definedName name="계장공">#REF!</definedName>
    <definedName name="계장공001">#REF!</definedName>
    <definedName name="계장공002">#REF!</definedName>
    <definedName name="계장공011">#REF!</definedName>
    <definedName name="계장공982">#REF!</definedName>
    <definedName name="계장공991">#REF!</definedName>
    <definedName name="계장공992">#REF!</definedName>
    <definedName name="계장공사">#REF!</definedName>
    <definedName name="계전2" hidden="1">#REF!</definedName>
    <definedName name="계측">#REF!</definedName>
    <definedName name="계측공">#REF!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분석">#REF!</definedName>
    <definedName name="계측수행">#REF!</definedName>
    <definedName name="계획">#REF!</definedName>
    <definedName name="계획도로">#REF!,#REF!</definedName>
    <definedName name="계획표">#REF!</definedName>
    <definedName name="고">#REF!</definedName>
    <definedName name="고_1" hidden="1">{#N/A,#N/A,FALSE,"조골재"}</definedName>
    <definedName name="고_2" hidden="1">{#N/A,#N/A,FALSE,"조골재"}</definedName>
    <definedName name="고_3" hidden="1">{#N/A,#N/A,FALSE,"조골재"}</definedName>
    <definedName name="고_급__선_원">#REF!</definedName>
    <definedName name="고강10">561000</definedName>
    <definedName name="고강13">558000</definedName>
    <definedName name="고강16">555000</definedName>
    <definedName name="고강직경D13">#REF!</definedName>
    <definedName name="고강직경D16_25">#REF!</definedName>
    <definedName name="고강직경D29_35">#REF!</definedName>
    <definedName name="고객2월">#REF!</definedName>
    <definedName name="고객누계">#REF!</definedName>
    <definedName name="고객서비스" hidden="1">#REF!</definedName>
    <definedName name="고객영업추진현황">#REF!</definedName>
    <definedName name="고경준" hidden="1">{#N/A,#N/A,FALSE,"골재소요량";#N/A,#N/A,FALSE,"골재소요량"}</definedName>
    <definedName name="고고" hidden="1">#REF!</definedName>
    <definedName name="고고.." hidden="1">{#N/A,#N/A,FALSE,"골재소요량";#N/A,#N/A,FALSE,"골재소요량"}</definedName>
    <definedName name="고고고고" hidden="1">{#N/A,#N/A,FALSE,"구조2"}</definedName>
    <definedName name="고광3">#REF!</definedName>
    <definedName name="고광5">#REF!</definedName>
    <definedName name="고급">#REF!</definedName>
    <definedName name="고급기능사">#REF!</definedName>
    <definedName name="고급기술자">#REF!</definedName>
    <definedName name="고급기술자노무비">#N/A</definedName>
    <definedName name="고급선원001">#REF!</definedName>
    <definedName name="고급선원002">#REF!</definedName>
    <definedName name="고급선원011">#REF!</definedName>
    <definedName name="고급선원982">#REF!</definedName>
    <definedName name="고급선원991">#REF!</definedName>
    <definedName name="고급선원992">#REF!</definedName>
    <definedName name="고급원자력비파괴시험">#REF!</definedName>
    <definedName name="고급원자력비파괴시험공001">#REF!</definedName>
    <definedName name="고급원자력비파괴시험공002">#REF!</definedName>
    <definedName name="고급원자력비파괴시험공011">#REF!</definedName>
    <definedName name="고급원자력비파괴시험공982">#REF!</definedName>
    <definedName name="고급원자력비파괴시험공991">#REF!</definedName>
    <definedName name="고급원자력비파괴시험공992">#REF!</definedName>
    <definedName name="고도리">#REF!</definedName>
    <definedName name="고러거" hidden="1">{#N/A,#N/A,FALSE,"운반시간"}</definedName>
    <definedName name="고려산업개발">#REF!</definedName>
    <definedName name="고려화학견적">{"Book1","수시.XLS"}</definedName>
    <definedName name="고려ㅗ료ㅕㄷ" hidden="1">{#N/A,#N/A,FALSE,"단가표지"}</definedName>
    <definedName name="고로" hidden="1">{#N/A,#N/A,FALSE,"운반시간"}</definedName>
    <definedName name="고마해라" localSheetId="0">Dlog_Show</definedName>
    <definedName name="고마해라">Dlog_Show</definedName>
    <definedName name="고문" hidden="1">{#N/A,#N/A,FALSE,"현장 NCR 분석";#N/A,#N/A,FALSE,"현장품질감사";#N/A,#N/A,FALSE,"현장품질감사"}</definedName>
    <definedName name="고배">#REF!</definedName>
    <definedName name="고배단가2">#REF!</definedName>
    <definedName name="고부식기타">#REF!</definedName>
    <definedName name="고삼1가도교">#REF!</definedName>
    <definedName name="고삼2가도">#REF!</definedName>
    <definedName name="고삼교">#REF!</definedName>
    <definedName name="고생월별">#REF!</definedName>
    <definedName name="고설" hidden="1">{#N/A,#N/A,FALSE,"신청통보";#N/A,#N/A,FALSE,"기성확인서";#N/A,#N/A,FALSE,"기성내역서"}</definedName>
    <definedName name="고쇼ㅓ" hidden="1">{#N/A,#N/A,FALSE,"골재소요량";#N/A,#N/A,FALSE,"골재소요량"}</definedName>
    <definedName name="고순이">#REF!</definedName>
    <definedName name="고아">#REF!</definedName>
    <definedName name="고압블럭노무">#REF!</definedName>
    <definedName name="고압블럭수량">#REF!</definedName>
    <definedName name="고압블럭재료">#REF!</definedName>
    <definedName name="고압케이블전공">#REF!</definedName>
    <definedName name="고압케이블전공001">#REF!</definedName>
    <definedName name="고압케이블전공002">#REF!</definedName>
    <definedName name="고압케이블전공011">#REF!</definedName>
    <definedName name="고압케이블전공982">#REF!</definedName>
    <definedName name="고압케이블전공991">#REF!</definedName>
    <definedName name="고압케이블전공992">#REF!</definedName>
    <definedName name="고양">#REF!</definedName>
    <definedName name="고양시성라공원" localSheetId="0">Dlog_Show</definedName>
    <definedName name="고양시성라공원">Dlog_Show</definedName>
    <definedName name="고어로" hidden="1">{#N/A,#N/A,FALSE,"표지목차"}</definedName>
    <definedName name="고여원" hidden="1">{#N/A,#N/A,FALSE,"이태원철근"}</definedName>
    <definedName name="고용">#REF!</definedName>
    <definedName name="고용1">#REF!</definedName>
    <definedName name="고용보험">#REF!</definedName>
    <definedName name="고용보험료">#REF!</definedName>
    <definedName name="고용보험료_산식">#N/A</definedName>
    <definedName name="고유선" hidden="1">{#N/A,#N/A,FALSE,"이태원철근"}</definedName>
    <definedName name="고인돌">#REF!</definedName>
    <definedName name="고재">#REF!</definedName>
    <definedName name="고재처리량" hidden="1">{#N/A,#N/A,FALSE,"배수1"}</definedName>
    <definedName name="고저ㅓ저젖" hidden="1">{#N/A,#N/A,FALSE,"현장 NCR 분석";#N/A,#N/A,FALSE,"현장품질감사";#N/A,#N/A,FALSE,"현장품질감사"}</definedName>
    <definedName name="고정차고부속동신설수량">#REF!</definedName>
    <definedName name="고진감래">#REF!</definedName>
    <definedName name="고진감래2">#REF!</definedName>
    <definedName name="고철근">#REF!</definedName>
    <definedName name="고철근노">#REF!</definedName>
    <definedName name="고쳐">#N/A</definedName>
    <definedName name="고층부급수계통">#REF!</definedName>
    <definedName name="고케">#REF!</definedName>
    <definedName name="고케2004">#REF!</definedName>
    <definedName name="고헌일" hidden="1">{#N/A,#N/A,FALSE,"단가표지"}</definedName>
    <definedName name="고횱" hidden="1">{#N/A,#N/A,FALSE,"표지목차"}</definedName>
    <definedName name="고횾ㄷㄷ" hidden="1">{#N/A,#N/A,FALSE,"단가표지"}</definedName>
    <definedName name="고ㅗㅓ">#REF!</definedName>
    <definedName name="고ㅗㅛㄱ" hidden="1">{#N/A,#N/A,FALSE,"운반시간"}</definedName>
    <definedName name="곡각부단위수량">#N/A</definedName>
    <definedName name="곡관135.J">#REF!</definedName>
    <definedName name="곡관90.J">#REF!</definedName>
    <definedName name="곡ㄷ">#REF!</definedName>
    <definedName name="곡동" hidden="1">{"'Firr(선)'!$AS$1:$AY$62","'Firr(사)'!$AS$1:$AY$62","'Firr(회)'!$AS$1:$AY$62","'Firr(선)'!$L$1:$V$62","'Firr(사)'!$L$1:$V$62","'Firr(회)'!$L$1:$V$62"}</definedName>
    <definedName name="곡동1">{"'Firr(선)'!$AS$1:$AY$62","'Firr(사)'!$AS$1:$AY$62","'Firr(회)'!$AS$1:$AY$62","'Firr(선)'!$L$1:$V$62","'Firr(사)'!$L$1:$V$62","'Firr(회)'!$L$1:$V$62"}</definedName>
    <definedName name="곡사명">#REF!</definedName>
    <definedName name="곤도라">#N/A</definedName>
    <definedName name="곤ㅇ" hidden="1">{#N/A,#N/A,FALSE,"전력간선"}</definedName>
    <definedName name="곤ㅌ" hidden="1">{#N/A,#N/A,FALSE,"변경관리예산";#N/A,#N/A,FALSE,"변경장비예산";#N/A,#N/A,FALSE,"변경준설예산";#N/A,#N/A,FALSE,"변경철구예산"}</definedName>
    <definedName name="곧ㄱ" hidden="1">{#N/A,#N/A,FALSE,"Sheet6"}</definedName>
    <definedName name="곧ㄱㅗ">#REF!</definedName>
    <definedName name="골" hidden="1">{#N/A,#N/A,FALSE,"견적조건";#N/A,#N/A,FALSE,"산출근거"}</definedName>
    <definedName name="골간접">#REF!</definedName>
    <definedName name="골건설">#REF!</definedName>
    <definedName name="골경비">#REF!</definedName>
    <definedName name="골관리">#REF!</definedName>
    <definedName name="골보험">#REF!</definedName>
    <definedName name="골부가">#REF!</definedName>
    <definedName name="골안전">#REF!</definedName>
    <definedName name="골이윤">#REF!</definedName>
    <definedName name="골자이집계">#REF!</definedName>
    <definedName name="골재" hidden="1">#REF!</definedName>
    <definedName name="골재1">#REF!</definedName>
    <definedName name="골재량" hidden="1">{#N/A,#N/A,FALSE,"현장 NCR 분석";#N/A,#N/A,FALSE,"현장품질감사";#N/A,#N/A,FALSE,"현장품질감사"}</definedName>
    <definedName name="골재사용료">#N/A</definedName>
    <definedName name="골재유용" hidden="1">#REF!</definedName>
    <definedName name="골조" hidden="1">{#N/A,#N/A,FALSE,"견적조건";#N/A,#N/A,FALSE,"산출근거"}</definedName>
    <definedName name="골조2">#REF!</definedName>
    <definedName name="골조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골조공사2" hidden="1">#N/A</definedName>
    <definedName name="골조공사견적비교2" hidden="1">#N/A</definedName>
    <definedName name="골조단가" hidden="1">#REF!</definedName>
    <definedName name="골조단면결손" hidden="1">{#N/A,#N/A,FALSE,"물량산출"}</definedName>
    <definedName name="골조변경" hidden="1">{#N/A,#N/A,FALSE,"Sheet1"}</definedName>
    <definedName name="골조상진">#N/A</definedName>
    <definedName name="골조우장">#N/A</definedName>
    <definedName name="골조주요단가업" hidden="1">#N/A</definedName>
    <definedName name="골조집계" hidden="1">{#N/A,#N/A,FALSE,"이태원철근"}</definedName>
    <definedName name="곰" hidden="1">{#N/A,#N/A,FALSE,"구조1"}</definedName>
    <definedName name="곰솔2508">#REF!</definedName>
    <definedName name="곰솔3010">#REF!</definedName>
    <definedName name="곰솔H3.0xW1.0">#REF!</definedName>
    <definedName name="곰솔H3.0xW1.2xR10">#REF!</definedName>
    <definedName name="곰솔H3.5xW1.5xR12">#REF!</definedName>
    <definedName name="곰솔R10">#REF!</definedName>
    <definedName name="곰솔R12">#REF!</definedName>
    <definedName name="곰솔R15">#REF!</definedName>
    <definedName name="곱">#REF!</definedName>
    <definedName name="공">#REF!</definedName>
    <definedName name="공______사______명">#N/A</definedName>
    <definedName name="공_____종">#REF!</definedName>
    <definedName name="공____종">#REF!</definedName>
    <definedName name="공___사____원____가">#N/A</definedName>
    <definedName name="공___종">#REF!</definedName>
    <definedName name="공_사_개_요">#REF!</definedName>
    <definedName name="工_事_槪_要">#REF!</definedName>
    <definedName name="공_종_명">#N/A</definedName>
    <definedName name="공1">#N/A</definedName>
    <definedName name="공10">#N/A</definedName>
    <definedName name="공11">#N/A</definedName>
    <definedName name="공12">#N/A</definedName>
    <definedName name="공13">#N/A</definedName>
    <definedName name="공14">#N/A</definedName>
    <definedName name="공15">#N/A</definedName>
    <definedName name="공16">#N/A</definedName>
    <definedName name="공17">#N/A</definedName>
    <definedName name="공2">#N/A</definedName>
    <definedName name="공3">#N/A</definedName>
    <definedName name="공4">#N/A</definedName>
    <definedName name="공5">#N/A</definedName>
    <definedName name="공6">#N/A</definedName>
    <definedName name="공7">#N/A</definedName>
    <definedName name="공8">#N/A</definedName>
    <definedName name="공9">#N/A</definedName>
    <definedName name="공갈" hidden="1">{#N/A,#N/A,FALSE,"2~8번"}</definedName>
    <definedName name="공결의" hidden="1">{#N/A,#N/A,FALSE,"기안지";#N/A,#N/A,FALSE,"통신지"}</definedName>
    <definedName name="공경">#REF!</definedName>
    <definedName name="공공">#REF!,#REF!</definedName>
    <definedName name="공공공">#REF!</definedName>
    <definedName name="공공공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시설">#REF!</definedName>
    <definedName name="공과">#N/A</definedName>
    <definedName name="공과잡비">#REF!</definedName>
    <definedName name="공구">#REF!</definedName>
    <definedName name="공구내용연수">#REF!</definedName>
    <definedName name="공구상각률">#REF!</definedName>
    <definedName name="공구손료">#REF!</definedName>
    <definedName name="공구현황2">#N/A</definedName>
    <definedName name="공그리보양경">#REF!</definedName>
    <definedName name="공그리보양노">#REF!</definedName>
    <definedName name="공그리보양재">#REF!</definedName>
    <definedName name="공급"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가액">#REF!</definedName>
    <definedName name="공급가액1">#REF!</definedName>
    <definedName name="공급가액10">#REF!</definedName>
    <definedName name="공급가액11">#REF!</definedName>
    <definedName name="공급가액12">#REF!</definedName>
    <definedName name="공급가액13">#REF!</definedName>
    <definedName name="공급가액2">#REF!</definedName>
    <definedName name="공급가액3">#REF!</definedName>
    <definedName name="공급가액4">#REF!</definedName>
    <definedName name="공급가액5">#REF!</definedName>
    <definedName name="공급가액6">#REF!</definedName>
    <definedName name="공급가액7">#REF!</definedName>
    <definedName name="공급가액8">#REF!</definedName>
    <definedName name="공급가액9">#REF!</definedName>
    <definedName name="공급표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기">#REF!</definedName>
    <definedName name="공기_개월">#REF!</definedName>
    <definedName name="공기1" hidden="1">#REF!</definedName>
    <definedName name="공기검토">#REF!</definedName>
    <definedName name="공기산정">#REF!</definedName>
    <definedName name="공기작성">#REF!</definedName>
    <definedName name="공ㄴㅁ">#N/A</definedName>
    <definedName name="공내역">#REF!</definedName>
    <definedName name="공내역서" hidden="1">{#N/A,#N/A,FALSE,"현장 NCR 분석";#N/A,#N/A,FALSE,"현장품질감사";#N/A,#N/A,FALSE,"현장품질감사"}</definedName>
    <definedName name="공내역서2">#REF!</definedName>
    <definedName name="공내역ㅇ" hidden="1">{#N/A,#N/A,FALSE,"Sheet6"}</definedName>
    <definedName name="공노">#REF!</definedName>
    <definedName name="공동" hidden="1">{#N/A,#N/A,FALSE,"배수2"}</definedName>
    <definedName name="공동구" hidden="1">{#N/A,#N/A,FALSE,"전력간선"}</definedName>
    <definedName name="공동구공">#REF!</definedName>
    <definedName name="공동구공집계표">#REF!</definedName>
    <definedName name="공동구토공" hidden="1">{#N/A,#N/A,FALSE,"기안지";#N/A,#N/A,FALSE,"통신지"}</definedName>
    <definedName name="공동구토공_1" hidden="1">{#N/A,#N/A,FALSE,"기안지";#N/A,#N/A,FALSE,"통신지"}</definedName>
    <definedName name="공동도급1" hidden="1">{"'진행분석'!$A$1:$L$4","'준공분석'!$A$39:$L$42"}</definedName>
    <definedName name="공량">#REF!</definedName>
    <definedName name="공량산출표" hidden="1">#REF!</definedName>
    <definedName name="공명">#REF!</definedName>
    <definedName name="공명1">#REF!</definedName>
    <definedName name="공명1공명1">#REF!</definedName>
    <definedName name="공명공명">#REF!</definedName>
    <definedName name="공무">#REF!</definedName>
    <definedName name="공문">#REF!</definedName>
    <definedName name="공문1" hidden="1">{#N/A,#N/A,FALSE,"현장 NCR 분석";#N/A,#N/A,FALSE,"현장품질감사";#N/A,#N/A,FALSE,"현장품질감사"}</definedName>
    <definedName name="공문2" hidden="1">{#N/A,#N/A,FALSE,"현장 NCR 분석";#N/A,#N/A,FALSE,"현장품질감사";#N/A,#N/A,FALSE,"현장품질감사"}</definedName>
    <definedName name="공문3" hidden="1">{#N/A,#N/A,FALSE,"현장 NCR 분석";#N/A,#N/A,FALSE,"현장품질감사";#N/A,#N/A,FALSE,"현장품질감사"}</definedName>
    <definedName name="공문4" hidden="1">{#N/A,#N/A,FALSE,"현장 NCR 분석";#N/A,#N/A,FALSE,"현장품질감사";#N/A,#N/A,FALSE,"현장품질감사"}</definedName>
    <definedName name="공문5" hidden="1">{#N/A,#N/A,FALSE,"현장 NCR 분석";#N/A,#N/A,FALSE,"현장품질감사";#N/A,#N/A,FALSE,"현장품질감사"}</definedName>
    <definedName name="공문6" hidden="1">{#N/A,#N/A,FALSE,"현장 NCR 분석";#N/A,#N/A,FALSE,"현장품질감사";#N/A,#N/A,FALSE,"현장품질감사"}</definedName>
    <definedName name="공문서"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공문풍화암." hidden="1">#REF!</definedName>
    <definedName name="공보">#REF!</definedName>
    <definedName name="공비">#REF!</definedName>
    <definedName name="공비집계1">#REF!</definedName>
    <definedName name="공사">#N/A</definedName>
    <definedName name="공사1" hidden="1">{#N/A,#N/A,FALSE,"이태원철근"}</definedName>
    <definedName name="공사10">#N/A</definedName>
    <definedName name="공사11">#N/A</definedName>
    <definedName name="공사12">#N/A</definedName>
    <definedName name="공사13">#N/A</definedName>
    <definedName name="공사14">#N/A</definedName>
    <definedName name="공사15">#N/A</definedName>
    <definedName name="공사16">#N/A</definedName>
    <definedName name="공사17">#N/A</definedName>
    <definedName name="공사2">#N/A</definedName>
    <definedName name="공사3">#N/A</definedName>
    <definedName name="공사4">#N/A</definedName>
    <definedName name="공사5">#N/A</definedName>
    <definedName name="공사6">#N/A</definedName>
    <definedName name="공사7">#N/A</definedName>
    <definedName name="공사8">#N/A</definedName>
    <definedName name="공사9">#N/A</definedName>
    <definedName name="공사감독비" hidden="1">{"'중기작업1'!$A$1:$V$18"}</definedName>
    <definedName name="공사감독자">#REF!</definedName>
    <definedName name="공사개요">#REF!</definedName>
    <definedName name="공사개요1" hidden="1">{#N/A,#N/A,FALSE,"지침";#N/A,#N/A,FALSE,"환경분석";#N/A,#N/A,FALSE,"Sheet16"}</definedName>
    <definedName name="공사개요최종" hidden="1">{#N/A,#N/A,FALSE,"이태원철근"}</definedName>
    <definedName name="공사견적조건">#REF!</definedName>
    <definedName name="공사공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사관리대장___사진">#REF!</definedName>
    <definedName name="공사구분">#N/A</definedName>
    <definedName name="공사금송장분개" hidden="1">{#N/A,#N/A,FALSE,"지침";#N/A,#N/A,FALSE,"환경분석";#N/A,#N/A,FALSE,"Sheet16"}</definedName>
    <definedName name="공사금송장추정" hidden="1">{#N/A,#N/A,FALSE,"지침";#N/A,#N/A,FALSE,"환경분석";#N/A,#N/A,FALSE,"Sheet16"}</definedName>
    <definedName name="공사금액">#REF!</definedName>
    <definedName name="공사급">#REF!</definedName>
    <definedName name="공사기간">#REF!</definedName>
    <definedName name="공사내역" hidden="1">{#N/A,#N/A,FALSE,"이태원철근"}</definedName>
    <definedName name="공사내역서">#REF!</definedName>
    <definedName name="공사내용1">#REF!</definedName>
    <definedName name="공사내용10">#REF!</definedName>
    <definedName name="공사내용11">#REF!</definedName>
    <definedName name="공사내용12">#REF!</definedName>
    <definedName name="공사내용13">#REF!</definedName>
    <definedName name="공사내용2">#REF!</definedName>
    <definedName name="공사내용3">#REF!</definedName>
    <definedName name="공사내용4">#REF!</definedName>
    <definedName name="공사내용5">#REF!</definedName>
    <definedName name="공사내용6">#REF!</definedName>
    <definedName name="공사내용7">#REF!</definedName>
    <definedName name="공사내용8">#REF!</definedName>
    <definedName name="공사내용9">#REF!</definedName>
    <definedName name="공사명">#REF!</definedName>
    <definedName name="공사명__삼성본관_지하주차장_도장공사">#REF!</definedName>
    <definedName name="공사명공사명">#REF!</definedName>
    <definedName name="공사발의" hidden="1">{#N/A,#N/A,FALSE,"단가표지"}</definedName>
    <definedName name="공사보험율">#REF!</definedName>
    <definedName name="공사분류">#REF!</definedName>
    <definedName name="공사분류__e">#REF!</definedName>
    <definedName name="공사비">#REF!</definedName>
    <definedName name="공사비내역">#REF!</definedName>
    <definedName name="공사비분석" hidden="1">#REF!</definedName>
    <definedName name="공사비산출">#REF!</definedName>
    <definedName name="공사비증감02년" localSheetId="0">ErrorHandler_1</definedName>
    <definedName name="공사비증감02년">ErrorHandler_1</definedName>
    <definedName name="공사비증감30" hidden="1">{#N/A,#N/A,FALSE,"포장단가"}</definedName>
    <definedName name="공사비증감내역">#REF!</definedName>
    <definedName name="공사비증감대비02" localSheetId="0">ErrorHandler_1</definedName>
    <definedName name="공사비증감대비02">ErrorHandler_1</definedName>
    <definedName name="공사비집">#REF!</definedName>
    <definedName name="공사비집계표">#REF!</definedName>
    <definedName name="공사비집계표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공사비총괄표">#REF!</definedName>
    <definedName name="공사사진대장">{"Book1","많다.xls"}</definedName>
    <definedName name="공사설계서표지"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공사손해보험료">#REF!</definedName>
    <definedName name="공사수준번호">#REF!</definedName>
    <definedName name="공사시방서" hidden="1">{#N/A,#N/A,FALSE,"명세표"}</definedName>
    <definedName name="공사시방서1" hidden="1">{#N/A,#N/A,FALSE,"명세표"}</definedName>
    <definedName name="공사어음기간">#REF!</definedName>
    <definedName name="공사어음비율">#REF!</definedName>
    <definedName name="공사원가">#REF!</definedName>
    <definedName name="공사원가계산서" hidden="1">{#N/A,#N/A,TRUE,"토적및재료집계";#N/A,#N/A,TRUE,"토적및재료집계";#N/A,#N/A,TRUE,"단위량"}</definedName>
    <definedName name="공사원가계산서경비소계">#REF!</definedName>
    <definedName name="공사원가계산서노무비">#REF!</definedName>
    <definedName name="공사원가계산서재료비">#REF!</definedName>
    <definedName name="공사원가명세서">#REF!</definedName>
    <definedName name="공사위치">#REF!</definedName>
    <definedName name="공사잔금">#N/A</definedName>
    <definedName name="공사준공표시석" hidden="1">{#N/A,#N/A,FALSE,"골재소요량";#N/A,#N/A,FALSE,"골재소요량"}</definedName>
    <definedName name="공사진행현황990519">{"'진행분석'!$A$1:$L$4","'준공분석'!$A$39:$L$42"}</definedName>
    <definedName name="공사집계2">#REF!</definedName>
    <definedName name="공사집행" hidden="1">#REF!</definedName>
    <definedName name="공사카드수정본">#N/A</definedName>
    <definedName name="공사표" hidden="1">{#N/A,#N/A,FALSE,"이태원철근"}</definedName>
    <definedName name="공사현금비율">#REF!</definedName>
    <definedName name="공사현장">#REF!</definedName>
    <definedName name="공사현황2" hidden="1">{#N/A,#N/A,FALSE,"이태원철근"}</definedName>
    <definedName name="공산">#REF!</definedName>
    <definedName name="공산품">#REF!</definedName>
    <definedName name="공서" hidden="1">{#N/A,#N/A,FALSE,"골재소요량";#N/A,#N/A,FALSE,"골재소요량"}</definedName>
    <definedName name="공수1" localSheetId="0">BLCH</definedName>
    <definedName name="공수1">BLCH</definedName>
    <definedName name="공시행결의" hidden="1">{#N/A,#N/A,FALSE,"기안지";#N/A,#N/A,FALSE,"통신지"}</definedName>
    <definedName name="공실계획">OFFSET(#REF!,0,0,1,COUNTA(#REF!))</definedName>
    <definedName name="공압축3.5간재">#REF!</definedName>
    <definedName name="공압축3.5노무">#REF!</definedName>
    <definedName name="공압축3.5노무야간">#REF!</definedName>
    <definedName name="공압축3.5손료">#REF!</definedName>
    <definedName name="공압축7.1간재">#REF!</definedName>
    <definedName name="공압축7.1노무">#REF!</definedName>
    <definedName name="공압축7.1노무야간">#REF!</definedName>
    <definedName name="공압축7.1손료">#REF!</definedName>
    <definedName name="공영정산">#REF!</definedName>
    <definedName name="공운">#REF!</definedName>
    <definedName name="공운반">#REF!</definedName>
    <definedName name="공원계산서" hidden="1">{#N/A,#N/A,TRUE,"토적및재료집계";#N/A,#N/A,TRUE,"토적및재료집계";#N/A,#N/A,TRUE,"단위량"}</definedName>
    <definedName name="공원등기초" hidden="1">{#N/A,#N/A,FALSE,"골재소요량";#N/A,#N/A,FALSE,"골재소요량"}</definedName>
    <definedName name="공원식재공">#N/A</definedName>
    <definedName name="공일">#REF!</definedName>
    <definedName name="공작실">#REF!</definedName>
    <definedName name="공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장동" hidden="1">#REF!</definedName>
    <definedName name="공장별">#REF!</definedName>
    <definedName name="공재">#REF!</definedName>
    <definedName name="공정" hidden="1">{#N/A,#N/A,FALSE,"지침";#N/A,#N/A,FALSE,"환경분석";#N/A,#N/A,FALSE,"Sheet16"}</definedName>
    <definedName name="공정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hidden="1">{#N/A,#N/A,FALSE,"견적조건";#N/A,#N/A,FALSE,"산출근거"}</definedName>
    <definedName name="공정계획" hidden="1">{#N/A,#N/A,FALSE,"이태원철근"}</definedName>
    <definedName name="공정관리표">#REF!</definedName>
    <definedName name="공정량">#REF!</definedName>
    <definedName name="공정수량">#REF!</definedName>
    <definedName name="공정율">{"Book1","많다.xls"}</definedName>
    <definedName name="공정집계">#REF!</definedName>
    <definedName name="공정표" hidden="1">{#N/A,#N/A,FALSE,"현장 NCR 분석";#N/A,#N/A,FALSE,"현장품질감사";#N/A,#N/A,FALSE,"현장품질감사"}</definedName>
    <definedName name="공정표2">#REF!</definedName>
    <definedName name="공정표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정표양식">{"Book1","동절기공사.xls"}</definedName>
    <definedName name="공정현황" hidden="1">{#N/A,#N/A,FALSE,"현장 NCR 분석";#N/A,#N/A,FALSE,"현장품질감사";#N/A,#N/A,FALSE,"현장품질감사"}</definedName>
    <definedName name="공제" hidden="1">#REF!</definedName>
    <definedName name="공조" hidden="1">{#N/A,#N/A,FALSE,"전력간선"}</definedName>
    <definedName name="공조_1" hidden="1">{#N/A,#N/A,FALSE,"전력간선"}</definedName>
    <definedName name="공조닥트">#REF!</definedName>
    <definedName name="공조닥트보온">#REF!</definedName>
    <definedName name="공조배" hidden="1">{#N/A,#N/A,FALSE,"전력간선"}</definedName>
    <definedName name="공조배_1" hidden="1">{#N/A,#N/A,FALSE,"전력간선"}</definedName>
    <definedName name="공조배관" hidden="1">{#N/A,#N/A,FALSE,"전력간선"}</definedName>
    <definedName name="공조배관_1" hidden="1">{#N/A,#N/A,FALSE,"전력간선"}</definedName>
    <definedName name="공조실">#N/A</definedName>
    <definedName name="공조실급수2">#REF!</definedName>
    <definedName name="공종" localSheetId="0">ErrorHandler_1</definedName>
    <definedName name="공종">ErrorHandler_1</definedName>
    <definedName name="공종01">#REF!</definedName>
    <definedName name="공종02">#REF!</definedName>
    <definedName name="공종03">#REF!</definedName>
    <definedName name="공종04">#REF!</definedName>
    <definedName name="공종05">#REF!</definedName>
    <definedName name="공종06">#REF!</definedName>
    <definedName name="공종07">#REF!</definedName>
    <definedName name="공종08">#REF!</definedName>
    <definedName name="공종09">#REF!</definedName>
    <definedName name="공종1">#REF!</definedName>
    <definedName name="공종10">#REF!</definedName>
    <definedName name="공종11">#REF!</definedName>
    <definedName name="공종8">#REF!</definedName>
    <definedName name="공종9">#REF!</definedName>
    <definedName name="공종간지" hidden="1">#REF!</definedName>
    <definedName name="공종갯수">#REF!</definedName>
    <definedName name="공종구분">#REF!</definedName>
    <definedName name="공종명">#REF!</definedName>
    <definedName name="공종명목록">INDIRECT("설계내역2!$W$2:$W"&amp;#REF!)</definedName>
    <definedName name="공종별">#REF!</definedName>
    <definedName name="공종별견적서" localSheetId="0">BlankMacro1</definedName>
    <definedName name="공종별견적서">BlankMacro1</definedName>
    <definedName name="공종별공사금액">#REF!</definedName>
    <definedName name="공종별난이도계수">#REF!</definedName>
    <definedName name="공종별내역서" localSheetId="0">BlankMacro1</definedName>
    <definedName name="공종별내역서">BlankMacro1</definedName>
    <definedName name="공종별대비" hidden="1">{#N/A,#N/A,FALSE,"기안지";#N/A,#N/A,FALSE,"통신지"}</definedName>
    <definedName name="공종별수량합산_qry">#REF!</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집계" hidden="1">{#N/A,#N/A,FALSE,"Sheet1"}</definedName>
    <definedName name="공종총괄" hidden="1">{#N/A,#N/A,FALSE,"골재소요량";#N/A,#N/A,FALSE,"골재소요량"}</definedName>
    <definedName name="공칭전단력">#REF!</definedName>
    <definedName name="공통">#REF!</definedName>
    <definedName name="공통2">#REF!</definedName>
    <definedName name="공통22" localSheetId="0">BlankMacro1</definedName>
    <definedName name="공통22">BlankMacro1</definedName>
    <definedName name="공통3" localSheetId="0">BlankMacro1</definedName>
    <definedName name="공통3">BlankMacro1</definedName>
    <definedName name="공통4" localSheetId="0">BlankMacro1</definedName>
    <definedName name="공통4">BlankMacro1</definedName>
    <definedName name="공통가설" hidden="1">#REF!</definedName>
    <definedName name="공통가설1">#REF!</definedName>
    <definedName name="공통가설공사">#REF!</definedName>
    <definedName name="공통가설공사공통가설공사">#REF!</definedName>
    <definedName name="공통가설내역">#REF!</definedName>
    <definedName name="공통가설대비" localSheetId="0">BlankMacro1</definedName>
    <definedName name="공통가설대비">BlankMacro1</definedName>
    <definedName name="공통가설대비3" localSheetId="0">BlankMacro1</definedName>
    <definedName name="공통가설대비3">BlankMacro1</definedName>
    <definedName name="공통가설대비33" localSheetId="0">BlankMacro1</definedName>
    <definedName name="공통가설대비33">BlankMacro1</definedName>
    <definedName name="공통가설대비4" localSheetId="0">BlankMacro1</definedName>
    <definedName name="공통가설대비4">BlankMacro1</definedName>
    <definedName name="공통가설대비44" localSheetId="0">BlankMacro1</definedName>
    <definedName name="공통가설대비44">BlankMacro1</definedName>
    <definedName name="공통가설현장" hidden="1">#REF!</definedName>
    <definedName name="공통경비">#REF!</definedName>
    <definedName name="공통경비공통경비">#REF!</definedName>
    <definedName name="공통노무비">#REF!</definedName>
    <definedName name="공통노무비공통노무비">#REF!</definedName>
    <definedName name="공통단가">#REF!</definedName>
    <definedName name="공통분야" hidden="1">{"'표지'!$B$5"}</definedName>
    <definedName name="공통비" hidden="1">#REF!</definedName>
    <definedName name="공통비_" hidden="1">#REF!</definedName>
    <definedName name="공통비시영">#REF!</definedName>
    <definedName name="공통비코아" hidden="1">#REF!</definedName>
    <definedName name="공통일위">#REF!</definedName>
    <definedName name="공통재료비">#REF!</definedName>
    <definedName name="공현장경비내역" hidden="1">#REF!</definedName>
    <definedName name="공A">#N/A</definedName>
    <definedName name="공B">#N/A</definedName>
    <definedName name="공C">#N/A</definedName>
    <definedName name="공D">#N/A</definedName>
    <definedName name="공E">#N/A</definedName>
    <definedName name="공F">#N/A</definedName>
    <definedName name="공G">#N/A</definedName>
    <definedName name="공H">#N/A</definedName>
    <definedName name="공I">#N/A</definedName>
    <definedName name="공J">#N/A</definedName>
    <definedName name="공K">#N/A</definedName>
    <definedName name="공L">#N/A</definedName>
    <definedName name="공M">#N/A</definedName>
    <definedName name="공N">#N/A</definedName>
    <definedName name="공O">#N/A</definedName>
    <definedName name="공P">#N/A</definedName>
    <definedName name="공Q">#N/A</definedName>
    <definedName name="곸" hidden="1">{#N/A,#N/A,FALSE,"현장 NCR 분석";#N/A,#N/A,FALSE,"현장품질감사";#N/A,#N/A,FALSE,"현장품질감사"}</definedName>
    <definedName name="곻">#N/A</definedName>
    <definedName name="곻ㄹ옪ㅁ" hidden="1">{#N/A,#N/A,FALSE,"운반시간"}</definedName>
    <definedName name="곻ㄹㅈ" hidden="1">{#N/A,#N/A,FALSE,"골재소요량";#N/A,#N/A,FALSE,"골재소요량"}</definedName>
    <definedName name="곻ㅇㅀㄹㅇㅎ">#REF!</definedName>
    <definedName name="과세표준">#N/A</definedName>
    <definedName name="과세표준1">#N/A</definedName>
    <definedName name="과장급_인당복리후생비">#REF!</definedName>
    <definedName name="과장GROSS">#N/A</definedName>
    <definedName name="과표">SUM(#REF!)+MAX(0,#REF!-100000)+MAX(0,#REF!-200000)+MAX(0,#REF!-100000)</definedName>
    <definedName name="곽동준" hidden="1">{"'Firr(선)'!$AS$1:$AY$62","'Firr(사)'!$AS$1:$AY$62","'Firr(회)'!$AS$1:$AY$62","'Firr(선)'!$L$1:$V$62","'Firr(사)'!$L$1:$V$62","'Firr(회)'!$L$1:$V$62"}</definedName>
    <definedName name="곽동중" hidden="1">{"'Firr(선)'!$AS$1:$AY$62","'Firr(사)'!$AS$1:$AY$62","'Firr(회)'!$AS$1:$AY$62","'Firr(선)'!$L$1:$V$62","'Firr(사)'!$L$1:$V$62","'Firr(회)'!$L$1:$V$62"}</definedName>
    <definedName name="관_급">#REF!,#REF!,#REF!</definedName>
    <definedName name="관_지">#REF!</definedName>
    <definedName name="관0.3_0.7">#REF!</definedName>
    <definedName name="관0.3m미만">#REF!</definedName>
    <definedName name="관0.8_1.1">#REF!</definedName>
    <definedName name="관1.2_1.5">#REF!</definedName>
    <definedName name="관갉">#REF!,#REF!,#REF!</definedName>
    <definedName name="관경">#REF!</definedName>
    <definedName name="관경03">#REF!</definedName>
    <definedName name="관경06">#REF!</definedName>
    <definedName name="관경08">#REF!</definedName>
    <definedName name="관경1">#REF!</definedName>
    <definedName name="관경10">#REF!</definedName>
    <definedName name="관경15">#REF!</definedName>
    <definedName name="관경5">#REF!</definedName>
    <definedName name="관경6">#REF!</definedName>
    <definedName name="관경7">#REF!</definedName>
    <definedName name="관경8">#REF!</definedName>
    <definedName name="관계단노">#REF!</definedName>
    <definedName name="관계단재">#REF!</definedName>
    <definedName name="관공제">#REF!</definedName>
    <definedName name="관급">#REF!,#REF!,#REF!</definedName>
    <definedName name="관급1">#REF!,#REF!,#REF!</definedName>
    <definedName name="관급2">#N/A</definedName>
    <definedName name="관급3" hidden="1">{#N/A,#N/A,FALSE,"운반시간"}</definedName>
    <definedName name="관급단가">#REF!</definedName>
    <definedName name="관급액">#REF!</definedName>
    <definedName name="관급자재">#REF!,#REF!,#REF!</definedName>
    <definedName name="관급자재대">#REF!</definedName>
    <definedName name="관급자재비">#REF!</definedName>
    <definedName name="관급조달" hidden="1">{#N/A,#N/A,FALSE,"Sheet1"}</definedName>
    <definedName name="관급집계" localSheetId="0">BlankMacro1</definedName>
    <definedName name="관급집계">BlankMacro1</definedName>
    <definedName name="관기초DATA">#REF!</definedName>
    <definedName name="관노" hidden="1">{#N/A,#N/A,FALSE,"포장2"}</definedName>
    <definedName name="관노03">#REF!</definedName>
    <definedName name="관노06">#REF!</definedName>
    <definedName name="관노08">#REF!</definedName>
    <definedName name="관노10">#REF!</definedName>
    <definedName name="관노15">#REF!</definedName>
    <definedName name="관노5">#REF!</definedName>
    <definedName name="관노6">#REF!</definedName>
    <definedName name="관노7">#REF!</definedName>
    <definedName name="관노8">#REF!</definedName>
    <definedName name="관련" hidden="1">{#N/A,#N/A,FALSE,"견적조건";#N/A,#N/A,FALSE,"산출근거"}</definedName>
    <definedName name="관로공내부">#REF!</definedName>
    <definedName name="관로공사">#REF!</definedName>
    <definedName name="관로모래">#REF!</definedName>
    <definedName name="관로모래되메우기">#REF!</definedName>
    <definedName name="관로보도복구">#REF!</definedName>
    <definedName name="관로보도잔재처리">#REF!</definedName>
    <definedName name="관로보조기층">#REF!</definedName>
    <definedName name="관로연장거리">#REF!</definedName>
    <definedName name="관로총괄">#REF!</definedName>
    <definedName name="관로터파기">#REF!</definedName>
    <definedName name="관로토공" hidden="1">{#N/A,#N/A,FALSE,"골재소요량";#N/A,#N/A,FALSE,"골재소요량"}</definedName>
    <definedName name="관로토사되메우기">#REF!</definedName>
    <definedName name="관로ASP복구">#REF!</definedName>
    <definedName name="관로ASP잔재처리">#REF!</definedName>
    <definedName name="관로ASP컷트">#REF!</definedName>
    <definedName name="관로CON복구">#REF!</definedName>
    <definedName name="관로CON잔재처리">#REF!</definedName>
    <definedName name="관로CON컷트">#REF!</definedName>
    <definedName name="관리" hidden="1">{#N/A,#N/A,FALSE,"포장2"}</definedName>
    <definedName name="관리단지현황">#REF!</definedName>
    <definedName name="관리동1">{"서울냉천 3차( 5. 6-7).xls","Sheet1"}</definedName>
    <definedName name="관리비" hidden="1">#REF!</definedName>
    <definedName name="관리비2" hidden="1">{#N/A,#N/A,FALSE,"갑지";#N/A,#N/A,FALSE,"개요";#N/A,#N/A,FALSE,"비목별";#N/A,#N/A,FALSE,"건물별";#N/A,#N/A,FALSE,"기구표";#N/A,#N/A,FALSE,"직원투입"}</definedName>
    <definedName name="관리비2_1" hidden="1">{#N/A,#N/A,FALSE,"갑지";#N/A,#N/A,FALSE,"개요";#N/A,#N/A,FALSE,"비목별";#N/A,#N/A,FALSE,"건물별";#N/A,#N/A,FALSE,"기구표";#N/A,#N/A,FALSE,"직원투입"}</definedName>
    <definedName name="관리비작성기준" hidden="1">#REF!</definedName>
    <definedName name="관리율">#REF!</definedName>
    <definedName name="관목계">#REF!</definedName>
    <definedName name="관변">#REF!</definedName>
    <definedName name="관보호">0.2</definedName>
    <definedName name="관부사" hidden="1">{#N/A,#N/A,FALSE,"현장 NCR 분석";#N/A,#N/A,FALSE,"현장품질감사";#N/A,#N/A,FALSE,"현장품질감사"}</definedName>
    <definedName name="관산">{"'광피스표'!$A$3:$N$54"}</definedName>
    <definedName name="관수량">#REF!</definedName>
    <definedName name="관수량1">#REF!</definedName>
    <definedName name="관악IC교">#REF!</definedName>
    <definedName name="관외경">#REF!</definedName>
    <definedName name="관용접노무">#REF!</definedName>
    <definedName name="관용접노무비">#REF!</definedName>
    <definedName name="관용접재료">#REF!</definedName>
    <definedName name="관용접재료비">#REF!</definedName>
    <definedName name="관재03">#REF!</definedName>
    <definedName name="관재06">#REF!</definedName>
    <definedName name="관재08">#REF!</definedName>
    <definedName name="관재10">#REF!</definedName>
    <definedName name="관재15">#REF!</definedName>
    <definedName name="관재5">#REF!</definedName>
    <definedName name="관재6">#REF!</definedName>
    <definedName name="관재7">#REF!</definedName>
    <definedName name="관재8">#REF!</definedName>
    <definedName name="관정지반고">#REF!</definedName>
    <definedName name="관제원">#REF!</definedName>
    <definedName name="관지수링">#REF!</definedName>
    <definedName name="관지수판">#REF!</definedName>
    <definedName name="관찰4경">#REF!</definedName>
    <definedName name="관찰4노">#REF!</definedName>
    <definedName name="관찰4재">#REF!</definedName>
    <definedName name="관찰다리노">#REF!</definedName>
    <definedName name="관찰다리재">#REF!</definedName>
    <definedName name="관찰로경">#REF!</definedName>
    <definedName name="관찰로노">#REF!</definedName>
    <definedName name="관찰로재">#REF!</definedName>
    <definedName name="관할_소관_세무서">#REF!</definedName>
    <definedName name="괄">#REF!</definedName>
    <definedName name="광">#REF!</definedName>
    <definedName name="광교" hidden="1">#REF!</definedName>
    <definedName name="광나무1003">#REF!</definedName>
    <definedName name="광나무1203">#REF!</definedName>
    <definedName name="광나무1506">#REF!</definedName>
    <definedName name="광나무3노무">#REF!</definedName>
    <definedName name="광나무3재료">#REF!</definedName>
    <definedName name="광나무6노무">#REF!</definedName>
    <definedName name="광나무6재료">#REF!</definedName>
    <definedName name="광덕" hidden="1">{#N/A,#N/A,FALSE,"물량산출"}</definedName>
    <definedName name="광덕기업" hidden="1">{#N/A,#N/A,FALSE,"물량산출"}</definedName>
    <definedName name="광명">#REF!</definedName>
    <definedName name="광명_1" hidden="1">{#N/A,#N/A,FALSE,"전력간선"}</definedName>
    <definedName name="광명통">#REF!</definedName>
    <definedName name="광산">#REF!</definedName>
    <definedName name="광산품">#REF!</definedName>
    <definedName name="광섬유일위">#REF!</definedName>
    <definedName name="광양1소결합리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영">#REF!</definedName>
    <definedName name="광주">#REF!</definedName>
    <definedName name="광주가치">OFFSET(#REF!,0,0,1,COUNTA(#REF!))</definedName>
    <definedName name="광주공실">OFFSET(#REF!,0,0,1,COUNT(#REF!))</definedName>
    <definedName name="광주수익률">OFFSET(#REF!,0,0,1,COUNTA(#REF!))</definedName>
    <definedName name="광주수입">OFFSET(#REF!,0,0,1,COUNTA(#REF!))</definedName>
    <definedName name="광주지출">OFFSET(#REF!,0,0,1,COUNTA(#REF!))</definedName>
    <definedName name="광중계기">#REF!</definedName>
    <definedName name="광주NOI">OFFSET(#REF!,0,0,1,COUNTA(#REF!))</definedName>
    <definedName name="광창" hidden="1">{#N/A,#N/A,FALSE,"지침";#N/A,#N/A,FALSE,"환경분석";#N/A,#N/A,FALSE,"Sheet16"}</definedName>
    <definedName name="광케">#REF!</definedName>
    <definedName name="광케2004">#REF!</definedName>
    <definedName name="광케이블기사">#REF!</definedName>
    <definedName name="광케이블설치사">#REF!</definedName>
    <definedName name="광케이블설치사001">#REF!</definedName>
    <definedName name="광케이블설치사002">#REF!</definedName>
    <definedName name="광케이블설치사011">#REF!</definedName>
    <definedName name="광케이블설치사982">#REF!</definedName>
    <definedName name="광케이블설치사991">#REF!</definedName>
    <definedName name="광케이블설치사992">#REF!</definedName>
    <definedName name="광케입블">#REF!</definedName>
    <definedName name="광통신__기사">#REF!</definedName>
    <definedName name="광통신설치사001">#REF!</definedName>
    <definedName name="광통신설치사002">#REF!</definedName>
    <definedName name="광통신설치사011">#REF!</definedName>
    <definedName name="광통신설치사982">#REF!</definedName>
    <definedName name="광통신설치사991">#REF!</definedName>
    <definedName name="광통신설치사992">#REF!</definedName>
    <definedName name="광편백0405">#REF!</definedName>
    <definedName name="광편백0507">#REF!</definedName>
    <definedName name="광편백0509">#REF!</definedName>
    <definedName name="괴목보도육교" hidden="1">#REF!</definedName>
    <definedName name="교">#REF!</definedName>
    <definedName name="교_통_표_지_판_수_량_명_세">#REF!</definedName>
    <definedName name="교_통_표_지_판_수_량_집_계">#REF!</definedName>
    <definedName name="교각" hidden="1">#REF!</definedName>
    <definedName name="교각강도">#REF!</definedName>
    <definedName name="교각버림강도">#REF!</definedName>
    <definedName name="교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교교교" hidden="1">{#N/A,#N/A,FALSE,"운반시간"}</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_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 hidden="1">{#N/A,#N/A,FALSE,"배수1"}</definedName>
    <definedName name="교대공" hidden="1">{#N/A,#N/A,FALSE,"단면 제원"}</definedName>
    <definedName name="교대공2" hidden="1">{#N/A,#N/A,FALSE,"단면 제원"}</definedName>
    <definedName name="교대보호블럭_설치">#REF!</definedName>
    <definedName name="교대접합공">#REF!</definedName>
    <definedName name="교대집계" hidden="1">{#N/A,#N/A,FALSE,"배수1"}</definedName>
    <definedName name="교대펄근집계" hidden="1">{#N/A,#N/A,FALSE,"배수1"}</definedName>
    <definedName name="교도소" hidden="1">{#N/A,#N/A,FALSE,"조골재"}</definedName>
    <definedName name="교동토" hidden="1">#REF!</definedName>
    <definedName name="교동토목" hidden="1">{#N/A,#N/A,FALSE,"이태원철근"}</definedName>
    <definedName name="교동토목공사" hidden="1">{#N/A,#N/A,FALSE,"이태원철근"}</definedName>
    <definedName name="교동토목공사_1" hidden="1">{#N/A,#N/A,FALSE,"이태원철근"}</definedName>
    <definedName name="교동토목공사_2" hidden="1">{#N/A,#N/A,FALSE,"이태원철근"}</definedName>
    <definedName name="교동토목공사_3" hidden="1">{#N/A,#N/A,FALSE,"이태원철근"}</definedName>
    <definedName name="교동토목공사_4" hidden="1">{#N/A,#N/A,FALSE,"이태원철근"}</definedName>
    <definedName name="교량공">#REF!</definedName>
    <definedName name="교량깨기" hidden="1">{"'산출근거'!$B$4:$D$8"}</definedName>
    <definedName name="교량명">#REF!</definedName>
    <definedName name="교량배수시설공">#REF!</definedName>
    <definedName name="교량수량_Sheet10_List">#REF!</definedName>
    <definedName name="교량연결부집계" hidden="1">{#N/A,#N/A,FALSE,"표지목차"}</definedName>
    <definedName name="교량용임시환기시설" hidden="1">{#N/A,#N/A,FALSE,"배수2"}</definedName>
    <definedName name="교면방수">#REF!</definedName>
    <definedName name="교명판및설명판">#REF!</definedName>
    <definedName name="교목계">#REF!</definedName>
    <definedName name="교보서촉사옥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교실동" hidden="1">{#N/A,#N/A,FALSE,"월공사비집계표양식 (7)";#N/A,#N/A,FALSE,"월공사비집계표양식 (7)"}</definedName>
    <definedName name="교육">#REF!</definedName>
    <definedName name="교육내용">#REF!</definedName>
    <definedName name="교육동집계표">{"Book1","TOTAL.xls"}</definedName>
    <definedName name="교육훈련비">#REF!</definedName>
    <definedName name="교저ㅕㅛㅈㄷㅈㅅㅅ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정" hidden="1">{#N/A,#N/A,FALSE,"전력간선"}</definedName>
    <definedName name="교좌" hidden="1">{#N/A,#N/A,FALSE,"포장2"}</definedName>
    <definedName name="교좌받침공">#REF!</definedName>
    <definedName name="교좌장치" hidden="1">{#N/A,#N/A,TRUE,"1";#N/A,#N/A,TRUE,"2";#N/A,#N/A,TRUE,"3";#N/A,#N/A,TRUE,"4";#N/A,#N/A,TRUE,"5";#N/A,#N/A,TRUE,"6";#N/A,#N/A,TRUE,"7"}</definedName>
    <definedName name="교차">#REF!</definedName>
    <definedName name="교통">#REF!</definedName>
    <definedName name="교통관리비집게표" hidden="1">{#N/A,#N/A,FALSE,"속도"}</definedName>
    <definedName name="교통안전시설공수량전체">{"Book1","부대-(표지판,데리,가드).xls","부대-(낙,차,중분대).xls"}</definedName>
    <definedName name="교통처리집계표" hidden="1">{#N/A,#N/A,FALSE,"골재소요량";#N/A,#N/A,FALSE,"골재소요량"}</definedName>
    <definedName name="교폭">#REF!</definedName>
    <definedName name="교화">#REF!</definedName>
    <definedName name="교ㅑㅐㅐㅑ겨ㅔㅐ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ㅓ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ㅕㅕㅕㅅ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ㅗ" hidden="1">{#N/A,#N/A,FALSE,"이태원철근"}</definedName>
    <definedName name="굑ㄷ" hidden="1">{#N/A,#N/A,FALSE,"이정표"}</definedName>
    <definedName name="굗ㄱ" hidden="1">{#N/A,#N/A,FALSE,"Sheet6"}</definedName>
    <definedName name="굡" hidden="1">{#N/A,#N/A,FALSE,"현장 NCR 분석";#N/A,#N/A,FALSE,"현장품질감사";#N/A,#N/A,FALSE,"현장품질감사"}</definedName>
    <definedName name="굥" hidden="1">{#N/A,#N/A,FALSE,"현장 NCR 분석";#N/A,#N/A,FALSE,"현장품질감사";#N/A,#N/A,FALSE,"현장품질감사"}</definedName>
    <definedName name="굦"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굫" hidden="1">{#N/A,#N/A,FALSE,"속도"}</definedName>
    <definedName name="구">#REF!</definedName>
    <definedName name="구______분">#N/A</definedName>
    <definedName name="구__조__물__공">#REF!</definedName>
    <definedName name="구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간">#REF!</definedName>
    <definedName name="구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구">#N/A</definedName>
    <definedName name="구구구구">#N/A</definedName>
    <definedName name="구구국"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내임시변경" hidden="1">{#N/A,#N/A,FALSE,"현장 NCR 분석";#N/A,#N/A,FALSE,"현장품질감사";#N/A,#N/A,FALSE,"현장품질감사"}</definedName>
    <definedName name="구당초">#REF!,#REF!</definedName>
    <definedName name="구랑2교">#REF!</definedName>
    <definedName name="구랑교">#REF!</definedName>
    <definedName name="구로" hidden="1">{#N/A,#N/A,FALSE,"단가표지"}</definedName>
    <definedName name="구로공사비대비" hidden="1">{#N/A,#N/A,FALSE,"조골재"}</definedName>
    <definedName name="구름" hidden="1">{#N/A,#N/A,FALSE,"이태원철근"}</definedName>
    <definedName name="구리" hidden="1">{#N/A,#N/A,FALSE,"현장 NCR 분석";#N/A,#N/A,FALSE,"현장품질감사";#N/A,#N/A,FALSE,"현장품질감사"}</definedName>
    <definedName name="구리시영1">#REF!</definedName>
    <definedName name="구리토평보고">#REF!</definedName>
    <definedName name="구매비" hidden="1">{#N/A,#N/A,FALSE,"명세표"}</definedName>
    <definedName name="구매자재비">#REF!</definedName>
    <definedName name="구변경">#REF!,#REF!</definedName>
    <definedName name="구본" hidden="1">{#N/A,#N/A,FALSE,"Sheet6"}</definedName>
    <definedName name="구부" hidden="1">{#N/A,#N/A,FALSE,"현장 NCR 분석";#N/A,#N/A,FALSE,"현장품질감사";#N/A,#N/A,FALSE,"현장품질감사"}</definedName>
    <definedName name="구분">#REF!</definedName>
    <definedName name="구분1" localSheetId="0">BlankMacro1</definedName>
    <definedName name="구분1">BlankMacro1</definedName>
    <definedName name="구분10">#REF!</definedName>
    <definedName name="구분11">#REF!</definedName>
    <definedName name="구분12">#REF!</definedName>
    <definedName name="구분13">#REF!</definedName>
    <definedName name="구분2">#REF!</definedName>
    <definedName name="구분3">#REF!</definedName>
    <definedName name="구분4">#REF!</definedName>
    <definedName name="구분5">#REF!</definedName>
    <definedName name="구분6">#REF!</definedName>
    <definedName name="구분7">#REF!</definedName>
    <definedName name="구분8">#REF!</definedName>
    <definedName name="구분9">#REF!</definedName>
    <definedName name="구산갑지" hidden="1">#REF!</definedName>
    <definedName name="구상나무1505">#REF!</definedName>
    <definedName name="구상나무2008">#REF!</definedName>
    <definedName name="구상나무2510">#REF!</definedName>
    <definedName name="구상나무3012">#REF!</definedName>
    <definedName name="구속" hidden="1">{#N/A,#N/A,FALSE,"현장 NCR 분석";#N/A,#N/A,FALSE,"현장품질감사";#N/A,#N/A,FALSE,"현장품질감사"}</definedName>
    <definedName name="구역">#REF!</definedName>
    <definedName name="구월">#REF!</definedName>
    <definedName name="구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자관" hidden="1">{#N/A,#N/A,FALSE,"신청통보";#N/A,#N/A,FALSE,"기성확인서";#N/A,#N/A,FALSE,"기성내역서"}</definedName>
    <definedName name="구절2노무">#REF!</definedName>
    <definedName name="구절2재료">#REF!</definedName>
    <definedName name="구조">#REF!</definedName>
    <definedName name="구조1" hidden="1">{#N/A,#N/A,FALSE,"부대1"}</definedName>
    <definedName name="구조견적" hidden="1">{#N/A,#N/A,FALSE,"단가표지"}</definedName>
    <definedName name="구조물" hidden="1">#REF!</definedName>
    <definedName name="구조물2">#REF!</definedName>
    <definedName name="구조물3">#REF!</definedName>
    <definedName name="구조물공">#REF!</definedName>
    <definedName name="구조물공_집계표_제목">#REF!</definedName>
    <definedName name="구조물공1">#REF!</definedName>
    <definedName name="구조물공3">#REF!</definedName>
    <definedName name="구조물공사" hidden="1">{#N/A,#N/A,TRUE,"토적및재료집계";#N/A,#N/A,TRUE,"토적및재료집계";#N/A,#N/A,TRUE,"단위량"}</definedName>
    <definedName name="구조물공수">#REF!</definedName>
    <definedName name="구조물공수량집계표" localSheetId="0">ErrorHandler_1</definedName>
    <definedName name="구조물공수량집계표">ErrorHandler_1</definedName>
    <definedName name="구조물공집계표">#REF!</definedName>
    <definedName name="구조물공하">#REF!</definedName>
    <definedName name="구조물깨기간지" hidden="1">{"'산출근거'!$B$4:$D$8"}</definedName>
    <definedName name="구조물높이">#REF!</definedName>
    <definedName name="구조물수량옹벽" localSheetId="0">ErrorHandler_1</definedName>
    <definedName name="구조물수량옹벽">ErrorHandler_1</definedName>
    <definedName name="구조물제외수량" hidden="1">{#N/A,#N/A,FALSE,"구조2"}</definedName>
    <definedName name="구조물집계" hidden="1">#REF!</definedName>
    <definedName name="구조물폭">#REF!</definedName>
    <definedName name="구조물R">#REF!</definedName>
    <definedName name="구중분대중량">#REF!</definedName>
    <definedName name="구체공">#REF!</definedName>
    <definedName name="구체콘">#REF!</definedName>
    <definedName name="구축물상각률">#REF!</definedName>
    <definedName name="구포"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구호표">#REF!</definedName>
    <definedName name="구ㅡ눌ㄹ" hidden="1">{#N/A,#N/A,FALSE,"Sheet1"}</definedName>
    <definedName name="국가품목별2002" hidden="1">#REF!</definedName>
    <definedName name="국내장비">#REF!</definedName>
    <definedName name="국내장비계">#REF!</definedName>
    <definedName name="국내회선">#REF!</definedName>
    <definedName name="국민연금">4.5%</definedName>
    <definedName name="국유지">#REF!</definedName>
    <definedName name="국제건설" hidden="1">{"' 거래명세서'!$B$120:$H$158","'충전산업'!$L$28","'충전산업'!$A$1:$I$40","' 거래명세서'!$K$5"}</definedName>
    <definedName name="국형균"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군">#REF!</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군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군포시수련관" hidden="1">{#N/A,#N/A,TRUE,"공조기";#N/A,#N/A,TRUE,"FCU";#N/A,#N/A,TRUE,"1-20";#N/A,#N/A,TRUE,"21-40";#N/A,#N/A,TRUE,"41-60";#N/A,#N/A,TRUE,"61-80";#N/A,#N/A,TRUE,"화장실부하집계";#N/A,#N/A,TRUE,"화장실"}</definedName>
    <definedName name="군포시청소년" hidden="1">{#N/A,#N/A,TRUE,"1. 부하계산";#N/A,#N/A,TRUE,"1-1.부하계산기준";#N/A,#N/A,TRUE,"1-2.부하계산";#N/A,#N/A,TRUE,"2.장비선정";#N/A,#N/A,TRUE,"2-1보일러";#N/A,#N/A,TRUE,"2-2펌프";#N/A,#N/A,TRUE,"2-3탱크";#N/A,#N/A,TRUE,"2-4전기방열기";#N/A,#N/A,TRUE,"2-5전기온수기";#N/A,#N/A,TRUE,"2-6팬"}</definedName>
    <definedName name="군포시청소년수련관"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굴착">#N/A</definedName>
    <definedName name="굴취보통인부">#REF!</definedName>
    <definedName name="굴취조경공">#REF!</definedName>
    <definedName name="굴화">#REF!</definedName>
    <definedName name="굵기">#REF!</definedName>
    <definedName name="굼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굼융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궁">#REF!</definedName>
    <definedName name="궈ㅕ혀혹" hidden="1">{#N/A,#N/A,FALSE,"단가표지"}</definedName>
    <definedName name="권" localSheetId="0">BlankMacro1</definedName>
    <definedName name="권">BlankMacro1</definedName>
    <definedName name="권대협" hidden="1">{#N/A,#N/A,FALSE,"CCTV"}</definedName>
    <definedName name="권영민" localSheetId="0">BlankMacro1</definedName>
    <definedName name="권영민">BlankMacro1</definedName>
    <definedName name="권오광">#REF!</definedName>
    <definedName name="궤___도___공">#REF!</definedName>
    <definedName name="궤도공001">#REF!</definedName>
    <definedName name="궤도공002">#REF!</definedName>
    <definedName name="궤도공011">#REF!</definedName>
    <definedName name="궤도공982">#REF!</definedName>
    <definedName name="궤도공991">#REF!</definedName>
    <definedName name="궤도공992">#REF!</definedName>
    <definedName name="귀중">#REF!</definedName>
    <definedName name="규" hidden="1">{#N/A,#N/A,FALSE,"전력간선"}</definedName>
    <definedName name="규_______">#N/A</definedName>
    <definedName name="규격">#REF!</definedName>
    <definedName name="규격수">#REF!</definedName>
    <definedName name="규격LIST">#REF!</definedName>
    <definedName name="규모대비">#REF!</definedName>
    <definedName name="규모대비1">#REF!</definedName>
    <definedName name="규준노">#REF!</definedName>
    <definedName name="규준재">#REF!</definedName>
    <definedName name="규준틀설치경비">#REF!</definedName>
    <definedName name="규준틀설치노무">#REF!</definedName>
    <definedName name="규준틀설치재료">#REF!</definedName>
    <definedName name="규ㅛㅛ로" hidden="1">{#N/A,#N/A,FALSE,"단가표지"}</definedName>
    <definedName name="균" hidden="1">{#N/A,#N/A,FALSE,"현장 NCR 분석";#N/A,#N/A,FALSE,"현장품질감사";#N/A,#N/A,FALSE,"현장품질감사"}</definedName>
    <definedName name="귯늇ㄳ" hidden="1">{#N/A,#N/A,FALSE,"단가표지"}</definedName>
    <definedName name="귯ㄳ" hidden="1">{#N/A,#N/A,FALSE,"표지목차"}</definedName>
    <definedName name="귱" hidden="1">{#N/A,#N/A,FALSE,"현장 NCR 분석";#N/A,#N/A,FALSE,"현장품질감사";#N/A,#N/A,FALSE,"현장품질감사"}</definedName>
    <definedName name="그">#REF!</definedName>
    <definedName name="그냥">#REF!</definedName>
    <definedName name="그라" hidden="1">{#N/A,#N/A,FALSE,"CCTV"}</definedName>
    <definedName name="그래">#REF!</definedName>
    <definedName name="그래도">#REF!,#REF!,#REF!,#REF!,#REF!,#REF!,#REF!,#REF!,#REF!,#REF!,#REF!,#REF!,#REF!,#REF!,#REF!,#REF!,#REF!,#REF!,#REF!</definedName>
    <definedName name="그래서">#REF!</definedName>
    <definedName name="그래프" hidden="1">{#N/A,#N/A,FALSE,"생산성";#N/A,#N/A,FALSE,"인력1";#N/A,#N/A,FALSE,"인력2";#N/A,#N/A,FALSE,"인력3";#N/A,#N/A,FALSE,"인건1";#N/A,#N/A,FALSE,"인건2";#N/A,#N/A,FALSE,"인건3";#N/A,#N/A,FALSE,"인원증감";#N/A,#N/A,FALSE,"인건증감";#N/A,#N/A,FALSE,"표지등"}</definedName>
    <definedName name="그량" hidden="1">{#N/A,#N/A,FALSE,"현장 NCR 분석";#N/A,#N/A,FALSE,"현장품질감사";#N/A,#N/A,FALSE,"현장품질감사"}</definedName>
    <definedName name="그러나">#REF!</definedName>
    <definedName name="그레이더">350000</definedName>
    <definedName name="그룹">#REF!</definedName>
    <definedName name="그룹나눈" hidden="1">{#N/A,#N/A,FALSE,"단축1";#N/A,#N/A,FALSE,"단축2";#N/A,#N/A,FALSE,"단축3";#N/A,#N/A,FALSE,"장축";#N/A,#N/A,FALSE,"4WD"}</definedName>
    <definedName name="그린경">#N/A</definedName>
    <definedName name="그린네트" hidden="1">{#N/A,#N/A,FALSE,"현장 NCR 분석";#N/A,#N/A,FALSE,"현장품질감사";#N/A,#N/A,FALSE,"현장품질감사"}</definedName>
    <definedName name="그린네트_1" hidden="1">{#N/A,#N/A,FALSE,"현장 NCR 분석";#N/A,#N/A,FALSE,"현장품질감사";#N/A,#N/A,FALSE,"현장품질감사"}</definedName>
    <definedName name="그린네트_2" hidden="1">{#N/A,#N/A,FALSE,"현장 NCR 분석";#N/A,#N/A,FALSE,"현장품질감사";#N/A,#N/A,FALSE,"현장품질감사"}</definedName>
    <definedName name="그린네트_3" hidden="1">{#N/A,#N/A,FALSE,"현장 NCR 분석";#N/A,#N/A,FALSE,"현장품질감사";#N/A,#N/A,FALSE,"현장품질감사"}</definedName>
    <definedName name="그린노">#N/A</definedName>
    <definedName name="그린재">#N/A</definedName>
    <definedName name="그림">#N/A</definedName>
    <definedName name="그림1">#REF!</definedName>
    <definedName name="그만">#REF!</definedName>
    <definedName name="그만두다" hidden="1">{#N/A,#N/A,FALSE,"단가표지"}</definedName>
    <definedName name="그만두자" hidden="1">{#N/A,#N/A,FALSE,"혼합골재"}</definedName>
    <definedName name="극동">#REF!</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린생활시설">{"'Sheet1'!$A$4:$M$21","'Sheet1'!$J$17:$K$19"}</definedName>
    <definedName name="근원경">#REF!</definedName>
    <definedName name="근입깊이">#REF!</definedName>
    <definedName name="근입깊이2">#REF!</definedName>
    <definedName name="근재">#REF!</definedName>
    <definedName name="근재보험">#REF!</definedName>
    <definedName name="금" hidden="1">{#N/A,#N/A,FALSE,"물량산출"}</definedName>
    <definedName name="금강" hidden="1">{#N/A,#N/A,FALSE,"물량산출"}</definedName>
    <definedName name="금강고" hidden="1">{#N/A,#N/A,FALSE,"물량산출"}</definedName>
    <definedName name="금강고려" hidden="1">{#N/A,#N/A,FALSE,"물량산출"}</definedName>
    <definedName name="금강내역" hidden="1">{#N/A,#N/A,FALSE,"물량산출"}</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hidden="1">{#N/A,#N/A,FALSE,"포장2"}</definedName>
    <definedName name="금리">#REF!</definedName>
    <definedName name="금마타리">#REF!</definedName>
    <definedName name="금번">#REF!</definedName>
    <definedName name="금속">#REF!</definedName>
    <definedName name="금속견적" localSheetId="0">BlankMacro1</definedName>
    <definedName name="금속견적">BlankMacro1</definedName>
    <definedName name="금속경비">#REF!</definedName>
    <definedName name="금속공사">#REF!</definedName>
    <definedName name="금속공사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속노무">#REF!</definedName>
    <definedName name="금속재료">#REF!</definedName>
    <definedName name="금속A소계">#REF!</definedName>
    <definedName name="금속B소계">#REF!</definedName>
    <definedName name="금속C소계">#REF!</definedName>
    <definedName name="금속D소계">#REF!</definedName>
    <definedName name="금속E소계">#REF!</definedName>
    <definedName name="금솓" hidden="1">{#N/A,#N/A,FALSE,"배수1"}</definedName>
    <definedName name="금송1006">#REF!</definedName>
    <definedName name="금송1208">#REF!</definedName>
    <definedName name="금송1510">#REF!</definedName>
    <definedName name="금액">#REF!</definedName>
    <definedName name="금액1">#REF!</definedName>
    <definedName name="금액2">#REF!</definedName>
    <definedName name="금액3">#REF!</definedName>
    <definedName name="금액4">#REF!</definedName>
    <definedName name="금액5">#REF!</definedName>
    <definedName name="금액6">#REF!</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비교" hidden="1">{#N/A,#N/A,FALSE,"집계";#N/A,#N/A,FALSE,"표지";#N/A,#N/A,FALSE,"터빈집계";#N/A,#N/A,FALSE,"터빈내역";#N/A,#N/A,FALSE,"주제어집계";#N/A,#N/A,FALSE,"주제어내역";#N/A,#N/A,FALSE,"보일러집계";#N/A,#N/A,FALSE,"보일러내역"}</definedName>
    <definedName name="금액집계" hidden="1">{#N/A,#N/A,FALSE,"Sheet1"}</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2">#REF!</definedName>
    <definedName name="금융비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비율">#REF!</definedName>
    <definedName name="금융비용최종" localSheetId="0">BlankMacro1</definedName>
    <definedName name="금융비용최종">BlankMacro1</definedName>
    <definedName name="금호건">#REF!</definedName>
    <definedName name="금호기">#REF!</definedName>
    <definedName name="금호소">#REF!</definedName>
    <definedName name="금호전">#REF!</definedName>
    <definedName name="금호조">#REF!</definedName>
    <definedName name="금호철">#REF!</definedName>
    <definedName name="금호토">#REF!</definedName>
    <definedName name="금호퇴계원" hidden="1">{#N/A,#N/A,FALSE,"이태원철근"}</definedName>
    <definedName name="금회">#REF!</definedName>
    <definedName name="금회기성">#REF!</definedName>
    <definedName name="금회내역서">#N/A</definedName>
    <definedName name="급">#REF!</definedName>
    <definedName name="급1">#REF!</definedName>
    <definedName name="급1고">#REF!</definedName>
    <definedName name="급1고1">#REF!</definedName>
    <definedName name="급1저">#REF!</definedName>
    <definedName name="급1저1">#REF!</definedName>
    <definedName name="급2고">#REF!</definedName>
    <definedName name="급2고1">#REF!</definedName>
    <definedName name="급2저">#REF!</definedName>
    <definedName name="급2저1">#REF!</definedName>
    <definedName name="급3고">#REF!</definedName>
    <definedName name="급3고1">#REF!</definedName>
    <definedName name="급3저">#REF!</definedName>
    <definedName name="급3저1">#REF!</definedName>
    <definedName name="급수관경">#REF!</definedName>
    <definedName name="급수관경1">#REF!</definedName>
    <definedName name="급수급탕">#REF!</definedName>
    <definedName name="급수입상산출">#REF!</definedName>
    <definedName name="급수펌프선정" hidden="1">{"'급수사용량산정 (2)'!$A$1:$M$49","'급수사용량산정 (2)'!$A$1:$M$80"}</definedName>
    <definedName name="급여">#REF!</definedName>
    <definedName name="급여표">#REF!,#REF!</definedName>
    <definedName name="급열교환기">#REF!</definedName>
    <definedName name="급열교환기1">#REF!</definedName>
    <definedName name="급탕감압">#REF!</definedName>
    <definedName name="급탕감압1">#REF!</definedName>
    <definedName name="급탕교환기">#REF!</definedName>
    <definedName name="급탕교환기1">#REF!</definedName>
    <definedName name="급탕매수">#N/A</definedName>
    <definedName name="급탕배관경">#REF!</definedName>
    <definedName name="급탕배관경1">#REF!</definedName>
    <definedName name="급탕보급수">#REF!</definedName>
    <definedName name="급탕보급수1">#REF!</definedName>
    <definedName name="급탕열교환기용량">#REF!</definedName>
    <definedName name="급탕열교환기용량1">#REF!</definedName>
    <definedName name="급탕용량">#N/A</definedName>
    <definedName name="급탕펌프">#REF!</definedName>
    <definedName name="급탕펌프1">#REF!</definedName>
    <definedName name="기">#N/A</definedName>
    <definedName name="기___계___공">#REF!</definedName>
    <definedName name="기___와___공">#N/A</definedName>
    <definedName name="기_타__경_비__산_출_근_거">#N/A</definedName>
    <definedName name="기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경">#REF!</definedName>
    <definedName name="기경1">#REF!</definedName>
    <definedName name="기계">#REF!</definedName>
    <definedName name="기계__설치공">#REF!</definedName>
    <definedName name="기계1" hidden="1">{#N/A,#N/A,FALSE,"견적갑지";#N/A,#N/A,FALSE,"총괄표";#N/A,#N/A,FALSE,"철골공사";#N/A,#N/A,FALSE,"토목공사";#N/A,#N/A,FALSE,"판넬전기공사"}</definedName>
    <definedName name="기계2" hidden="1">{#N/A,#N/A,FALSE,"견적갑지";#N/A,#N/A,FALSE,"총괄표";#N/A,#N/A,FALSE,"철골공사";#N/A,#N/A,FALSE,"토목공사";#N/A,#N/A,FALSE,"판넬전기공사"}</definedName>
    <definedName name="기계2004">#REF!</definedName>
    <definedName name="기계3" localSheetId="0">BlankMacro1</definedName>
    <definedName name="기계3">BlankMacro1</definedName>
    <definedName name="기계4" localSheetId="0">BlankMacro1</definedName>
    <definedName name="기계4">BlankMacro1</definedName>
    <definedName name="기계5" localSheetId="0">BlankMacro1</definedName>
    <definedName name="기계5">BlankMacro1</definedName>
    <definedName name="기계경비">#REF!</definedName>
    <definedName name="기계공">#REF!</definedName>
    <definedName name="기계공001">#REF!</definedName>
    <definedName name="기계공002">#REF!</definedName>
    <definedName name="기계공011">#REF!</definedName>
    <definedName name="기계공982">#REF!</definedName>
    <definedName name="기계공991">#REF!</definedName>
    <definedName name="기계공992">#REF!</definedName>
    <definedName name="기계관급">#REF!</definedName>
    <definedName name="기계관수량">#REF!</definedName>
    <definedName name="기계관수량1">#REF!</definedName>
    <definedName name="기계되경">#REF!</definedName>
    <definedName name="기계되노">#REF!</definedName>
    <definedName name="기계되재">#REF!</definedName>
    <definedName name="기계분야" hidden="1">{#N/A,#N/A,FALSE,"포장1";#N/A,#N/A,FALSE,"포장1"}</definedName>
    <definedName name="기계설비" hidden="1">{#N/A,#N/A,FALSE,"현장 NCR 분석";#N/A,#N/A,FALSE,"현장품질감사";#N/A,#N/A,FALSE,"현장품질감사"}</definedName>
    <definedName name="기계설치">#REF!</definedName>
    <definedName name="기계설치공">#REF!</definedName>
    <definedName name="기계설치공__플랜트">#REF!</definedName>
    <definedName name="기계설치공001">#REF!</definedName>
    <definedName name="기계설치공002">#REF!</definedName>
    <definedName name="기계설치공011">#REF!</definedName>
    <definedName name="기계설치공982">#REF!</definedName>
    <definedName name="기계설치공991">#REF!</definedName>
    <definedName name="기계설치공992">#REF!</definedName>
    <definedName name="기계수량산출서" hidden="1">{#N/A,#N/A,FALSE,"골재소요량";#N/A,#N/A,FALSE,"골재소요량"}</definedName>
    <definedName name="기계실배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기계실번호">#N/A</definedName>
    <definedName name="기계운전">#REF!</definedName>
    <definedName name="기계운전기사">#REF!</definedName>
    <definedName name="기계운전사">#REF!</definedName>
    <definedName name="기계원가총괄">#REF!</definedName>
    <definedName name="기계잔경">#REF!</definedName>
    <definedName name="기계잔노">#REF!</definedName>
    <definedName name="기계잔재">#REF!</definedName>
    <definedName name="기계장치내용연수">#REF!</definedName>
    <definedName name="기계장치상각률">#REF!</definedName>
    <definedName name="기계집게" hidden="1">{#N/A,#N/A,FALSE,"표지"}</definedName>
    <definedName name="기계집계" hidden="1">{#N/A,#N/A,FALSE,"견적갑지";#N/A,#N/A,FALSE,"총괄표";#N/A,#N/A,FALSE,"철골공사";#N/A,#N/A,FALSE,"토목공사";#N/A,#N/A,FALSE,"판넬전기공사"}</definedName>
    <definedName name="기계집계표">#N/A</definedName>
    <definedName name="기계터경">#REF!</definedName>
    <definedName name="기계터노">#REF!</definedName>
    <definedName name="기계터재">#REF!</definedName>
    <definedName name="기계품질">#REF!</definedName>
    <definedName name="기계하도" hidden="1">255</definedName>
    <definedName name="기공" hidden="1">#REF!</definedName>
    <definedName name="기구본사" hidden="1">{#N/A,#N/A,FALSE,"갑지";#N/A,#N/A,FALSE,"개요";#N/A,#N/A,FALSE,"비목별";#N/A,#N/A,FALSE,"건물별";#N/A,#N/A,FALSE,"기구표";#N/A,#N/A,FALSE,"직원투입"}</definedName>
    <definedName name="기구조직표" hidden="1">{#N/A,#N/A,FALSE,"갑지";#N/A,#N/A,FALSE,"개요";#N/A,#N/A,FALSE,"비목별";#N/A,#N/A,FALSE,"건물별";#N/A,#N/A,FALSE,"기구표";#N/A,#N/A,FALSE,"직원투입"}</definedName>
    <definedName name="기구표2" hidden="1">{#N/A,#N/A,FALSE,"갑지";#N/A,#N/A,FALSE,"개요";#N/A,#N/A,FALSE,"비목별";#N/A,#N/A,FALSE,"건물별";#N/A,#N/A,FALSE,"기구표";#N/A,#N/A,FALSE,"직원투입"}</definedName>
    <definedName name="기기">#REF!</definedName>
    <definedName name="기기기" hidden="1">#REF!</definedName>
    <definedName name="기기단가">#REF!</definedName>
    <definedName name="기기단가1">#REF!</definedName>
    <definedName name="기기마" hidden="1">#REF!</definedName>
    <definedName name="기기수량">#REF!</definedName>
    <definedName name="기기수량1">#REF!</definedName>
    <definedName name="기기신설">#REF!</definedName>
    <definedName name="기기철거">#REF!</definedName>
    <definedName name="기노">#REF!</definedName>
    <definedName name="기노1">#REF!</definedName>
    <definedName name="기느" hidden="1">{#N/A,#N/A,FALSE,"골재소요량";#N/A,#N/A,FALSE,"골재소요량"}</definedName>
    <definedName name="기능실"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기능실2"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기둥높이">#REF!</definedName>
    <definedName name="기둥지름">#REF!</definedName>
    <definedName name="기똥차" hidden="1">{#N/A,#N/A,FALSE,"현장 NCR 분석";#N/A,#N/A,FALSE,"현장품질감사";#N/A,#N/A,FALSE,"현장품질감사"}</definedName>
    <definedName name="기러기" hidden="1">{#N/A,#N/A,FALSE,"2~8번"}</definedName>
    <definedName name="기러ㅕㅑㅎㅅ" hidden="1">{#N/A,#N/A,FALSE,"표지목차"}</definedName>
    <definedName name="기록" hidden="1">#REF!</definedName>
    <definedName name="기록1" hidden="1">#REF!</definedName>
    <definedName name="기록2" hidden="1">#REF!</definedName>
    <definedName name="기록3" hidden="1">#REF!</definedName>
    <definedName name="기막혀" hidden="1">{#N/A,#N/A,FALSE,"현장 NCR 분석";#N/A,#N/A,FALSE,"현장품질감사";#N/A,#N/A,FALSE,"현장품질감사"}</definedName>
    <definedName name="기반" localSheetId="0">BlankMacro1</definedName>
    <definedName name="기반">BlankMacro1</definedName>
    <definedName name="기별" hidden="1">{#N/A,#N/A,FALSE,"현장 NCR 분석";#N/A,#N/A,FALSE,"현장품질감사";#N/A,#N/A,FALSE,"현장품질감사"}</definedName>
    <definedName name="기별현황1" hidden="1">{#N/A,#N/A,FALSE,"현장 NCR 분석";#N/A,#N/A,FALSE,"현장품질감사";#N/A,#N/A,FALSE,"현장품질감사"}</definedName>
    <definedName name="기본">#REF!</definedName>
    <definedName name="기본2" hidden="1">#REF!</definedName>
    <definedName name="기본단가">#REF!</definedName>
    <definedName name="기본서류">#N/A</definedName>
    <definedName name="기본입력참고Data">#REF!</definedName>
    <definedName name="기본입력화면">#REF!</definedName>
    <definedName name="기사" hidden="1">{#N/A,#N/A,FALSE,"조골재"}</definedName>
    <definedName name="기사급_인당복리후생비">#REF!</definedName>
    <definedName name="기사우" hidden="1">{#N/A,#N/A,FALSE,"표지목차"}</definedName>
    <definedName name="기사훟" hidden="1">{#N/A,#N/A,FALSE,"조골재"}</definedName>
    <definedName name="기상">#REF!</definedName>
    <definedName name="기선" hidden="1">{#N/A,#N/A,FALSE,"조골재"}</definedName>
    <definedName name="기설">#REF!</definedName>
    <definedName name="기성">#N/A</definedName>
    <definedName name="기성03" hidden="1">{#N/A,#N/A,FALSE,"손익표지";#N/A,#N/A,FALSE,"손익계산";#N/A,#N/A,FALSE,"일반관리비";#N/A,#N/A,FALSE,"영업외수익";#N/A,#N/A,FALSE,"영업외비용";#N/A,#N/A,FALSE,"매출액";#N/A,#N/A,FALSE,"요약손익";#N/A,#N/A,FALSE,"요약대차";#N/A,#N/A,FALSE,"매출채권현황";#N/A,#N/A,FALSE,"매출채권명세"}</definedName>
    <definedName name="기성1">#N/A</definedName>
    <definedName name="기성2">{"서울냉천 3차( 5. 6-7).xls","Sheet1"}</definedName>
    <definedName name="기성3" hidden="1">{#N/A,#N/A,FALSE,"CCTV"}</definedName>
    <definedName name="기성갑" hidden="1">#REF!</definedName>
    <definedName name="기성검사" hidden="1">#REF!</definedName>
    <definedName name="기성검사갑지" hidden="1">{#N/A,#N/A,FALSE,"현장 NCR 분석";#N/A,#N/A,FALSE,"현장품질감사";#N/A,#N/A,FALSE,"현장품질감사"}</definedName>
    <definedName name="기성검사비">#REF!</definedName>
    <definedName name="기성내역" hidden="1">{#N/A,#N/A,FALSE,"포장단가"}</definedName>
    <definedName name="기성서류도배" hidden="1">{#N/A,#N/A,FALSE,"Sheet1"}</definedName>
    <definedName name="기성어음금액">#REF!</definedName>
    <definedName name="기성어음기간">#REF!</definedName>
    <definedName name="기성어음비율">#REF!</definedName>
    <definedName name="기성원가" hidden="1">{#N/A,#N/A,FALSE,"월공사비집계표양식 (7)";#N/A,#N/A,FALSE,"월공사비집계표양식 (7)"}</definedName>
    <definedName name="기성지급시기">#REF!</definedName>
    <definedName name="기성집계">#REF!</definedName>
    <definedName name="기성청구" hidden="1">{#N/A,#N/A,FALSE,"견적조건";#N/A,#N/A,FALSE,"산출근거"}</definedName>
    <definedName name="기성청구서" hidden="1">{#N/A,#N/A,FALSE,"기안지";#N/A,#N/A,FALSE,"통신지"}</definedName>
    <definedName name="기성투입" hidden="1">{#N/A,#N/A,FALSE,"지침";#N/A,#N/A,FALSE,"환경분석";#N/A,#N/A,FALSE,"Sheet16"}</definedName>
    <definedName name="기성품" localSheetId="0">BlankMacro1</definedName>
    <definedName name="기성품">BlankMacro1</definedName>
    <definedName name="기성품2" localSheetId="0">BlankMacro1</definedName>
    <definedName name="기성품2">BlankMacro1</definedName>
    <definedName name="기성현금금액">#REF!</definedName>
    <definedName name="기성현금비율">#REF!</definedName>
    <definedName name="기성xls">0</definedName>
    <definedName name="기수분리기">#REF!</definedName>
    <definedName name="기수분리기1">#REF!</definedName>
    <definedName name="기술" hidden="1">{#N/A,#N/A,FALSE,"부대1"}</definedName>
    <definedName name="기술3" hidden="1">{#N/A,#N/A,TRUE,"손익보고"}</definedName>
    <definedName name="기술개발비">#REF!</definedName>
    <definedName name="기술료" hidden="1">{#N/A,#N/A,TRUE,"1";#N/A,#N/A,TRUE,"2";#N/A,#N/A,TRUE,"3";#N/A,#N/A,TRUE,"4";#N/A,#N/A,TRUE,"5";#N/A,#N/A,TRUE,"6";#N/A,#N/A,TRUE,"7"}</definedName>
    <definedName name="기술사">#REF!</definedName>
    <definedName name="기술사명단">{"'자격급추가지급자'!$A$1:$M$13"}</definedName>
    <definedName name="기술자" hidden="1">{#N/A,#N/A,FALSE,"현장 NCR 분석";#N/A,#N/A,FALSE,"현장품질감사";#N/A,#N/A,FALSE,"현장품질감사"}</definedName>
    <definedName name="기안">#REF!</definedName>
    <definedName name="기안갑">#REF!</definedName>
    <definedName name="기안변경" hidden="1">#REF!</definedName>
    <definedName name="기안을">#REF!</definedName>
    <definedName name="기안지">#REF!</definedName>
    <definedName name="기안지new">#REF!</definedName>
    <definedName name="기영미" hidden="1">{#N/A,#N/A,FALSE,"현장 NCR 분석";#N/A,#N/A,FALSE,"현장품질감사";#N/A,#N/A,FALSE,"현장품질감사"}</definedName>
    <definedName name="기와공">#REF!</definedName>
    <definedName name="기운기운" hidden="1">{#N/A,#N/A,FALSE,"Sheet1"}</definedName>
    <definedName name="기울기" hidden="1">{#N/A,#N/A,FALSE,"단가표지"}</definedName>
    <definedName name="기울다" hidden="1">{#N/A,#N/A,FALSE,"단가표지"}</definedName>
    <definedName name="기원기원" hidden="1">{#N/A,#N/A,FALSE,"Sheet1"}</definedName>
    <definedName name="기이">#REF!</definedName>
    <definedName name="기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중량">#REF!</definedName>
    <definedName name="기장" hidden="1">{#N/A,#N/A,FALSE,"골재소요량";#N/A,#N/A,FALSE,"골재소요량"}</definedName>
    <definedName name="기재">#REF!</definedName>
    <definedName name="기재1">#REF!</definedName>
    <definedName name="기전">#REF!</definedName>
    <definedName name="기전1" hidden="1">#REF!</definedName>
    <definedName name="기전2">#REF!</definedName>
    <definedName name="기전작업장"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기전장"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기절초풍" hidden="1">{#N/A,#N/A,FALSE,"이태원철근"}</definedName>
    <definedName name="기조일위대가">#REF!</definedName>
    <definedName name="기존" hidden="1">{#N/A,#N/A,FALSE,"전열산출서"}</definedName>
    <definedName name="기존1">#REF!</definedName>
    <definedName name="기존2">#REF!</definedName>
    <definedName name="기존구조물철거량_개소별_집계">#REF!</definedName>
    <definedName name="기존수문" hidden="1">{#N/A,#N/A,FALSE,"전열산출서"}</definedName>
    <definedName name="기존포장깨기2" hidden="1">{"'산출근거'!$B$4:$D$8"}</definedName>
    <definedName name="기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주조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준">#REF!</definedName>
    <definedName name="기준일" hidden="1">{#N/A,#N/A,FALSE,"지침";#N/A,#N/A,FALSE,"환경분석";#N/A,#N/A,FALSE,"Sheet16"}</definedName>
    <definedName name="기준지수">#REF!</definedName>
    <definedName name="기준철근량">#REF!</definedName>
    <definedName name="기준품보정">#REF!</definedName>
    <definedName name="기초">#REF!</definedName>
    <definedName name="기초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기초검토" hidden="1">{#N/A,#N/A,FALSE,"전력간선"}</definedName>
    <definedName name="기초공">#REF!</definedName>
    <definedName name="기초공사">#REF!</definedName>
    <definedName name="기초교직">9</definedName>
    <definedName name="기초교축">9</definedName>
    <definedName name="기초금액상순공사원가">#REF!</definedName>
    <definedName name="기초단가">#REF!</definedName>
    <definedName name="기초단가1">#REF!</definedName>
    <definedName name="기초데이타">#REF!</definedName>
    <definedName name="기초두께">#REF!</definedName>
    <definedName name="기초말뚝">#REF!</definedName>
    <definedName name="기초보강">#REF!</definedName>
    <definedName name="기초액">#REF!</definedName>
    <definedName name="기초일위">#REF!</definedName>
    <definedName name="기초일위대가">#REF!</definedName>
    <definedName name="기초일위대가1">#REF!</definedName>
    <definedName name="기초콘">#REF!</definedName>
    <definedName name="기초폭">#REF!</definedName>
    <definedName name="기초폭교직">9</definedName>
    <definedName name="기초폭교축">9</definedName>
    <definedName name="기초피복">0.1</definedName>
    <definedName name="기층기계경비">#REF!</definedName>
    <definedName name="기층기계계">#REF!</definedName>
    <definedName name="기층기계노무비">#REF!</definedName>
    <definedName name="기층기계살수경비">#REF!</definedName>
    <definedName name="기층기계살수계">#REF!</definedName>
    <definedName name="기층기계살수노무비">#REF!</definedName>
    <definedName name="기층기계살수재료비">#REF!</definedName>
    <definedName name="기층기계인건비경비">#REF!</definedName>
    <definedName name="기층기계인건비계">#REF!</definedName>
    <definedName name="기층기계인건비노무비">#REF!</definedName>
    <definedName name="기층기계인건비재료비">#REF!</definedName>
    <definedName name="기층기계재료비">#REF!</definedName>
    <definedName name="기층기계전압단뎀경비">#REF!</definedName>
    <definedName name="기층기계전압단뎀계">#REF!</definedName>
    <definedName name="기층기계전압단뎀노무비">#REF!</definedName>
    <definedName name="기층기계전압단뎀재료비">#REF!</definedName>
    <definedName name="기층기계전압마카담경비">#REF!</definedName>
    <definedName name="기층기계전압마카담계">#REF!</definedName>
    <definedName name="기층기계전압마카담노무비">#REF!</definedName>
    <definedName name="기층기계전압마카담재료비">#REF!</definedName>
    <definedName name="기층기계전압타이어경비">#REF!</definedName>
    <definedName name="기층기계전압타이어계">#REF!</definedName>
    <definedName name="기층기계전압타이어노무비">#REF!</definedName>
    <definedName name="기층기계전압타이어재료비">#REF!</definedName>
    <definedName name="기층기계포설경비">#REF!</definedName>
    <definedName name="기층기계포설계">#REF!</definedName>
    <definedName name="기층기계포설노무비">#REF!</definedName>
    <definedName name="기층기계포설재료비">#REF!</definedName>
    <definedName name="기층두께">#REF!</definedName>
    <definedName name="기층소규모경비">#REF!</definedName>
    <definedName name="기층소규모계">#REF!</definedName>
    <definedName name="기층소규모노무비">#REF!</definedName>
    <definedName name="기층소규모재료비">#REF!</definedName>
    <definedName name="기층소규모전압단뎀경비">#REF!</definedName>
    <definedName name="기층소규모전압단뎀계">#REF!</definedName>
    <definedName name="기층소규모전압단뎀노무비">#REF!</definedName>
    <definedName name="기층소규모전압단뎀재료비">#REF!</definedName>
    <definedName name="기층소규모포설경비">#REF!</definedName>
    <definedName name="기층소규모포설계">#REF!</definedName>
    <definedName name="기층소규모포설노무비">#REF!</definedName>
    <definedName name="기층소규모포설재료비">#REF!</definedName>
    <definedName name="기층인력경비">#REF!</definedName>
    <definedName name="기층인력계">#REF!</definedName>
    <definedName name="기층인력노무비">#REF!</definedName>
    <definedName name="기층인력살수경비">#REF!</definedName>
    <definedName name="기층인력살수계">#REF!</definedName>
    <definedName name="기층인력살수노무비">#REF!</definedName>
    <definedName name="기층인력살수재료비">#REF!</definedName>
    <definedName name="기층인력재료비">#REF!</definedName>
    <definedName name="기층인력전압단뎀경비">#REF!</definedName>
    <definedName name="기층인력전압단뎀계">#REF!</definedName>
    <definedName name="기층인력전압단뎀노무비">#REF!</definedName>
    <definedName name="기층인력전압단뎀재료비">#REF!</definedName>
    <definedName name="기층인력전압마카담경비">#REF!</definedName>
    <definedName name="기층인력전압마카담계">#REF!</definedName>
    <definedName name="기층인력전압마카담노무비">#REF!</definedName>
    <definedName name="기층인력전압마카담재료비">#REF!</definedName>
    <definedName name="기층인력전압타이어경비">#REF!</definedName>
    <definedName name="기층인력전압타이어계">#REF!</definedName>
    <definedName name="기층인력전압타이어노무비">#REF!</definedName>
    <definedName name="기층인력전압타이어재료비">#REF!</definedName>
    <definedName name="기층인력포설경비">#REF!</definedName>
    <definedName name="기층인력포설계">#REF!</definedName>
    <definedName name="기층인력포설노무비">#REF!</definedName>
    <definedName name="기층인력포설재료비">#REF!</definedName>
    <definedName name="기타">#REF!</definedName>
    <definedName name="기타01">#REF!</definedName>
    <definedName name="기타02">#REF!</definedName>
    <definedName name="기타03">#REF!</definedName>
    <definedName name="기타1">#REF!</definedName>
    <definedName name="기타2">#REF!</definedName>
    <definedName name="기타경비">#REF!</definedName>
    <definedName name="기타경비_산식">#N/A</definedName>
    <definedName name="기타경비1" hidden="1">{#N/A,#N/A,TRUE,"토적및재료집계";#N/A,#N/A,TRUE,"토적및재료집계";#N/A,#N/A,TRUE,"단위량"}</definedName>
    <definedName name="기타경비요율">#REF!</definedName>
    <definedName name="기타경비표">#REF!</definedName>
    <definedName name="기타공종집계" hidden="1">{#N/A,#N/A,FALSE,"조골재"}</definedName>
    <definedName name="기타구조물">#REF!</definedName>
    <definedName name="기타부동산">#REF!</definedName>
    <definedName name="기타세">#REF!</definedName>
    <definedName name="기타예상부대비용">#REF!</definedName>
    <definedName name="기타용역비">#REF!</definedName>
    <definedName name="기타자료">#REF!</definedName>
    <definedName name="기타자재">#N/A</definedName>
    <definedName name="기타자재집계" hidden="1">{#N/A,#N/A,FALSE,"2~8번"}</definedName>
    <definedName name="기타점수">#N/A</definedName>
    <definedName name="기타주민세">#REF!</definedName>
    <definedName name="기타타" hidden="1">#REF!</definedName>
    <definedName name="기포콘크리트타설">#REF!</definedName>
    <definedName name="기포콘크리트타설노">#REF!</definedName>
    <definedName name="기호">#REF!</definedName>
    <definedName name="기ㅏㅏ핷" hidden="1">{#N/A,#N/A,FALSE,"2~8번"}</definedName>
    <definedName name="기ㅏㅐㄱ" hidden="1">{#N/A,#N/A,FALSE,"2~8번"}</definedName>
    <definedName name="기ㅛㅕㄹ" hidden="1">{#N/A,#N/A,FALSE,"혼합골재"}</definedName>
    <definedName name="긴급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길">#N/A</definedName>
    <definedName name="길내기">#REF!</definedName>
    <definedName name="길동">#REF!</definedName>
    <definedName name="길음창화" hidden="1">#N/A</definedName>
    <definedName name="길이">#N/A</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#REF!,#REF!,#REF!,#REF!,#REF!,#REF!,#REF!,#REF!,#REF!,#REF!,#REF!,#REF!,#REF!,#REF!</definedName>
    <definedName name="김1" hidden="1">{"'Firr(선)'!$AS$1:$AY$62","'Firr(사)'!$AS$1:$AY$62","'Firr(회)'!$AS$1:$AY$62","'Firr(선)'!$L$1:$V$62","'Firr(사)'!$L$1:$V$62","'Firr(회)'!$L$1:$V$62"}</definedName>
    <definedName name="김10" hidden="1">{#N/A,#N/A,FALSE,"배수2"}</definedName>
    <definedName name="김11">#N/A</definedName>
    <definedName name="김2">#REF!</definedName>
    <definedName name="김3">#REF!</definedName>
    <definedName name="김4">#N/A</definedName>
    <definedName name="김5">#N/A</definedName>
    <definedName name="김6">#N/A</definedName>
    <definedName name="김7">#N/A</definedName>
    <definedName name="김8">#N/A</definedName>
    <definedName name="김9">#N/A</definedName>
    <definedName name="김경식" localSheetId="0">Dlog_Show</definedName>
    <definedName name="김경식">Dlog_Show</definedName>
    <definedName name="김광호" localSheetId="0">BlankMacro1</definedName>
    <definedName name="김광호">BlankMacro1</definedName>
    <definedName name="김광호호호호홓" localSheetId="0">BlankMacro1</definedName>
    <definedName name="김광호호호호홓">BlankMacro1</definedName>
    <definedName name="김규중" hidden="1">{#N/A,#N/A,FALSE,"포장1";#N/A,#N/A,FALSE,"포장1"}</definedName>
    <definedName name="김기">#REF!</definedName>
    <definedName name="김기철" hidden="1">{#N/A,#N/A,FALSE,"신청통보";#N/A,#N/A,FALSE,"기성확인서";#N/A,#N/A,FALSE,"기성내역서"}</definedName>
    <definedName name="김길">#N/A</definedName>
    <definedName name="김김김">#REF!</definedName>
    <definedName name="김덕" hidden="1">{#N/A,#N/A,FALSE,"전력간선"}</definedName>
    <definedName name="김도연" hidden="1">{#N/A,#N/A,FALSE,"예상손익";#N/A,#N/A,FALSE,"관리분석";#N/A,#N/A,FALSE,"장비분석";#N/A,#N/A,FALSE,"준설분석";#N/A,#N/A,FALSE,"철구분석"}</definedName>
    <definedName name="김도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동" hidden="1">{"'Firr(선)'!$AS$1:$AY$62","'Firr(사)'!$AS$1:$AY$62","'Firr(회)'!$AS$1:$AY$62","'Firr(선)'!$L$1:$V$62","'Firr(사)'!$L$1:$V$62","'Firr(회)'!$L$1:$V$62"}</definedName>
    <definedName name="김동종" hidden="1">#REF!</definedName>
    <definedName name="김동준" hidden="1">{"'Firr(선)'!$AS$1:$AY$62","'Firr(사)'!$AS$1:$AY$62","'Firr(회)'!$AS$1:$AY$62","'Firr(선)'!$L$1:$V$62","'Firr(사)'!$L$1:$V$62","'Firr(회)'!$L$1:$V$62"}</definedName>
    <definedName name="김두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면수" hidden="1">{#N/A,#N/A,FALSE,"2~8번"}</definedName>
    <definedName name="김명준" hidden="1">{"LKD",#N/A,FALSE,"표지"}</definedName>
    <definedName name="김미영">#N/A</definedName>
    <definedName name="김민정" hidden="1">{#N/A,#N/A,FALSE,"이태원철근"}</definedName>
    <definedName name="김민희">#REF!</definedName>
    <definedName name="김보규" hidden="1">{#N/A,#N/A,FALSE,"CCTV"}</definedName>
    <definedName name="김봉만" hidden="1">{#N/A,#N/A,FALSE,"교리2"}</definedName>
    <definedName name="김사">{"Book1","예술의전당.xls"}</definedName>
    <definedName name="김상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상억"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상원" hidden="1">{#N/A,#N/A,FALSE,"골재소요량";#N/A,#N/A,FALSE,"골재소요량"}</definedName>
    <definedName name="김석현" hidden="1">{#N/A,#N/A,TRUE,"설계내역서";#N/A,#N/A,TRUE,"설계집계"}</definedName>
    <definedName name="김선미">{"'Firr(선)'!$AS$1:$AY$62","'Firr(사)'!$AS$1:$AY$62","'Firr(회)'!$AS$1:$AY$62","'Firr(선)'!$L$1:$V$62","'Firr(사)'!$L$1:$V$62","'Firr(회)'!$L$1:$V$62"}</definedName>
    <definedName name="김성기" hidden="1">{#N/A,#N/A,FALSE,"생산성";#N/A,#N/A,FALSE,"인력1";#N/A,#N/A,FALSE,"인력2";#N/A,#N/A,FALSE,"인력3";#N/A,#N/A,FALSE,"인건1";#N/A,#N/A,FALSE,"인건2";#N/A,#N/A,FALSE,"인건3";#N/A,#N/A,FALSE,"인원증감";#N/A,#N/A,FALSE,"인건증감";#N/A,#N/A,FALSE,"표지등"}</definedName>
    <definedName name="김성배_상무">#REF!</definedName>
    <definedName name="김성혁">#REF!,#REF!,#REF!,#REF!,#REF!,#REF!,#REF!,#REF!,#REF!,#REF!,#REF!,#REF!,#REF!,#REF!</definedName>
    <definedName name="김양석">#REF!,#REF!,#REF!,#REF!,#REF!,#REF!,#REF!,#REF!,#REF!,#REF!,#REF!,#REF!,#REF!,#REF!,#REF!,#REF!,#REF!,#REF!,#REF!</definedName>
    <definedName name="김영준" hidden="1">{#N/A,#N/A,FALSE,"전력간선"}</definedName>
    <definedName name="김영훈" hidden="1">{#N/A,#N/A,FALSE,"변경관리예산";#N/A,#N/A,FALSE,"변경장비예산";#N/A,#N/A,FALSE,"변경준설예산";#N/A,#N/A,FALSE,"변경철구예산"}</definedName>
    <definedName name="김용표">#REF!</definedName>
    <definedName name="김우재" hidden="1">{#N/A,#N/A,FALSE,"CCTV"}</definedName>
    <definedName name="김원">#N/A</definedName>
    <definedName name="김원길">#N/A</definedName>
    <definedName name="김유진">{"'용역비'!$A$4:$C$8"}</definedName>
    <definedName name="김익현" hidden="1">{#N/A,#N/A,TRUE,"대외공문"}</definedName>
    <definedName name="김전진행">#REF!</definedName>
    <definedName name="김전진행2">#REF!</definedName>
    <definedName name="김전청산">#REF!</definedName>
    <definedName name="김종복" localSheetId="0">BlankMacro1</definedName>
    <definedName name="김종복">BlankMacro1</definedName>
    <definedName name="김주택" hidden="1">{#N/A,#N/A,FALSE,"골재소요량";#N/A,#N/A,FALSE,"골재소요량"}</definedName>
    <definedName name="김준형" hidden="1">{#N/A,#N/A,FALSE,"골재소요량";#N/A,#N/A,FALSE,"골재소요량"}</definedName>
    <definedName name="김중규" hidden="1">{#N/A,#N/A,FALSE,"이태원철근"}</definedName>
    <definedName name="김진경" hidden="1">{#N/A,#N/A,FALSE,"이태원철근"}</definedName>
    <definedName name="김진성1" localSheetId="0">BlankMacro1</definedName>
    <definedName name="김진성1">BlankMacro1</definedName>
    <definedName name="김진하상무"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창성">#REF!</definedName>
    <definedName name="김창성1">#REF!</definedName>
    <definedName name="김춘모"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김치원" localSheetId="0">BlankMacro1</definedName>
    <definedName name="김치원">BlankMacro1</definedName>
    <definedName name="김치원2" localSheetId="0">BlankMacro1</definedName>
    <definedName name="김치원2">BlankMacro1</definedName>
    <definedName name="김태빈">#N/A</definedName>
    <definedName name="김학민">#REF!,#REF!</definedName>
    <definedName name="김해3" hidden="1">#REF!</definedName>
    <definedName name="김혜경" hidden="1">{#N/A,#N/A,FALSE,"현장 NCR 분석";#N/A,#N/A,FALSE,"현장품질감사";#N/A,#N/A,FALSE,"현장품질감사"}</definedName>
    <definedName name="김희진행">#REF!</definedName>
    <definedName name="김희진행2">#REF!</definedName>
    <definedName name="김희청산">#REF!</definedName>
    <definedName name="깊이">#REF!</definedName>
    <definedName name="기Q">"기성세부내역서!$B$89"</definedName>
    <definedName name="ㄱㄳㅅ" hidden="1">{#N/A,#N/A,FALSE,"배수1"}</definedName>
    <definedName name="ㄱㄳㄳ" hidden="1">{#N/A,#N/A,FALSE,"2~8번"}</definedName>
    <definedName name="ㄱㄺㄷㅎ" hidden="1">{#N/A,#N/A,FALSE,"골재소요량";#N/A,#N/A,FALSE,"골재소요량"}</definedName>
    <definedName name="ㄱㄽㅎ" hidden="1">{#N/A,#N/A,FALSE,"전력간선"}</definedName>
    <definedName name="ㄱㄽㅎ_1" hidden="1">{#N/A,#N/A,FALSE,"전력간선"}</definedName>
    <definedName name="까뮤">#REF!</definedName>
    <definedName name="깍기경">#REF!</definedName>
    <definedName name="깍기노">#REF!</definedName>
    <definedName name="깍기재">#REF!</definedName>
    <definedName name="깡" hidden="1">{#N/A,#N/A,FALSE,"기안지";#N/A,#N/A,FALSE,"통신지"}</definedName>
    <definedName name="깨기조서" hidden="1">{#N/A,#N/A,FALSE,"2~8번"}</definedName>
    <definedName name="깬돌채취">#REF!</definedName>
    <definedName name="껍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께기">#REF!</definedName>
    <definedName name="께기수량집계표" hidden="1">#REF!</definedName>
    <definedName name="꽃복숭아R3">#REF!</definedName>
    <definedName name="꽃복숭아R4">#REF!</definedName>
    <definedName name="꽃복숭아R5">#REF!</definedName>
    <definedName name="꽃사과">#REF!</definedName>
    <definedName name="꽃사과10노무">#REF!</definedName>
    <definedName name="꽃사과10재료">#REF!</definedName>
    <definedName name="꽃사과6노무">#REF!</definedName>
    <definedName name="꽃사과6재료">#REF!</definedName>
    <definedName name="꽃사과8노무">#REF!</definedName>
    <definedName name="꽃사과8재료">#REF!</definedName>
    <definedName name="꽃사과R10">#REF!</definedName>
    <definedName name="꽃사과R4">#REF!</definedName>
    <definedName name="꽃사과R6">#REF!</definedName>
    <definedName name="꽃사과R8">#REF!</definedName>
    <definedName name="꽃아그배R10">#REF!</definedName>
    <definedName name="꽃아그배R4">#REF!</definedName>
    <definedName name="꽃아그배R6">#REF!</definedName>
    <definedName name="꽃아그배R8">#REF!</definedName>
    <definedName name="꽃창포">#REF!</definedName>
    <definedName name="꽃향유">#REF!</definedName>
    <definedName name="꽝꽝0304">#REF!</definedName>
    <definedName name="꽝꽝0406">#REF!</definedName>
    <definedName name="꽝꽝0508">#REF!</definedName>
    <definedName name="꽝꽝0610">#REF!</definedName>
    <definedName name="꽝꽝10노무">#REF!</definedName>
    <definedName name="꽝꽝10재료">#REF!</definedName>
    <definedName name="꽝꽝4노무">#REF!</definedName>
    <definedName name="꽝꽝4재료">#REF!</definedName>
    <definedName name="꽝꽝6노무">#REF!</definedName>
    <definedName name="꽝꽝6재료">#REF!</definedName>
    <definedName name="꽝꽝8노무">#REF!</definedName>
    <definedName name="꽝꽝8재료">#REF!</definedName>
    <definedName name="꿀꿀">#REF!</definedName>
    <definedName name="끄">#REF!</definedName>
    <definedName name="끝">#REF!</definedName>
    <definedName name="끝부재">#REF!</definedName>
    <definedName name="끝에삽입" hidden="1">{#N/A,#N/A,FALSE,"이태원철근"}</definedName>
    <definedName name="ㄴ" hidden="1">{#N/A,#N/A,FALSE,"단가표지"}</definedName>
    <definedName name="ㄴ1">#REF!</definedName>
    <definedName name="ㄴ155">#REF!</definedName>
    <definedName name="ㄴ2">#REF!</definedName>
    <definedName name="ㄴㄱㄹ" hidden="1">#N/A</definedName>
    <definedName name="ㄴㄱ롷ㄴ옿" hidden="1">{#N/A,#N/A,FALSE,"교리2"}</definedName>
    <definedName name="ㄴ거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고허ㅗㅇㄴ" hidden="1">{#N/A,#N/A,FALSE,"혼합골재"}</definedName>
    <definedName name="ㄴ곤고" hidden="1">{#N/A,#N/A,FALSE,"교리2"}</definedName>
    <definedName name="ㄴ골">#REF!</definedName>
    <definedName name="ㄴ교ㅓㄴ교ㅓ굔거걱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ㄴ" hidden="1">{#N/A,#N/A,FALSE,"CCTV"}</definedName>
    <definedName name="ㄴㄴㄴ" localSheetId="0">ErrorHandler_1</definedName>
    <definedName name="ㄴㄴㄴ">ErrorHandler_1</definedName>
    <definedName name="ㄴㄴㄴ_1" hidden="1">{#N/A,#N/A,FALSE,"골재소요량";#N/A,#N/A,FALSE,"골재소요량"}</definedName>
    <definedName name="ㄴㄴㄴㄴ" hidden="1">{#N/A,#N/A,FALSE,"기안지";#N/A,#N/A,FALSE,"통신지"}</definedName>
    <definedName name="ㄴㄴㄴㄴㄴ" hidden="1">#REF!</definedName>
    <definedName name="ㄴㄴㄴㄴㄴㄴ">#REF!</definedName>
    <definedName name="ㄴㄴㄴㄴㄴㄴㄴㄴㄴㄴ">#REF!</definedName>
    <definedName name="ㄴㄴㄴㄴㄴㄴㄴㄴㄴㄴㄴㄴㄴㄴㄴㄴㄴ" hidden="1">#REF!</definedName>
    <definedName name="ㄴㄴㄴㄴㄴㅁ">#REF!</definedName>
    <definedName name="ㄴㄴㄴㄴㅂ" hidden="1">{#N/A,#N/A,FALSE,"운반시간"}</definedName>
    <definedName name="ㄴㄴㄴㄴㅇ">#N/A</definedName>
    <definedName name="ㄴㄴㄴㅇ" hidden="1">{#N/A,#N/A,FALSE,"운반시간"}</definedName>
    <definedName name="ㄴㄴㄴㅇ_1" hidden="1">{#N/A,#N/A,FALSE,"운반시간"}</definedName>
    <definedName name="ㄴㄴㄴㅇ_2" hidden="1">{#N/A,#N/A,FALSE,"운반시간"}</definedName>
    <definedName name="ㄴㄴㄴㅇ_3" hidden="1">{#N/A,#N/A,FALSE,"운반시간"}</definedName>
    <definedName name="ㄴㄴㄷ" hidden="1">{#N/A,#N/A,FALSE,"이태원철근"}</definedName>
    <definedName name="ㄴㄴㄹㄴ" hidden="1">#REF!</definedName>
    <definedName name="ㄴㄴㄹㅇㄹ" hidden="1">#REF!</definedName>
    <definedName name="ㄴㄴㅁㅁㅇㄴ">#REF!</definedName>
    <definedName name="ㄴㄴㅇ">#REF!</definedName>
    <definedName name="ㄴㄴㅇㅇㄴ">#REF!</definedName>
    <definedName name="ㄴㄴㅀㅇㅇㅀ" hidden="1">{#N/A,#N/A,FALSE,"부대1"}</definedName>
    <definedName name="ㄴㄴㅏ나ㄴ나">#REF!</definedName>
    <definedName name="ㄴ낭ㅇㄴ" hidden="1">{#N/A,#N/A,FALSE,"현장 NCR 분석";#N/A,#N/A,FALSE,"현장품질감사";#N/A,#N/A,FALSE,"현장품질감사"}</definedName>
    <definedName name="ㄴ노노">#N/A</definedName>
    <definedName name="ㄴ노룍ㄺㄹ" hidden="1">{#N/A,#N/A,FALSE,"조골재"}</definedName>
    <definedName name="ㄴㄷ" hidden="1">{#N/A,#N/A,FALSE,"골재소요량";#N/A,#N/A,FALSE,"골재소요량"}</definedName>
    <definedName name="ㄴㄷㄱㅈ" hidden="1">{#N/A,#N/A,FALSE,"Sheet6"}</definedName>
    <definedName name="ㄴㄷㄹ" hidden="1">{#N/A,#N/A,FALSE,"Sheet1"}</definedName>
    <definedName name="ㄴㄷㄹㄴ" hidden="1">{#N/A,#N/A,FALSE,"이태원철근"}</definedName>
    <definedName name="ㄴㄷㄹㄷ" hidden="1">{#N/A,#N/A,FALSE,"운반시간"}</definedName>
    <definedName name="ㄴㄷㅈㅂㄷㄱ" hidden="1">#REF!</definedName>
    <definedName name="ㄴㄷㅎ" hidden="1">{#N/A,#N/A,FALSE,"단가표지"}</definedName>
    <definedName name="ㄴㄷㄿ" hidden="1">{#N/A,#N/A,FALSE,"전력간선"}</definedName>
    <definedName name="ㄴㄹ" hidden="1">{#N/A,#N/A,FALSE,"2~8번"}</definedName>
    <definedName name="ㄴㄹ고">#REF!</definedName>
    <definedName name="ㄴㄹㄴ" hidden="1">{#N/A,#N/A,FALSE,"단가표지"}</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ㄴㅁㅎㅇㄹ" hidden="1">{#N/A,"수불부",FALSE,"사급자재수불서";#N/A,"수불부",FALSE,"사급자재수불서"}</definedName>
    <definedName name="ㄴㄹㄴㅇ">#REF!</definedName>
    <definedName name="ㄴㄹㄷㄱㄹ" hidden="1">{#N/A,#N/A,FALSE,"운반시간"}</definedName>
    <definedName name="ㄴㄹㄷㄹㄴ" hidden="1">{#N/A,#N/A,FALSE,"운반시간"}</definedName>
    <definedName name="ㄴㄹㄷㄹㅈ" hidden="1">{#N/A,#N/A,FALSE,"2~8번"}</definedName>
    <definedName name="ㄴㄹㄷㅈㄹ" hidden="1">{#N/A,#N/A,FALSE,"혼합골재"}</definedName>
    <definedName name="ㄴㄹ독ㄹㄷㄱ" hidden="1">{#N/A,#N/A,FALSE,"단가표지"}</definedName>
    <definedName name="ㄴㄹ셔ㅓㅗㅛㄴ갸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ㅇ">#N/A</definedName>
    <definedName name="ㄴㄹㅇㄴㄹㅇ">#REF!</definedName>
    <definedName name="ㄴㄹㅇㄴㅊ" hidden="1">{#N/A,#N/A,FALSE,"혼합골재"}</definedName>
    <definedName name="ㄴㄹㅇㄹ" hidden="1">#REF!</definedName>
    <definedName name="ㄴㄹㅇㅁㄴㄹ" hidden="1">#REF!</definedName>
    <definedName name="ㄴㄹㅇㅎ" hidden="1">{#N/A,#N/A,FALSE,"교리2"}</definedName>
    <definedName name="ㄴㄹㅇㅎㄴㄹㅇㄹ옿ㅀㄹ" hidden="1">{#N/A,#N/A,FALSE,"2~8번"}</definedName>
    <definedName name="ㄴㄹㅇㅎㅇㄴ" hidden="1">{#N/A,#N/A,FALSE,"손익표지";#N/A,#N/A,FALSE,"손익계산";#N/A,#N/A,FALSE,"일반관리비";#N/A,#N/A,FALSE,"영업외수익";#N/A,#N/A,FALSE,"영업외비용";#N/A,#N/A,FALSE,"매출액";#N/A,#N/A,FALSE,"요약손익";#N/A,#N/A,FALSE,"요약대차";#N/A,#N/A,FALSE,"매출채권현황";#N/A,#N/A,FALSE,"매출채권명세"}</definedName>
    <definedName name="ㄴㄹㅈㅁ" hidden="1">{#N/A,#N/A,FALSE,"단가표지"}</definedName>
    <definedName name="ㄴ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로ㅓ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ㅓㄴ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ㅜㅛㅗㅈㄴ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겆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헌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호소ㅗㅅㅅ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후ㅗ너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라ㅓ라" hidden="1">{#N/A,#N/A,FALSE,"교리2"}</definedName>
    <definedName name="ㄴ라ㅓㅗ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아" hidden="1">{#N/A,#N/A,FALSE,"단가표지"}</definedName>
    <definedName name="ㄴ러ㅏㅛ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ㅓㅗ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뎌" hidden="1">{#N/A,#N/A,FALSE,"단가표지"}</definedName>
    <definedName name="ㄴ러ㅗ호겨" hidden="1">{#N/A,#N/A,FALSE,"단가표지"}</definedName>
    <definedName name="ㄴ러ㅗㅕㅅ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ㅗ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ㅛㅅ요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ㄷ소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ㄴㅇㅋ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다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런ㄹ료녀ㅓ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럴놔ㅓㄴ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렇ㅈ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러" hidden="1">{#N/A,#N/A,FALSE,"운반시간"}</definedName>
    <definedName name="ㄴ로ㅓㄷㅅㅅ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ㅇ" hidden="1">{#N/A,#N/A,FALSE,"골재소요량";#N/A,#N/A,FALSE,"골재소요량"}</definedName>
    <definedName name="ㄴ로ㅓ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ㅗ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ㅛ서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롷고" hidden="1">{#N/A,#N/A,FALSE,"혼합골재"}</definedName>
    <definedName name="ㄴ료ㅕㅓㅛ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루겷ㅎ" hidden="1">{#N/A,#N/A,FALSE,"혼합골재"}</definedName>
    <definedName name="ㄴㅁ" hidden="1">#REF!</definedName>
    <definedName name="ㄴㅁㄴ"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ㄴㅁㄴㅁ" hidden="1">{#N/A,#N/A,FALSE,"이태원철근"}</definedName>
    <definedName name="ㄴㅁㄴㅇㄹ" hidden="1">#REF!</definedName>
    <definedName name="ㄴㅁ논ㄹ홍" hidden="1">{#N/A,#N/A,FALSE,"이태원철근"}</definedName>
    <definedName name="ㄴㅁㄹㄴㅁㅇㄴㅇㅁㄹㄴ" hidden="1">{#N/A,#N/A,FALSE,"단가표지"}</definedName>
    <definedName name="ㄴㅁㄹㄴㅁㅇㄹ" hidden="1">{#N/A,#N/A,FALSE,"기안지";#N/A,#N/A,FALSE,"통신지"}</definedName>
    <definedName name="ㄴㅁㄹㅇㄹ" hidden="1">#REF!</definedName>
    <definedName name="ㄴㅁㄹㅈㄹ" hidden="1">#REF!</definedName>
    <definedName name="ㄴㅁㅁ">#REF!</definedName>
    <definedName name="ㄴㅁㅁㄴㄴㅁ">#N/A</definedName>
    <definedName name="ㄴㅁㅁㅁㅁㅁㅁ" hidden="1">{#N/A,#N/A,FALSE,"이태원철근"}</definedName>
    <definedName name="ㄴㅁㅂㅈㄹㅇㄴㅇㅊ" hidden="1">{#N/A,#N/A,FALSE,"지침";#N/A,#N/A,FALSE,"환경분석";#N/A,#N/A,FALSE,"Sheet16"}</definedName>
    <definedName name="ㄴㅁㅇ" hidden="1">{#N/A,#N/A,FALSE,"견적조건";#N/A,#N/A,FALSE,"산출근거"}</definedName>
    <definedName name="ㄴㅁㅇㄴㅁㅇ" hidden="1">{#N/A,#N/A,FALSE,"배수1"}</definedName>
    <definedName name="ㄴㅁㅇㄴㅁㅇㄴ" hidden="1">{#N/A,#N/A,FALSE,"이태원철근"}</definedName>
    <definedName name="ㄴㅁㅇ누옫" hidden="1">{#N/A,#N/A,FALSE,"단가표지"}</definedName>
    <definedName name="ㄴㅁㅇㄹ" hidden="1">{#N/A,#N/A,FALSE,"기안지";#N/A,#N/A,FALSE,"통신지"}</definedName>
    <definedName name="ㄴㅁㅇㄹㅊㅇ">#REF!,#REF!</definedName>
    <definedName name="ㄴㅁㅇㄹㄻ">{"'자리배치도'!$AG$1:$CI$28"}</definedName>
    <definedName name="ㄴㅁㅇㅁㄴ" hidden="1">#REF!</definedName>
    <definedName name="ㄴㅁㅇㅂㅈㄷㅁㄴㅂㅈㄷ" hidden="1">{#N/A,#N/A,FALSE,"이태원철근"}</definedName>
    <definedName name="ㄴㅁㅇㅇㄴㅁㅇㄴㅁㅇㅁㄴㅇㅁㄴㅇㅁㄴㅇㅁㄴㅇㅁㄴ" hidden="1">#REF!</definedName>
    <definedName name="ㄴㅁㅇㅇㄴㅇ">#REF!</definedName>
    <definedName name="ㄴㅁㅇㅇㄴㅇㄴ">#REF!</definedName>
    <definedName name="ㄴㅁㅇㅎㅁㄴㅇㄻㄴㄷㅈㄹㄴㅇ" hidden="1">{#N/A,#N/A,FALSE,"이태원철근"}</definedName>
    <definedName name="ㄴㅁㅇㄻ" hidden="1">{#N/A,#N/A,FALSE,"단가표지"}</definedName>
    <definedName name="ㄴㅁㅇㄻㄴ" hidden="1">#REF!</definedName>
    <definedName name="ㄴㅁㅇㄻㄴㄻㄴㄻ" localSheetId="0">BlankMacro1</definedName>
    <definedName name="ㄴㅁㅇㄻㄴㄻㄴㄻ">BlankMacro1</definedName>
    <definedName name="ㄴㅁㅇㄻㅈㄷㄹ" hidden="1">{#N/A,#N/A,FALSE,"생산성";#N/A,#N/A,FALSE,"인력1";#N/A,#N/A,FALSE,"인력2";#N/A,#N/A,FALSE,"인력3";#N/A,#N/A,FALSE,"인건1";#N/A,#N/A,FALSE,"인건2";#N/A,#N/A,FALSE,"인건3";#N/A,#N/A,FALSE,"인원증감";#N/A,#N/A,FALSE,"인건증감";#N/A,#N/A,FALSE,"표지등"}</definedName>
    <definedName name="ㄴㅁㅊㄴㅁㅊㄴ">#REF!</definedName>
    <definedName name="ㄴㅁㅌㅇㅁㅇㅈㄷㅂㅁㅊㄹㅇ휺ㄹㅇㄶㄱㅊㅁㄹㅇㅈㅁㅌ" hidden="1">#REF!</definedName>
    <definedName name="ㄴㅁㅎㄹㄴㅎ" hidden="1">{#N/A,#N/A,FALSE,"교리2"}</definedName>
    <definedName name="ㄴㅁㅎㅇㅁㅎ" hidden="1">#REF!</definedName>
    <definedName name="ㄴㅁ허ㅗ러ㅏㅗ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미ㅓㄴㄹ" hidden="1">{#N/A,#N/A,FALSE,"현장 NCR 분석";#N/A,#N/A,FALSE,"현장품질감사";#N/A,#N/A,FALSE,"현장품질감사"}</definedName>
    <definedName name="ㄴㅁㄻㄴ" hidden="1">#REF!</definedName>
    <definedName name="ㄴㅁㄻㄴㄹ" hidden="1">#REF!</definedName>
    <definedName name="ㄴㅁㄻㄴㅇㄹㅇㄴㄹ" hidden="1">{#N/A,"수불부",FALSE,"사급자재수불서";#N/A,"수불부",FALSE,"사급자재수불서"}</definedName>
    <definedName name="ㄴㅁㄻㄹ" hidden="1">{#N/A,#N/A,FALSE,"이태원철근"}</definedName>
    <definedName name="ㄴㅂㅈ">#N/A</definedName>
    <definedName name="ㄴㅅㄱ슈ㅛㅕ쇼" hidden="1">{#N/A,#N/A,FALSE,"혼합골재"}</definedName>
    <definedName name="ㄴㅅㄱㅓ" hidden="1">#REF!</definedName>
    <definedName name="ㄴㅅ교ㅑㅕ쇼ㅏㅐ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ㅅㄷ" hidden="1">{#N/A,#N/A,FALSE,"운반시간"}</definedName>
    <definedName name="ㄴㅅㅎㅇㅎㄹㅇ" hidden="1">{#N/A,#N/A,FALSE,"배수2"}</definedName>
    <definedName name="ㄴ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쇼ㅏ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 hidden="1">{#N/A,#N/A,FALSE,"견적조건";#N/A,#N/A,FALSE,"산출근거"}</definedName>
    <definedName name="ㄴㅇㄴ"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ㄴㅇㄴㄴㅁㅁ">#REF!</definedName>
    <definedName name="ㄴㅇㄴㅁ">#REF!</definedName>
    <definedName name="ㄴㅇㄴㅁㅇㅁㄴ" hidden="1">#REF!</definedName>
    <definedName name="ㄴㅇㄴㅇ">#REF!</definedName>
    <definedName name="ㄴㅇㄴㅇㄴㅇㄴㅇ" hidden="1">{#N/A,#N/A,FALSE,"현장 NCR 분석";#N/A,#N/A,FALSE,"현장품질감사";#N/A,#N/A,FALSE,"현장품질감사"}</definedName>
    <definedName name="ㄴㅇㄴㅇㄹㄴㅇㄹㄴㅇㄹㄴㅇㄹ" hidden="1">{#N/A,#N/A,FALSE,"빌딩claim율";#N/A,#N/A,FALSE,"전력CLAIM율";#N/A,#N/A,FALSE,"SVC산업CLAIM"}</definedName>
    <definedName name="ㄴㅇ너ㅑㅏㅗㅕㅑㅇ" hidden="1">{#N/A,#N/A,FALSE,"골재소요량";#N/A,#N/A,FALSE,"골재소요량"}</definedName>
    <definedName name="ㄴㅇㄹ" hidden="1">{#N/A,#N/A,FALSE,"전력간선"}</definedName>
    <definedName name="ㄴㅇㄹㄴ" hidden="1">{#N/A,"수불부",FALSE,"사급자재수불서";#N/A,"수불부",FALSE,"사급자재수불서"}</definedName>
    <definedName name="ㄴㅇㄹㄴㄷㄴㅇㄻㄴ" hidden="1">{#N/A,#N/A,FALSE,"도급대비시행율";#N/A,#N/A,FALSE,"결의서";#N/A,#N/A,FALSE,"내역서";#N/A,#N/A,FALSE,"도급예상"}</definedName>
    <definedName name="ㄴㅇㄹㄴㄹ">{"'Sheet1'!$D$19","'Sheet1'!$B$22:$E$22"}</definedName>
    <definedName name="ㄴㅇㄹㄴㅁ" hidden="1">#REF!</definedName>
    <definedName name="ㄴㅇㄹㄴㅇㄹ" hidden="1">{#N/A,#N/A,FALSE,"생산성";#N/A,#N/A,FALSE,"인력1";#N/A,#N/A,FALSE,"인력2";#N/A,#N/A,FALSE,"인력3";#N/A,#N/A,FALSE,"인건1";#N/A,#N/A,FALSE,"인건2";#N/A,#N/A,FALSE,"인건3";#N/A,#N/A,FALSE,"인원증감";#N/A,#N/A,FALSE,"인건증감";#N/A,#N/A,FALSE,"표지등"}</definedName>
    <definedName name="ㄴㅇㄹㄴㅇㄹㄴㅇ" hidden="1">{#N/A,#N/A,FALSE,"지침";#N/A,#N/A,FALSE,"환경분석";#N/A,#N/A,FALSE,"Sheet16"}</definedName>
    <definedName name="ㄴㅇㄹㄴㅇㄹㄴㅇㄹㄴㅇㄹㅇㄴㄹㅇㄴㄹㅇㄴㄹㅇㄴㄹㅇㄴㄹㄴㅇㄹ">#REF!</definedName>
    <definedName name="ㄴㅇㄹㄴㅇㄹㄴㅇㅁㄹㄴㄷㅈㄱㄹ" hidden="1">{#N/A,#N/A,FALSE,"이태원철근"}</definedName>
    <definedName name="ㄴㅇㄹㄴㅇㄹㅊㅌㅎ" hidden="1">#REF!</definedName>
    <definedName name="ㄴㅇㄹㄴㅇㄻㄴㅇㄹ" hidden="1">{#N/A,#N/A,FALSE,"이태원철근"}</definedName>
    <definedName name="ㄴㅇㄹㄷ" hidden="1">#REF!</definedName>
    <definedName name="ㄴㅇㄹㄷㅈ" hidden="1">{#N/A,#N/A,FALSE,"단가표지"}</definedName>
    <definedName name="ㄴㅇㄹㄹㄴㅇㅁㄹㄴㅇㅁ" hidden="1">{#N/A,#N/A,FALSE,"운반시간"}</definedName>
    <definedName name="ㄴㅇㄹㅇ" hidden="1">{#N/A,#N/A,FALSE,"단가표지"}</definedName>
    <definedName name="ㄴㅇㄹㅇㄴ" hidden="1">#REF!</definedName>
    <definedName name="ㄴㅇㄹㅇㄴㄹㅇㄴ">#REF!</definedName>
    <definedName name="ㄴㅇㄹㅇㄴㄹㅇㄴㄹ">{"'용역비'!$A$4:$C$8"}</definedName>
    <definedName name="ㄴㅇㄹㅇㄷ">#REF!</definedName>
    <definedName name="ㄴㅇㄹㅇㄹ" hidden="1">{"'용역비'!$A$4:$C$8"}</definedName>
    <definedName name="ㄴㅇㄹㅈㄷㄹ" hidden="1">{#N/A,#N/A,FALSE,"운반시간"}</definedName>
    <definedName name="ㄴㅇㄹㅈㄷㅎ" hidden="1">{#N/A,#N/A,FALSE,"단가표지"}</definedName>
    <definedName name="ㄴㅇㄹㅋㄴㅇㄷㄹㄴㅇㅁㅈㅂㄱㅈㄱㅈㄱㅁㄴㄷㅊㅇㅅㄱ" hidden="1">{#N/A,#N/A,FALSE,"제조원가"}</definedName>
    <definedName name="ㄴㅇㄹ햐" hidden="1">{#N/A,#N/A,FALSE,"기안지";#N/A,#N/A,FALSE,"통신지"}</definedName>
    <definedName name="ㄴㅇ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러도ㅕㅇ" hidden="1">{#N/A,#N/A,FALSE,"단가표지"}</definedName>
    <definedName name="ㄴㅇ러ㅗ더" hidden="1">{#N/A,#N/A,FALSE,"혼합골재"}</definedName>
    <definedName name="ㄴㅇ러ㅜㅠㄹㅇ" hidden="1">{#N/A,#N/A,FALSE,"2~8번"}</definedName>
    <definedName name="ㄴㅇ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로ㅕㅇ" hidden="1">{#N/A,#N/A,FALSE,"2~8번"}</definedName>
    <definedName name="ㄴㅇ로ㅠㅎ" hidden="1">{#N/A,#N/A,FALSE,"구조2"}</definedName>
    <definedName name="ㄴㅇ롷교" hidden="1">{#N/A,#N/A,FALSE,"단가표지"}</definedName>
    <definedName name="ㄴㅇ롷ㄺ" hidden="1">{#N/A,#N/A,FALSE,"단가표지"}</definedName>
    <definedName name="ㄴㅇㅁ" hidden="1">{#N/A,#N/A,FALSE,"이태원철근"}</definedName>
    <definedName name="ㄴㅇㅁㄴㄴㅁ" localSheetId="0">BlankMacro1</definedName>
    <definedName name="ㄴㅇㅁㄴㄴㅁ">BlankMacro1</definedName>
    <definedName name="ㄴㅇㅁㄴㅇ" hidden="1">{#N/A,#N/A,TRUE,"토적및재료집계";#N/A,#N/A,TRUE,"토적및재료집계";#N/A,#N/A,TRUE,"단위량"}</definedName>
    <definedName name="ㄴㅇㅁㄴㅇㅂㅈㄷㅁㄴ" hidden="1">{#N/A,#N/A,FALSE,"이태원철근"}</definedName>
    <definedName name="ㄴㅇㅁㄹㄴㅁㅇ" hidden="1">{#N/A,#N/A,FALSE,"단가표지"}</definedName>
    <definedName name="ㄴㅇㅁㄹㄴㅁㅇㄹ" hidden="1">{"'용역비'!$A$4:$C$8"}</definedName>
    <definedName name="ㄴㅇㅁㄹㄴㅇㄹㄴㅇㅁㄹㄴㅇㅁ" hidden="1">{#N/A,#N/A,FALSE,"이태원철근"}</definedName>
    <definedName name="ㄴㅇㅁㄹㄴㅇㄻㄴㅇㄹ" hidden="1">{#N/A,#N/A,FALSE,"이태원철근"}</definedName>
    <definedName name="ㄴㅇㅁㄹㅇㅁㅇㄹ" hidden="1">#REF!</definedName>
    <definedName name="ㄴㅇㅁㅎㄴㅇㅁㄻㄴㅇㅎㅁㄴㅇㅎ" hidden="1">{#N/A,#N/A,FALSE,"이태원철근"}</definedName>
    <definedName name="ㄴㅇㅁㅎㄹ" hidden="1">{#N/A,#N/A,FALSE,"견적조건";#N/A,#N/A,FALSE,"산출근거"}</definedName>
    <definedName name="ㄴㅇㅁㅎ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ㅇㅁㄻㄴ" hidden="1">#REF!</definedName>
    <definedName name="ㄴㅇㅁㄻㄴㅇㅎㅁㄴㅇㅎ" hidden="1">{#N/A,#N/A,FALSE,"이태원철근"}</definedName>
    <definedName name="ㄴㅇㅂㅈㄷㅇㅁㄴㅇㅁㅈㄷ" hidden="1">{#N/A,#N/A,FALSE,"이태원철근"}</definedName>
    <definedName name="ㄴㅇㅇ" hidden="1">#REF!</definedName>
    <definedName name="ㄴㅇㅇㄹㄴㅇ" hidden="1">{"'Sheet1'!$A$4:$M$21","'Sheet1'!$J$17:$K$19"}</definedName>
    <definedName name="ㄴㅇㅇㄹㄹㄹㄹ" hidden="1">{#N/A,#N/A,FALSE,"운반시간"}</definedName>
    <definedName name="ㄴㅇㅇㅇ" hidden="1">{#N/A,#N/A,FALSE,"운반시간"}</definedName>
    <definedName name="ㄴㅇㅇㅎ">#REF!</definedName>
    <definedName name="ㄴㅇㅈㄷㄷㅇ" hidden="1">{#N/A,#N/A,FALSE,"단가표지"}</definedName>
    <definedName name="ㄴㅇㅈㅇ" hidden="1">{#N/A,#N/A,FALSE,"운반시간"}</definedName>
    <definedName name="ㄴㅇㅍㅁㄴㅇㄹ" hidden="1">#REF!</definedName>
    <definedName name="ㄴㅇㅍㅊㅇ">#REF!</definedName>
    <definedName name="ㄴㅇㅎ" hidden="1">{#N/A,#N/A,FALSE,"현장 NCR 분석";#N/A,#N/A,FALSE,"현장품질감사";#N/A,#N/A,FALSE,"현장품질감사"}</definedName>
    <definedName name="ㄴㅇㅎㄴㄹㅇ" hidden="1">#REF!</definedName>
    <definedName name="ㄴㅇㅎㄴㄹㅇㅎ">#REF!</definedName>
    <definedName name="ㄴㅇㅎㄴㅇ" hidden="1">#REF!</definedName>
    <definedName name="ㄴㅇㅎㄷㅈㄳㄷ" hidden="1">#REF!</definedName>
    <definedName name="ㄴㅇㅎㄹㄷㅁㄱ" localSheetId="0">BlankMacro1</definedName>
    <definedName name="ㄴㅇㅎㄹㄷㅁㄱ">BlankMacro1</definedName>
    <definedName name="ㄴㅇㅎㅅㄱ" hidden="1">{#N/A,#N/A,FALSE,"보고목차";#N/A,#N/A,FALSE,"1)서비스접수";#N/A,#N/A,FALSE,"2)상담";#N/A,#N/A,FALSE,"2.월별접수추이현황";#N/A,#N/A,FALSE,"3.일자별접수현황";#N/A,#N/A,FALSE,"4.상담내용";#N/A,#N/A,FALSE,"5.미처리현황";#N/A,#N/A,FALSE,"6.재발방지";#N/A,#N/A,FALSE,"7.당월주요문제점"}</definedName>
    <definedName name="ㄴㅇㅎㅇㅎ" hidden="1">{#N/A,#N/A,FALSE,"구조2"}</definedName>
    <definedName name="ㄴㅇㅎ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허">#REF!</definedName>
    <definedName name="ㄴㅇ혿ㄳ" hidden="1">{#N/A,#N/A,FALSE,"단가표지"}</definedName>
    <definedName name="ㄴㅇ홍ㄹ뫃ㄴㅇ" hidden="1">{#N/A,#N/A,FALSE,"지침";#N/A,#N/A,FALSE,"환경분석";#N/A,#N/A,FALSE,"Sheet16"}</definedName>
    <definedName name="ㄴㅇ홎ㅁㄱ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ㅎㄻㄴㄻㄴㅇ" hidden="1">{#N/A,#N/A,FALSE,"이태원철근"}</definedName>
    <definedName name="ㄴㅇㅀ" hidden="1">{#N/A,#N/A,FALSE,"토공2"}</definedName>
    <definedName name="ㄴㅇㅀ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ㅀㄴㅇㅀ" hidden="1">#REF!</definedName>
    <definedName name="ㄴㅇㅀㄷㅎㅌㅇ" hidden="1">{#N/A,#N/A,FALSE,"단가표지"}</definedName>
    <definedName name="ㄴ아럭" hidden="1">{#N/A,#N/A,FALSE,"단가표지"}</definedName>
    <definedName name="ㄴ어로ㅓㅁ오너ㅏㄹ왈" hidden="1">{#N/A,#N/A,FALSE,"혼합골재"}</definedName>
    <definedName name="ㄴ어로ㅕㄷㄹ" hidden="1">{#N/A,#N/A,FALSE,"표지목차"}</definedName>
    <definedName name="ㄴ어ㅔㅇ" hidden="1">{#N/A,#N/A,FALSE,"전력간선"}</definedName>
    <definedName name="ㄴ어ㅔㅇ_1" hidden="1">{#N/A,#N/A,FALSE,"전력간선"}</definedName>
    <definedName name="ㄴ어ㅗㅎㄹ" hidden="1">{#N/A,#N/A,FALSE,"골재소요량";#N/A,#N/A,FALSE,"골재소요량"}</definedName>
    <definedName name="ㄴ오ㄴ">#N/A</definedName>
    <definedName name="ㄴ오ㅓㅎㄺㄷㄹ" hidden="1">{#N/A,#N/A,FALSE,"표지목차"}</definedName>
    <definedName name="ㄴ온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윤"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이">#REF!</definedName>
    <definedName name="ㄴㅇㄺ" hidden="1">{#N/A,#N/A,FALSE,"표지목차"}</definedName>
    <definedName name="ㄴㅇㄺㄷ" hidden="1">{#N/A,#N/A,FALSE,"혼합골재"}</definedName>
    <definedName name="ㄴㅇㄺㄷㅎ" hidden="1">{#N/A,#N/A,FALSE,"단가표지"}</definedName>
    <definedName name="ㄴㅇㄺㄷㅎㄺㄷㅎ" hidden="1">{#N/A,#N/A,FALSE,"2~8번"}</definedName>
    <definedName name="ㄴㅇㄻ" hidden="1">#REF!</definedName>
    <definedName name="ㄴㅇㄻㄴ" hidden="1">{#N/A,#N/A,FALSE,"기안지";#N/A,#N/A,FALSE,"통신지"}</definedName>
    <definedName name="ㄴㅇㄻㄴㅇㄹ" hidden="1">{#N/A,#N/A,FALSE,"이태원철근"}</definedName>
    <definedName name="ㄴㅇㄻㄴㅇㄻ"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ㄴㅇㄻㄴㅇ" hidden="1">{#N/A,#N/A,FALSE,"이태원철근"}</definedName>
    <definedName name="ㄴㅇㄻㄷㄱㄹ">#REF!</definedName>
    <definedName name="ㄴㅇㄼㅈㄷㄹ" hidden="1">#REF!</definedName>
    <definedName name="ㄴㅇㄿ" hidden="1">{#N/A,#N/A,FALSE,"기안지";#N/A,#N/A,FALSE,"통신지"}</definedName>
    <definedName name="ㄴ젖"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ㅊㄴㅊㄴㅊ">#REF!</definedName>
    <definedName name="ㄴㅊㅇㄱ퓨" hidden="1">{#N/A,#N/A,FALSE,"전력간선"}</definedName>
    <definedName name="ㄴㅌ" hidden="1">#REF!</definedName>
    <definedName name="ㄴㅌㄴㅌ" hidden="1">{#N/A,#N/A,FALSE,"CCTV"}</definedName>
    <definedName name="ㄴㅍㅊㅌㅊ">#REF!</definedName>
    <definedName name="ㄴ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혹ㅈ">#REF!</definedName>
    <definedName name="ㄴ홎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흂" hidden="1">{#N/A,#N/A,FALSE,"단가표지"}</definedName>
    <definedName name="ㄴㅀ" hidden="1">#REF!</definedName>
    <definedName name="ㄴㅀㄷㅅ" hidden="1">{#N/A,#N/A,FALSE,"단가표지"}</definedName>
    <definedName name="ㄴㅀㄶㄹㅇ">#N/A</definedName>
    <definedName name="나">#REF!</definedName>
    <definedName name="나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#REF!</definedName>
    <definedName name="나.주거공단완충녹지시설물공">#N/A</definedName>
    <definedName name="나ㄴㅏ">#REF!</definedName>
    <definedName name="나나나" hidden="1">{#N/A,#N/A,FALSE,"운반시간"}</definedName>
    <definedName name="나나나나" localSheetId="0">Dlog_Show</definedName>
    <definedName name="나나나나">Dlog_Show</definedName>
    <definedName name="나나나미">#REF!</definedName>
    <definedName name="나다">#REF!</definedName>
    <definedName name="나라" hidden="1">{#N/A,#N/A,FALSE,"지침";#N/A,#N/A,FALSE,"환경분석";#N/A,#N/A,FALSE,"Sheet16"}</definedName>
    <definedName name="나라말" hidden="1">{#N/A,#N/A,FALSE,"혼합골재"}</definedName>
    <definedName name="나래이터" hidden="1">{#N/A,#N/A,FALSE,"집계";#N/A,#N/A,FALSE,"표지";#N/A,#N/A,FALSE,"터빈집계";#N/A,#N/A,FALSE,"터빈내역";#N/A,#N/A,FALSE,"주제어집계";#N/A,#N/A,FALSE,"주제어내역";#N/A,#N/A,FALSE,"보일러집계";#N/A,#N/A,FALSE,"보일러내역"}</definedName>
    <definedName name="나렂89" hidden="1">{#N/A,#N/A,FALSE,"단가표지"}</definedName>
    <definedName name="나로ㅛㄱ" hidden="1">{#N/A,#N/A,FALSE,"표지목차"}</definedName>
    <definedName name="나롷ㄹ" hidden="1">{#N/A,#N/A,FALSE,"표지목차"}</definedName>
    <definedName name="나무">#REF!</definedName>
    <definedName name="나미" hidden="1">{#N/A,#N/A,FALSE,"운반시간"}</definedName>
    <definedName name="나박카스">#N/A</definedName>
    <definedName name="나비">#REF!</definedName>
    <definedName name="나사식_이음">#REF!</definedName>
    <definedName name="나야">#REF!</definedName>
    <definedName name="나야나" hidden="1">{#N/A,#N/A,FALSE,"현장 NCR 분석";#N/A,#N/A,FALSE,"현장품질감사";#N/A,#N/A,FALSE,"현장품질감사"}</definedName>
    <definedName name="나어ㅕㅑㄹ" hidden="1">{#N/A,#N/A,FALSE,"단가표지"}</definedName>
    <definedName name="나얼" hidden="1">{#N/A,#N/A,FALSE,"혼합골재"}</definedName>
    <definedName name="나울힐" hidden="1">{#N/A,#N/A,FALSE,"2~8번"}</definedName>
    <definedName name="나이" hidden="1">{#N/A,#N/A,FALSE,"현장 NCR 분석";#N/A,#N/A,FALSE,"현장품질감사";#N/A,#N/A,FALSE,"현장품질감사"}</definedName>
    <definedName name="나틈터널">#REF!</definedName>
    <definedName name="나ㅏㄷ" hidden="1">{#N/A,#N/A,FALSE,"운반시간"}</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ㅗ룍ㄷㅀ" hidden="1">{#N/A,#N/A,FALSE,"조골재"}</definedName>
    <definedName name="나ㅗ허ㅡㅕ">#REF!</definedName>
    <definedName name="나ㅗㅀㄱ" hidden="1">{#N/A,#N/A,FALSE,"골재소요량";#N/A,#N/A,FALSE,"골재소요량"}</definedName>
    <definedName name="낙_석_방_지_망__개_소_별_명_세">#REF!</definedName>
    <definedName name="낙_석_방_지_책__개_소_별_명_세">#REF!</definedName>
    <definedName name="낙_석_방_지_책__수_량_집_계">#REF!</definedName>
    <definedName name="낙거">#REF!</definedName>
    <definedName name="낙단거">#REF!</definedName>
    <definedName name="낙단콘">#REF!</definedName>
    <definedName name="낙산홍4노무">#REF!</definedName>
    <definedName name="낙산홍4재료">#REF!</definedName>
    <definedName name="낙산홍6노무">#REF!</definedName>
    <definedName name="낙산홍6재료">#REF!</definedName>
    <definedName name="낙상홍1004">#REF!</definedName>
    <definedName name="낙상홍1506">#REF!</definedName>
    <definedName name="낙상홍1808">#REF!</definedName>
    <definedName name="낙상홍2010">#REF!</definedName>
    <definedName name="낙상홍2515">#REF!</definedName>
    <definedName name="낙우송6노무">#REF!</definedName>
    <definedName name="낙우송6재료">#REF!</definedName>
    <definedName name="낙우송8노무">#REF!</definedName>
    <definedName name="낙우송8재료">#REF!</definedName>
    <definedName name="낙우송R10">#REF!</definedName>
    <definedName name="낙우송R12">#REF!</definedName>
    <definedName name="낙우송R5">#REF!</definedName>
    <definedName name="낙우송R6">#REF!</definedName>
    <definedName name="낙우송R8">#REF!</definedName>
    <definedName name="낙중">#REF!</definedName>
    <definedName name="낙중거">#REF!</definedName>
    <definedName name="낙중콘">#REF!</definedName>
    <definedName name="낙차">#REF!</definedName>
    <definedName name="낙차공" hidden="1">{#N/A,#N/A,FALSE,"2~8번"}</definedName>
    <definedName name="낙차보설치위치">#REF!</definedName>
    <definedName name="낙찰">#REF!</definedName>
    <definedName name="낙찰가">#N/A</definedName>
    <definedName name="낙찰률">#REF!</definedName>
    <definedName name="낙찰율">#REF!</definedName>
    <definedName name="낙찰율적용가">#REF!</definedName>
    <definedName name="낙책">{"Book1","부대-(표지판,데리,가드).xls","부대-(낙,차,중분대).xls"}</definedName>
    <definedName name="낙초">#REF!</definedName>
    <definedName name="낙총거">#REF!</definedName>
    <definedName name="낙총콘">#REF!</definedName>
    <definedName name="낙하물" hidden="1">#REF!</definedName>
    <definedName name="낙하물방비망">#REF!</definedName>
    <definedName name="낙하물방지">#REF!</definedName>
    <definedName name="낙하물방지.">#REF!</definedName>
    <definedName name="낙하물방지공">#REF!</definedName>
    <definedName name="낙하물방지망경비">#REF!</definedName>
    <definedName name="낙하물방지망노무">#REF!</definedName>
    <definedName name="낙하물방지망재료">#REF!</definedName>
    <definedName name="난간">#REF!</definedName>
    <definedName name="난간다">#REF!</definedName>
    <definedName name="난두">#REF!</definedName>
    <definedName name="난반공사" hidden="1">{#N/A,#N/A,FALSE,"현장 NCR 분석";#N/A,#N/A,FALSE,"현장품질감사";#N/A,#N/A,FALSE,"현장품질감사"}</definedName>
    <definedName name="난방">{"서울냉천 3차( 5. 6-7).xls","Sheet1"}</definedName>
    <definedName name="난방4">{"서울냉천 3차( 5. 6-7).xls","Sheet1"}</definedName>
    <definedName name="난방관경">#REF!</definedName>
    <definedName name="난방관경1">#REF!</definedName>
    <definedName name="난방교환기">#REF!</definedName>
    <definedName name="난방교환기1">#REF!</definedName>
    <definedName name="난방기_대수">#REF!</definedName>
    <definedName name="난방매수">#N/A</definedName>
    <definedName name="난방면적">#REF!</definedName>
    <definedName name="난방면적1">#REF!</definedName>
    <definedName name="난방배관경">#REF!</definedName>
    <definedName name="난방배관경1">#REF!</definedName>
    <definedName name="난방용량">#N/A</definedName>
    <definedName name="난방중온수">#REF!</definedName>
    <definedName name="난방중온수1">#REF!</definedName>
    <definedName name="난방펌프">#REF!</definedName>
    <definedName name="난방펌프1">#REF!</definedName>
    <definedName name="난이도">#N/A</definedName>
    <definedName name="난ㅀㄱ됼" hidden="1">{#N/A,#N/A,FALSE,"운반시간"}</definedName>
    <definedName name="날개" hidden="1">#REF!</definedName>
    <definedName name="날개벽단면검토" hidden="1">#REF!</definedName>
    <definedName name="날개벽토공">#REF!</definedName>
    <definedName name="날개벽토공수량1">#REF!</definedName>
    <definedName name="날짜">#REF!</definedName>
    <definedName name="남">#REF!</definedName>
    <definedName name="남광건">#REF!</definedName>
    <definedName name="남광기">#REF!</definedName>
    <definedName name="남광조">#REF!</definedName>
    <definedName name="남광철">#REF!</definedName>
    <definedName name="남광토">#REF!</definedName>
    <definedName name="남남" hidden="1">#REF!</definedName>
    <definedName name="남덕" localSheetId="0">BlankMacro1</definedName>
    <definedName name="남덕">BlankMacro1</definedName>
    <definedName name="남덕1" localSheetId="0">BlankMacro1</definedName>
    <definedName name="남덕1">BlankMacro1</definedName>
    <definedName name="남산1호">#REF!</definedName>
    <definedName name="남산2호">#REF!</definedName>
    <definedName name="남서울" hidden="1">#REF!</definedName>
    <definedName name="남서울문화체육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남양">#REF!</definedName>
    <definedName name="남양1">#REF!</definedName>
    <definedName name="남양2">#REF!</definedName>
    <definedName name="남양단가">#REF!</definedName>
    <definedName name="남양주화도흙막이">#REF!</definedName>
    <definedName name="남양주화도흙막이1">#REF!</definedName>
    <definedName name="남윤">{"'용역비'!$A$4:$C$8"}</definedName>
    <definedName name="남천H1.2">#REF!</definedName>
    <definedName name="남학생내역서" hidden="1">{#N/A,#N/A,FALSE,"Sheet1"}</definedName>
    <definedName name="남해">#REF!</definedName>
    <definedName name="남해건">#REF!</definedName>
    <definedName name="남해기">#REF!</definedName>
    <definedName name="남해토">#REF!</definedName>
    <definedName name="남현간접비재산정" hidden="1">#REF!</definedName>
    <definedName name="납기일">#REF!</definedName>
    <definedName name="낭" hidden="1">{#N/A,#N/A,FALSE,"현장 NCR 분석";#N/A,#N/A,FALSE,"현장품질감사";#N/A,#N/A,FALSE,"현장품질감사"}</definedName>
    <definedName name="내">#N/A</definedName>
    <definedName name="내___장___공">#REF!</definedName>
    <definedName name="내_선__전_공">#REF!</definedName>
    <definedName name="내고">#REF!</definedName>
    <definedName name="내고가" hidden="1">{#N/A,#N/A,FALSE,"물량산출"}</definedName>
    <definedName name="내곡초토목" localSheetId="0">Dlog_Show</definedName>
    <definedName name="내곡초토목">Dlog_Show</definedName>
    <definedName name="내공넓이">#REF!</definedName>
    <definedName name="내공높이">#REF!</definedName>
    <definedName name="내공높이h">#REF!</definedName>
    <definedName name="내공변위">#REF!</definedName>
    <definedName name="내공폭">#REF!</definedName>
    <definedName name="내공b">#REF!</definedName>
    <definedName name="내공H">#REF!</definedName>
    <definedName name="내공V">#REF!</definedName>
    <definedName name="내녁">#REF!</definedName>
    <definedName name="내벽">#REF!</definedName>
    <definedName name="내부거래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부말비계경비">#REF!</definedName>
    <definedName name="내부말비계노무">#REF!</definedName>
    <definedName name="내부말비계재료">#REF!</definedName>
    <definedName name="내서" hidden="1">{#N/A,#N/A,FALSE,"전열산출서"}</definedName>
    <definedName name="내선">#REF!</definedName>
    <definedName name="내선2004">#REF!</definedName>
    <definedName name="내선전공">#REF!</definedName>
    <definedName name="내선전공001">#REF!</definedName>
    <definedName name="내선전공002">#REF!</definedName>
    <definedName name="내선전공011">#REF!</definedName>
    <definedName name="내선전공982">#REF!</definedName>
    <definedName name="내선전공991">#REF!</definedName>
    <definedName name="내선전공992">#REF!</definedName>
    <definedName name="내역">#REF!</definedName>
    <definedName name="내역_1" hidden="1">{#N/A,#N/A,FALSE,"CCTV"}</definedName>
    <definedName name="내역.." hidden="1">#REF!</definedName>
    <definedName name="내역1">#REF!</definedName>
    <definedName name="내역2" hidden="1">{#N/A,#N/A,FALSE,"단가표지"}</definedName>
    <definedName name="내역3" hidden="1">{#N/A,#N/A,FALSE,"산출근거변환"}</definedName>
    <definedName name="내역32">#REF!</definedName>
    <definedName name="내역갑지">#REF!</definedName>
    <definedName name="내역노무"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대비2">#REF!</definedName>
    <definedName name="내역량">#REF!</definedName>
    <definedName name="내역비교">#REF!</definedName>
    <definedName name="내역산출근거" hidden="1">{#N/A,#N/A,TRUE,"1";#N/A,#N/A,TRUE,"2";#N/A,#N/A,TRUE,"3";#N/A,#N/A,TRUE,"4";#N/A,#N/A,TRUE,"5";#N/A,#N/A,TRUE,"6";#N/A,#N/A,TRUE,"7"}</definedName>
    <definedName name="내역산출근거_1" hidden="1">{#N/A,#N/A,TRUE,"1";#N/A,#N/A,TRUE,"2";#N/A,#N/A,TRUE,"3";#N/A,#N/A,TRUE,"4";#N/A,#N/A,TRUE,"5";#N/A,#N/A,TRUE,"6";#N/A,#N/A,TRUE,"7"}</definedName>
    <definedName name="내역서" hidden="1">{#N/A,#N/A,FALSE,"단가표지"}</definedName>
    <definedName name="내역서_1" hidden="1">{#N/A,#N/A,FALSE,"CCTV"}</definedName>
    <definedName name="내역서1" hidden="1">{#N/A,#N/A,FALSE,"전력간선"}</definedName>
    <definedName name="내역서2" hidden="1">{"'건축내역'!$A$1:$L$413"}</definedName>
    <definedName name="내역서222" hidden="1">{#N/A,#N/A,FALSE,"단가표지"}</definedName>
    <definedName name="내역서3안" hidden="1">{"'제10장(표)'!$A$5:$L$10"}</definedName>
    <definedName name="내역서가시설공">#REF!</definedName>
    <definedName name="내역서갑지" hidden="1">{#N/A,#N/A,FALSE,"전력간선"}</definedName>
    <definedName name="내역서갑지1" hidden="1">{#N/A,#N/A,FALSE,"전력간선"}</definedName>
    <definedName name="내역서갑지2" hidden="1">{#N/A,#N/A,FALSE,"전력간선"}</definedName>
    <definedName name="내역서갑지3" hidden="1">{#N/A,#N/A,FALSE,"전력간선"}</definedName>
    <definedName name="내역서갑지4" hidden="1">{#N/A,#N/A,FALSE,"전력간선"}</definedName>
    <definedName name="내역서갑지5" hidden="1">{#N/A,#N/A,FALSE,"전력간선"}</definedName>
    <definedName name="내역서갑지6" hidden="1">{#N/A,#N/A,FALSE,"전력간선"}</definedName>
    <definedName name="내역서갑지7" hidden="1">{#N/A,#N/A,FALSE,"전력간선"}</definedName>
    <definedName name="내역서갑지8" hidden="1">{#N/A,#N/A,FALSE,"전력간선"}</definedName>
    <definedName name="내역서갑지9" hidden="1">{#N/A,#N/A,FALSE,"전력간선"}</definedName>
    <definedName name="내역서경비동" hidden="1">{"'공사부문'!$A$6:$A$32"}</definedName>
    <definedName name="내역서구조물공">#REF!</definedName>
    <definedName name="내역서배수공">#REF!</definedName>
    <definedName name="내역서부대공">#REF!</definedName>
    <definedName name="내역서을지">#REF!</definedName>
    <definedName name="내역서최종" hidden="1">{#N/A,#N/A,TRUE,"토적및재료집계";#N/A,#N/A,TRUE,"토적및재료집계";#N/A,#N/A,TRUE,"단위량"}</definedName>
    <definedName name="내역서토공">#REF!</definedName>
    <definedName name="내역서포장공">#REF!</definedName>
    <definedName name="내역수량">#REF!</definedName>
    <definedName name="내역압축">#REF!</definedName>
    <definedName name="내역압축경비">#REF!</definedName>
    <definedName name="내역압축노무">#REF!</definedName>
    <definedName name="내역압축자재">#REF!</definedName>
    <definedName name="내역점검" hidden="1">{#N/A,#N/A,FALSE,"전력간선"}</definedName>
    <definedName name="내역집계" hidden="1">{#N/A,#N/A,FALSE,"포장단가"}</definedName>
    <definedName name="내역표" hidden="1">{#N/A,#N/A,FALSE,"Sheet1"}</definedName>
    <definedName name="내엯1">#N/A</definedName>
    <definedName name="내용" hidden="1">{#N/A,#N/A,FALSE,"현장 NCR 분석";#N/A,#N/A,FALSE,"현장품질감사";#N/A,#N/A,FALSE,"현장품질감사"}</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공">#REF!</definedName>
    <definedName name="내장공001">#REF!</definedName>
    <definedName name="내장공002">#REF!</definedName>
    <definedName name="내장공011">#REF!</definedName>
    <definedName name="내장공982">#REF!</definedName>
    <definedName name="내장공991">#REF!</definedName>
    <definedName name="내장공992">#REF!</definedName>
    <definedName name="내장사정율">79%</definedName>
    <definedName name="내전">#REF!</definedName>
    <definedName name="내진">#REF!</definedName>
    <definedName name="내화피복">#N/A</definedName>
    <definedName name="낵역4">#REF!</definedName>
    <definedName name="낷">#REF!</definedName>
    <definedName name="냉각수펌프">#REF!/(#REF!-1)</definedName>
    <definedName name="냉난방">#REF!</definedName>
    <definedName name="냉동설비" hidden="1">{#N/A,#N/A,FALSE,"견적갑지";#N/A,#N/A,FALSE,"총괄표";#N/A,#N/A,FALSE,"철골공사";#N/A,#N/A,FALSE,"토목공사";#N/A,#N/A,FALSE,"판넬전기공사"}</definedName>
    <definedName name="냉샐행">#REF!</definedName>
    <definedName name="냉전" hidden="1">{#N/A,#N/A,FALSE,"Sheet1"}</definedName>
    <definedName name="냉천" hidden="1">#REF!</definedName>
    <definedName name="냉천동1">#N/A</definedName>
    <definedName name="냉천부속동">#REF!</definedName>
    <definedName name="냥" hidden="1">{#N/A,#N/A,FALSE,"기안지";#N/A,#N/A,FALSE,"통신지"}</definedName>
    <definedName name="너" hidden="1">{#N/A,#N/A,FALSE,"기안지";#N/A,#N/A,FALSE,"통신지"}</definedName>
    <definedName name="너로ㅛㄷㅎㄹㅈ" hidden="1">{#N/A,#N/A,FALSE,"단가표지"}</definedName>
    <definedName name="너므라" hidden="1">{#N/A,#N/A,FALSE,"운반시간"}</definedName>
    <definedName name="너우리자이" hidden="1">{#N/A,#N/A,FALSE,"조골재"}</definedName>
    <definedName name="너의" hidden="1">{#N/A,#N/A,FALSE,"혼합골재"}</definedName>
    <definedName name="너호라ㅓ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ㅏㅛㄷ쇼ㅡㅏ" hidden="1">#REF!</definedName>
    <definedName name="너ㅗ뇨ㅜ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ㅎ료" hidden="1">{#N/A,#N/A,FALSE,"조골재"}</definedName>
    <definedName name="너ㅗㅎ숃" hidden="1">{#N/A,#N/A,FALSE,"혼합골재"}</definedName>
    <definedName name="너ㅗ호룓ㅈㄹ" hidden="1">{#N/A,#N/A,FALSE,"조골재"}</definedName>
    <definedName name="너ㅗㅗ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ㄺㄹ" hidden="1">{#N/A,#N/A,FALSE,"운반시간"}</definedName>
    <definedName name="너ㅠ오ㅗㅠㅇ" hidden="1">{#N/A,#N/A,FALSE,"표지목차"}</definedName>
    <definedName name="너ㅡㅠㅗㅜㅡ호" hidden="1">{#N/A,#N/A,FALSE,"골재소요량";#N/A,#N/A,FALSE,"골재소요량"}</definedName>
    <definedName name="넘기시고" hidden="1">{#N/A,#N/A,FALSE,"2~8번"}</definedName>
    <definedName name="넝" hidden="1">{#N/A,#N/A,FALSE,"현장 NCR 분석";#N/A,#N/A,FALSE,"현장품질감사";#N/A,#N/A,FALSE,"현장품질감사"}</definedName>
    <definedName name="넝ㅀㄹ됻" hidden="1">{#N/A,#N/A,FALSE,"조골재"}</definedName>
    <definedName name="넣ㄹ뎌ㅓ" hidden="1">{#N/A,#N/A,FALSE,"혼합골재"}</definedName>
    <definedName name="넣러" hidden="1">{#N/A,#N/A,FALSE,"표지목차"}</definedName>
    <definedName name="네" localSheetId="0">BlankMacro1</definedName>
    <definedName name="네">BlankMacro1</definedName>
    <definedName name="네고">#REF!</definedName>
    <definedName name="넷월">#REF!</definedName>
    <definedName name="녀ㅛ룓ㄷ" hidden="1">{#N/A,#N/A,FALSE,"조골재"}</definedName>
    <definedName name="녀ㅛㅅㅎㅁ" hidden="1">{#N/A,#N/A,FALSE,"운반시간"}</definedName>
    <definedName name="년">#REF!</definedName>
    <definedName name="년내역표" localSheetId="0">ErrorHandler_1</definedName>
    <definedName name="년내역표">ErrorHandler_1</definedName>
    <definedName name="년초99">#REF!</definedName>
    <definedName name="년초기준" hidden="1">{#N/A,#N/A,FALSE,"생산성";#N/A,#N/A,FALSE,"인력1";#N/A,#N/A,FALSE,"인력2";#N/A,#N/A,FALSE,"인력3";#N/A,#N/A,FALSE,"인건1";#N/A,#N/A,FALSE,"인건2";#N/A,#N/A,FALSE,"인건3";#N/A,#N/A,FALSE,"인원증감";#N/A,#N/A,FALSE,"인건증감";#N/A,#N/A,FALSE,"표지등"}</definedName>
    <definedName name="노">#REF!</definedName>
    <definedName name="노______무______비">#REF!</definedName>
    <definedName name="노___즐___공">#REF!</definedName>
    <definedName name="노__무__비">#REF!</definedName>
    <definedName name="노_면_표_시_개_소_별_명_세">#REF!</definedName>
    <definedName name="노01">#REF!</definedName>
    <definedName name="노02_1">#REF!</definedName>
    <definedName name="노02_2">#REF!</definedName>
    <definedName name="노03">#REF!</definedName>
    <definedName name="노04">#REF!</definedName>
    <definedName name="노05">#REF!</definedName>
    <definedName name="노06">#REF!</definedName>
    <definedName name="노07">#REF!</definedName>
    <definedName name="노08">#REF!</definedName>
    <definedName name="노09">#REF!</definedName>
    <definedName name="노1">#REF!</definedName>
    <definedName name="노10">#REF!</definedName>
    <definedName name="노11">#REF!</definedName>
    <definedName name="노12">#REF!</definedName>
    <definedName name="노13">#REF!</definedName>
    <definedName name="노14">#REF!</definedName>
    <definedName name="노15">#REF!</definedName>
    <definedName name="노16">#REF!</definedName>
    <definedName name="노17">#REF!</definedName>
    <definedName name="노18">#REF!</definedName>
    <definedName name="노19">#REF!</definedName>
    <definedName name="노2">#REF!</definedName>
    <definedName name="노20">#REF!</definedName>
    <definedName name="노21">#REF!</definedName>
    <definedName name="노22">#REF!</definedName>
    <definedName name="노23">#REF!</definedName>
    <definedName name="노24">#REF!</definedName>
    <definedName name="노25">#REF!</definedName>
    <definedName name="노26">#REF!</definedName>
    <definedName name="노27">#REF!</definedName>
    <definedName name="노28">#REF!</definedName>
    <definedName name="노29">#REF!</definedName>
    <definedName name="노3">#REF!</definedName>
    <definedName name="노30">#REF!</definedName>
    <definedName name="노31">#REF!</definedName>
    <definedName name="노32">#REF!</definedName>
    <definedName name="노33">#REF!</definedName>
    <definedName name="노34">#REF!</definedName>
    <definedName name="노35">#REF!</definedName>
    <definedName name="노36">#REF!</definedName>
    <definedName name="노4">#REF!</definedName>
    <definedName name="노5">#REF!</definedName>
    <definedName name="노6">#REF!</definedName>
    <definedName name="노계1" localSheetId="0">BLCH</definedName>
    <definedName name="노계1">BLCH</definedName>
    <definedName name="노곡1호">#REF!</definedName>
    <definedName name="노곡2호">#REF!</definedName>
    <definedName name="노곡3호">#REF!</definedName>
    <definedName name="노곡4호">#REF!</definedName>
    <definedName name="노곡가도교">#REF!</definedName>
    <definedName name="노곡교">#REF!</definedName>
    <definedName name="노금액">#REF!</definedName>
    <definedName name="노금액1">#REF!</definedName>
    <definedName name="노ㄴ호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노">#REF!</definedName>
    <definedName name="노노허나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논">#N/A</definedName>
    <definedName name="노단">#REF!</definedName>
    <definedName name="노대제수로" hidden="1">{#N/A,#N/A,FALSE,"조골재"}</definedName>
    <definedName name="노르웨이R12">#REF!</definedName>
    <definedName name="노르웨이R15">#REF!</definedName>
    <definedName name="노르웨이R4">#REF!</definedName>
    <definedName name="노르웨이R5">#REF!</definedName>
    <definedName name="노르웨이R6">#REF!</definedName>
    <definedName name="노르웨이R8">#REF!</definedName>
    <definedName name="노리다" hidden="1">{#N/A,#N/A,FALSE,"2~8번"}</definedName>
    <definedName name="노면파쇄5경비">#REF!</definedName>
    <definedName name="노면파쇄5계">#REF!</definedName>
    <definedName name="노면파쇄5노무비">#REF!</definedName>
    <definedName name="노면파쇄5재료비">#REF!</definedName>
    <definedName name="노면파쇄7경비">#REF!</definedName>
    <definedName name="노면파쇄7계">#REF!</definedName>
    <definedName name="노면파쇄7노무비">#REF!</definedName>
    <definedName name="노면파쇄7재료비">#REF!</definedName>
    <definedName name="노무">#REF!</definedName>
    <definedName name="노무2" hidden="1">{#N/A,#N/A,FALSE,"현장 NCR 분석";#N/A,#N/A,FALSE,"현장품질감사";#N/A,#N/A,FALSE,"현장품질감사"}</definedName>
    <definedName name="노무3">#REF!</definedName>
    <definedName name="노무공량">#REF!</definedName>
    <definedName name="노무단가">#REF!</definedName>
    <definedName name="노무비">#REF!</definedName>
    <definedName name="노무비1">#REF!</definedName>
    <definedName name="노무비2">#REF!</definedName>
    <definedName name="노무비3">#REF!</definedName>
    <definedName name="노무비내역"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단가산출서" hidden="1">#REF!</definedName>
    <definedName name="노무비선택">#N/A</definedName>
    <definedName name="노무비율">#REF!</definedName>
    <definedName name="노무비합">#REF!</definedName>
    <definedName name="노무비합계">#REF!</definedName>
    <definedName name="노무인력투입계획교사" hidden="1">{#N/A,#N/A,FALSE,"이태원철근"}</definedName>
    <definedName name="노반경">#REF!</definedName>
    <definedName name="노반노무">#REF!</definedName>
    <definedName name="노반재료">#REF!</definedName>
    <definedName name="노부비">#REF!</definedName>
    <definedName name="노블">#REF!,#REF!,#REF!</definedName>
    <definedName name="노산3교집계표">#REF!</definedName>
    <definedName name="노상층">#N/A</definedName>
    <definedName name="노오ㅓ" hidden="1">{#N/A,#N/A,FALSE,"골재소요량";#N/A,#N/A,FALSE,"골재소요량"}</definedName>
    <definedName name="노오ㅗ" hidden="1">{#N/A,#N/A,FALSE,"단가표지"}</definedName>
    <definedName name="노원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_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_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_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_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이단가" hidden="1">{#N/A,#N/A,FALSE,"현장 NCR 분석";#N/A,#N/A,FALSE,"현장품질감사";#N/A,#N/A,FALSE,"현장품질감사"}</definedName>
    <definedName name="노임">#REF!</definedName>
    <definedName name="노임1" localSheetId="0">BlankMacro1</definedName>
    <definedName name="노임1">BlankMacro1</definedName>
    <definedName name="노임10" localSheetId="0">BlankMacro1</definedName>
    <definedName name="노임10">BlankMacro1</definedName>
    <definedName name="노임11" localSheetId="0">BlankMacro1</definedName>
    <definedName name="노임11">BlankMacro1</definedName>
    <definedName name="노임13" hidden="1">{#N/A,#N/A,FALSE,"Sheet1"}</definedName>
    <definedName name="노임14" hidden="1">{#N/A,#N/A,FALSE,"Sheet1"}</definedName>
    <definedName name="노임2">#REF!</definedName>
    <definedName name="노임3" localSheetId="0">BlankMacro1</definedName>
    <definedName name="노임3">BlankMacro1</definedName>
    <definedName name="노임단가">#REF!</definedName>
    <definedName name="노임단가1">#REF!</definedName>
    <definedName name="노임단가9월" hidden="1">#REF!</definedName>
    <definedName name="노임전기">#N/A</definedName>
    <definedName name="노임조정">#N/A</definedName>
    <definedName name="노즐공001">#REF!</definedName>
    <definedName name="노즐공002">#REF!</definedName>
    <definedName name="노즐공011">#REF!</definedName>
    <definedName name="노즐공982">#REF!</definedName>
    <definedName name="노즐공991">#REF!</definedName>
    <definedName name="노즐공992">#REF!</definedName>
    <definedName name="노집1" localSheetId="0">BLCH</definedName>
    <definedName name="노집1">BLCH</definedName>
    <definedName name="노체">#N/A</definedName>
    <definedName name="노체공제">#N/A</definedName>
    <definedName name="노체공제높이">#REF!</definedName>
    <definedName name="노출직">#N/A</definedName>
    <definedName name="노출직부">#N/A</definedName>
    <definedName name="노출형">#REF!</definedName>
    <definedName name="노ㅑㄱ">#REF!</definedName>
    <definedName name="노ㅓㅎㄹ굗" hidden="1">{#N/A,#N/A,FALSE,"단가표지"}</definedName>
    <definedName name="노ㅓ호룓" hidden="1">{#N/A,#N/A,FALSE,"운반시간"}</definedName>
    <definedName name="노ㅓㅀ됼" hidden="1">{#N/A,#N/A,FALSE,"운반시간"}</definedName>
    <definedName name="노ㅓㅛㄷㄹ" hidden="1">{#N/A,#N/A,FALSE,"표지목차"}</definedName>
    <definedName name="노ㅓㅠㅗㄹ" hidden="1">{#N/A,#N/A,FALSE,"운반시간"}</definedName>
    <definedName name="노ㅗ">#N/A</definedName>
    <definedName name="녹색" hidden="1">{#N/A,#N/A,FALSE,"현장 NCR 분석";#N/A,#N/A,FALSE,"현장품질감사";#N/A,#N/A,FALSE,"현장품질감사"}</definedName>
    <definedName name="녹우견적대비표">#REF!</definedName>
    <definedName name="녹음기" localSheetId="0">BlankMacro1</definedName>
    <definedName name="녹음기">BlankMacro1</definedName>
    <definedName name="녹지노">#REF!</definedName>
    <definedName name="녹지율">#REF!</definedName>
    <definedName name="녹지재">#REF!</definedName>
    <definedName name="논">#REF!</definedName>
    <definedName name="논산" hidden="1">{#N/A,#N/A,FALSE,"기안지";#N/A,#N/A,FALSE,"통신지"}</definedName>
    <definedName name="논산내역" hidden="1">{#N/A,#N/A,FALSE,"기안지";#N/A,#N/A,FALSE,"통신지"}</definedName>
    <definedName name="논산내역1" hidden="1">{#N/A,#N/A,FALSE,"기안지";#N/A,#N/A,FALSE,"통신지"}</definedName>
    <definedName name="논스립설치황동">#REF!</definedName>
    <definedName name="논스립설치PVC">#REF!</definedName>
    <definedName name="논슬립노">#REF!</definedName>
    <definedName name="논슬립SST노">#REF!</definedName>
    <definedName name="논현동외" hidden="1">{#N/A,#N/A,FALSE,"Sheet6"}</definedName>
    <definedName name="놀고" hidden="1">{#N/A,#N/A,FALSE,"Sheet1"}</definedName>
    <definedName name="놀ㄴ홀옿ㅇ" hidden="1">{#N/A,#N/A,FALSE,"이태원철근"}</definedName>
    <definedName name="놀ㄴㄶㅎ" hidden="1">#REF!</definedName>
    <definedName name="놀이터">#REF!</definedName>
    <definedName name="놄ㄷ" hidden="1">{#N/A,#N/A,FALSE,"운반시간"}</definedName>
    <definedName name="놄ㄷㅈ" hidden="1">{#N/A,#N/A,FALSE,"운반시간"}</definedName>
    <definedName name="농ㄱㄴㄱ로" hidden="1">{#N/A,#N/A,FALSE,"교리2"}</definedName>
    <definedName name="농로">#REF!</definedName>
    <definedName name="농림">#REF!</definedName>
    <definedName name="농원1호">#REF!</definedName>
    <definedName name="농원2호">#REF!</definedName>
    <definedName name="높">#REF!</definedName>
    <definedName name="높이">#REF!</definedName>
    <definedName name="높이1">#REF!</definedName>
    <definedName name="높이2">#REF!</definedName>
    <definedName name="놓ㄱㄹ" hidden="1">{#N/A,#N/A,FALSE,"조골재"}</definedName>
    <definedName name="놓ㄹ노" hidden="1">{#N/A,#N/A,FALSE,"골재소요량";#N/A,#N/A,FALSE,"골재소요량"}</definedName>
    <definedName name="놓롢론ㄹ" hidden="1">{#N/A,#N/A,FALSE,"이태원철근"}</definedName>
    <definedName name="놓절" hidden="1">{#N/A,#N/A,FALSE,"운반시간"}</definedName>
    <definedName name="눃ㄴㅁ솜" hidden="1">{#N/A,#N/A,FALSE,"전력간선"}</definedName>
    <definedName name="누계">#REF!</definedName>
    <definedName name="누계계">#N/A</definedName>
    <definedName name="누계공정계획">#REF!</definedName>
    <definedName name="누계공정실적">#REF!</definedName>
    <definedName name="누계도급">#REF!</definedName>
    <definedName name="누계무재해">#REF!</definedName>
    <definedName name="누계출역">#REF!</definedName>
    <definedName name="누룓ㄹ" hidden="1">{#N/A,#N/A,FALSE,"단가표지"}</definedName>
    <definedName name="누적손익" hidden="1">{#N/A,#N/A,FALSE,"지침";#N/A,#N/A,FALSE,"환경분석";#N/A,#N/A,FALSE,"Sheet16"}</definedName>
    <definedName name="눈이릴" hidden="1">{#N/A,#N/A,FALSE,"현장 NCR 분석";#N/A,#N/A,FALSE,"현장품질감사";#N/A,#N/A,FALSE,"현장품질감사"}</definedName>
    <definedName name="눈주목">#REF!</definedName>
    <definedName name="눈주목5노무">#REF!</definedName>
    <definedName name="눈주목5재료">#REF!</definedName>
    <definedName name="눈주목H0.5">#REF!</definedName>
    <definedName name="눈향">#REF!</definedName>
    <definedName name="눈향10노무">#REF!</definedName>
    <definedName name="눈향10재료">#REF!</definedName>
    <definedName name="눈향14노무">#REF!</definedName>
    <definedName name="눈향14재료">#REF!</definedName>
    <definedName name="눈향L06">#REF!</definedName>
    <definedName name="눈향L08">#REF!</definedName>
    <definedName name="눈향L10">#REF!</definedName>
    <definedName name="눈향L14">#REF!</definedName>
    <definedName name="눈향L20">#REF!</definedName>
    <definedName name="눔" hidden="1">{#N/A,#N/A,FALSE,"기안지";#N/A,#N/A,FALSE,"통신지"}</definedName>
    <definedName name="눟ㅈ" hidden="1">{#N/A,#N/A,FALSE,"혼합골재"}</definedName>
    <definedName name="뉵ㅎㅅㄳㅁ" hidden="1">{#N/A,#N/A,FALSE,"혼합골재"}</definedName>
    <definedName name="느릅">#REF!</definedName>
    <definedName name="느릅나무10노무">#REF!</definedName>
    <definedName name="느릅나무10재료">#REF!</definedName>
    <definedName name="느릅나무5노무">#REF!</definedName>
    <definedName name="느릅나무5재료">#REF!</definedName>
    <definedName name="느릅나무8노무">#REF!</definedName>
    <definedName name="느릅나무8재료">#REF!</definedName>
    <definedName name="느릅R10">#REF!</definedName>
    <definedName name="느릅R4">#REF!</definedName>
    <definedName name="느릅R5">#REF!</definedName>
    <definedName name="느릅R8">#REF!</definedName>
    <definedName name="느티10">#REF!</definedName>
    <definedName name="느티15">#REF!</definedName>
    <definedName name="느티20">#REF!</definedName>
    <definedName name="느티8">#REF!</definedName>
    <definedName name="느티나무">#REF!</definedName>
    <definedName name="느티나무H4.0xR12">#REF!</definedName>
    <definedName name="느티나무H4.5xR20">#REF!</definedName>
    <definedName name="느티나무H4.5xR25">#REF!</definedName>
    <definedName name="느티R10">#REF!</definedName>
    <definedName name="느티R12">#REF!</definedName>
    <definedName name="느티R15">#REF!</definedName>
    <definedName name="느티R18">#REF!</definedName>
    <definedName name="느티R20">#REF!</definedName>
    <definedName name="느티R25">#REF!</definedName>
    <definedName name="느티R30">#REF!</definedName>
    <definedName name="느티R5">#REF!</definedName>
    <definedName name="느티R6">#REF!</definedName>
    <definedName name="느티R8">#REF!</definedName>
    <definedName name="느횯로올" hidden="1">{#N/A,#N/A,FALSE,"단가표지"}</definedName>
    <definedName name="느ㅠㅎㄺㄹ" hidden="1">{#N/A,#N/A,FALSE,"2~8번"}</definedName>
    <definedName name="늘횩ㄹ류ㅗㄱ" hidden="1">{#N/A,#N/A,FALSE,"골재소요량";#N/A,#N/A,FALSE,"골재소요량"}</definedName>
    <definedName name="늟ㄱ히" hidden="1">{#N/A,#N/A,FALSE,"골재소요량";#N/A,#N/A,FALSE,"골재소요량"}</definedName>
    <definedName name="능소화2노무">#REF!</definedName>
    <definedName name="능소화2재료">#REF!</definedName>
    <definedName name="능소화4노무">#REF!</definedName>
    <definedName name="능소화4재료">#REF!</definedName>
    <definedName name="능소화R2">#REF!</definedName>
    <definedName name="능소화R4">#REF!</definedName>
    <definedName name="능소화R6">#REF!</definedName>
    <definedName name="능형망철거">#N/A</definedName>
    <definedName name="능형망철거1">#N/A</definedName>
    <definedName name="니" hidden="1">{#N/A,#N/A,FALSE,"생산성";#N/A,#N/A,FALSE,"인력1";#N/A,#N/A,FALSE,"인력2";#N/A,#N/A,FALSE,"인력3";#N/A,#N/A,FALSE,"인건1";#N/A,#N/A,FALSE,"인건2";#N/A,#N/A,FALSE,"인건3";#N/A,#N/A,FALSE,"인원증감";#N/A,#N/A,FALSE,"인건증감";#N/A,#N/A,FALSE,"표지등"}</definedName>
    <definedName name="니얼" hidden="1">{#N/A,#N/A,FALSE,"2~8번"}</definedName>
    <definedName name="니여">#REF!,#REF!</definedName>
    <definedName name="니ㅓ력ㄹ" hidden="1">{#N/A,#N/A,FALSE,"혼합골재"}</definedName>
    <definedName name="님이" hidden="1">{#N/A,#N/A,FALSE,"2~8번"}</definedName>
    <definedName name="닝기기">#REF!</definedName>
    <definedName name="닝기리" hidden="1">{#N/A,#N/A,FALSE,"이태원철근"}</definedName>
    <definedName name="ㄴㄺㄷ" hidden="1">{#N/A,#N/A,FALSE,"현장 NCR 분석";#N/A,#N/A,FALSE,"현장품질감사";#N/A,#N/A,FALSE,"현장품질감사"}</definedName>
    <definedName name="ㄴㄺㄷㅎㄱㄷㅎ" hidden="1">{#N/A,#N/A,FALSE,"조골재"}</definedName>
    <definedName name="ㄴㄻㄴ" hidden="1">#REF!</definedName>
    <definedName name="ㄴㄻㄴㅇ" hidden="1">{#N/A,#N/A,FALSE,"조골재"}</definedName>
    <definedName name="ㄴㄻㄹ" hidden="1">#REF!</definedName>
    <definedName name="ㄷ" hidden="1">{#N/A,#N/A,TRUE,"토적및재료집계";#N/A,#N/A,TRUE,"토적및재료집계";#N/A,#N/A,TRUE,"단위량"}</definedName>
    <definedName name="ㄷ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_2" hidden="1">{#N/A,#N/A,FALSE,"이태원철근"}</definedName>
    <definedName name="ㄷ_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_5" hidden="1">{#N/A,#N/A,FALSE,"이태원철근"}</definedName>
    <definedName name="ㄷ1">#REF!</definedName>
    <definedName name="ㄷ2">#REF!</definedName>
    <definedName name="ㄷ41">#REF!</definedName>
    <definedName name="ㄷ59">#REF!</definedName>
    <definedName name="ㄷ5ㅅ" hidden="1">{#N/A,#N/A,FALSE,"현장 NCR 분석";#N/A,#N/A,FALSE,"현장품질감사";#N/A,#N/A,FALSE,"현장품질감사"}</definedName>
    <definedName name="ㄷ6ㅓ">{"'용역비'!$A$4:$C$8"}</definedName>
    <definedName name="ㄷ87ㅛㅗㅓㅕ져" hidden="1">{#N/A,#N/A,FALSE,"전력간선"}</definedName>
    <definedName name="ㄷㄱ" hidden="1">{#N/A,#N/A,FALSE,"포장2"}</definedName>
    <definedName name="ㄷㄱ_1" hidden="1">{#N/A,#N/A,FALSE,"단가표지"}</definedName>
    <definedName name="ㄷㄱ_2" hidden="1">{#N/A,#N/A,FALSE,"단가표지"}</definedName>
    <definedName name="ㄷㄱ_3" hidden="1">{#N/A,#N/A,FALSE,"단가표지"}</definedName>
    <definedName name="ㄷㄱㄱ" localSheetId="0">BlankMacro1</definedName>
    <definedName name="ㄷㄱㄱ">BlankMacro1</definedName>
    <definedName name="ㄷㄱㄱㄱ" hidden="1">#REF!</definedName>
    <definedName name="ㄷㄱㄱㄱㄱㄱㄱ" hidden="1">#REF!</definedName>
    <definedName name="ㄷㄱㄱㅈㅍㄷ" hidden="1">{#N/A,#N/A,FALSE,"골재소요량";#N/A,#N/A,FALSE,"골재소요량"}</definedName>
    <definedName name="ㄷㄱ교ㅛ">#REF!</definedName>
    <definedName name="ㄷㄱㄴㄴㅁ" hidden="1">{#N/A,#N/A,FALSE,"단가표지"}</definedName>
    <definedName name="ㄷㄱㄴㅌ">#REF!</definedName>
    <definedName name="ㄷㄱㄷ">#N/A</definedName>
    <definedName name="ㄷㄱㄷㄱ">#REF!</definedName>
    <definedName name="ㄷㄱㄷㄱㄱ" hidden="1">{#N/A,#N/A,FALSE,"배수1"}</definedName>
    <definedName name="ㄷㄱㄷㄱㄷㄱ" hidden="1">{"'용역비'!$A$4:$C$8"}</definedName>
    <definedName name="ㄷㄱㄷㅅㅅㅅ">#REF!</definedName>
    <definedName name="ㄷㄱㄷ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ㄱ쇼" localSheetId="0">BlankMacro1</definedName>
    <definedName name="ㄷㄱ쇼">BlankMacro1</definedName>
    <definedName name="ㄷㄱ숃" hidden="1">255</definedName>
    <definedName name="ㄷㄱ슢" hidden="1">{#N/A,#N/A,FALSE,"지침";#N/A,#N/A,FALSE,"환경분석";#N/A,#N/A,FALSE,"Sheet16"}</definedName>
    <definedName name="ㄷㄱㅇ" hidden="1">{#N/A,#N/A,FALSE,"운반시간"}</definedName>
    <definedName name="ㄷㄱㅇㅎㄹ" hidden="1">{#N/A,#N/A,FALSE,"단가표지"}</definedName>
    <definedName name="ㄷㄱㅈ" hidden="1">{#N/A,#N/A,FALSE,"이태원철근"}</definedName>
    <definedName name="ㄷㄱㅈㄱ" hidden="1">{#N/A,#N/A,FALSE,"2~8번"}</definedName>
    <definedName name="ㄷㄱㅈㄱㄷㅈ" hidden="1">{#N/A,#N/A,FALSE,"이태원철근"}</definedName>
    <definedName name="ㄷㄱㅈㄱㅂㅈㄷ" hidden="1">#REF!</definedName>
    <definedName name="ㄷㄱㅈㄷㄱ" hidden="1">#REF!</definedName>
    <definedName name="ㄷㄱㅈㅍ" hidden="1">{#N/A,#N/A,FALSE,"표지목차"}</definedName>
    <definedName name="ㄷㄱㅍ" hidden="1">{#N/A,#N/A,FALSE,"포장1";#N/A,#N/A,FALSE,"포장1"}</definedName>
    <definedName name="ㄷㄱㅍㄷㄱ뮤" hidden="1">{#N/A,#N/A,FALSE,"2~8번"}</definedName>
    <definedName name="ㄷㄱㅍㅁㄷㄱ" hidden="1">{#N/A,#N/A,FALSE,"골재소요량";#N/A,#N/A,FALSE,"골재소요량"}</definedName>
    <definedName name="ㄷㄱㅎ러갇ㅎㄹ" localSheetId="0">BlankMacro1</definedName>
    <definedName name="ㄷㄱㅎ러갇ㅎㄹ">BlankMacro1</definedName>
    <definedName name="ㄷㄱ혹ㄷㄱ돋ㄱ">#N/A</definedName>
    <definedName name="ㄷㄱㅀㄷㅈㄱ">#REF!</definedName>
    <definedName name="ㄷㄱㅄ">#REF!</definedName>
    <definedName name="ㄷ교럻"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굦ㄷ굗ㄱㅈ" hidden="1">{#N/A,#N/A,FALSE,"이태원철근"}</definedName>
    <definedName name="ㄷㄴㄹㄹㅇㄴㄹㄴㄷㄱㅈㄱㅈㄱㅈㅌㅍㅊㅌ">#REF!</definedName>
    <definedName name="ㄷㄴㅁㄱㅇ" hidden="1">{#N/A,#N/A,FALSE,"골재소요량";#N/A,#N/A,FALSE,"골재소요량"}</definedName>
    <definedName name="ㄷ노">#REF!</definedName>
    <definedName name="ㄷㄷ" hidden="1">#REF!</definedName>
    <definedName name="ㄷㄷ_1" hidden="1">{#N/A,#N/A,FALSE,"단가표지"}</definedName>
    <definedName name="ㄷㄷ_2" hidden="1">{#N/A,#N/A,FALSE,"단가표지"}</definedName>
    <definedName name="ㄷㄷ_3" hidden="1">{#N/A,#N/A,FALSE,"단가표지"}</definedName>
    <definedName name="ㄷㄷㄱㄱ" hidden="1">{"'용역비'!$A$4:$C$8"}</definedName>
    <definedName name="ㄷㄷㄱㅈㄱㅈ" hidden="1">{#N/A,#N/A,FALSE,"지침";#N/A,#N/A,FALSE,"환경분석";#N/A,#N/A,FALSE,"Sheet16"}</definedName>
    <definedName name="ㄷㄷㄷ">#REF!</definedName>
    <definedName name="ㄷㄷㄷ_1" hidden="1">{#N/A,#N/A,FALSE,"운반시간"}</definedName>
    <definedName name="ㄷㄷㄷ_2" hidden="1">{#N/A,#N/A,FALSE,"운반시간"}</definedName>
    <definedName name="ㄷㄷㄷ_3" hidden="1">{#N/A,#N/A,FALSE,"운반시간"}</definedName>
    <definedName name="ㄷㄷㄷㄷ" hidden="1">{#N/A,#N/A,FALSE,"표지"}</definedName>
    <definedName name="ㄷㄷㄷㄷㄷ" hidden="1">{#N/A,#N/A,FALSE,"이태원철근"}</definedName>
    <definedName name="ㄷㄷ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ㅈㄹ" hidden="1">{#N/A,#N/A,FALSE,"이태원철근"}</definedName>
    <definedName name="ㄷㄷ대대대">#N/A</definedName>
    <definedName name="ㄷㄷㅈ">#REF!</definedName>
    <definedName name="ㄷㄷㅈㅊㅍㅌㅋ" hidden="1">{#N/A,#N/A,FALSE,"조골재"}</definedName>
    <definedName name="ㄷㄹ">#REF!</definedName>
    <definedName name="ㄷㄹ1">#REF!</definedName>
    <definedName name="ㄷㄹㄴ" hidden="1">{#N/A,#N/A,FALSE,"2~8번"}</definedName>
    <definedName name="ㄷㄹㄷ" hidden="1">#REF!</definedName>
    <definedName name="ㄷㄹㄷㄱ" hidden="1">#REF!</definedName>
    <definedName name="ㄷㄹㄹ" hidden="1">{#N/A,#N/A,FALSE,"표지목차"}</definedName>
    <definedName name="ㄷㄹㄹㅇ">#REF!</definedName>
    <definedName name="ㄷㄹㅇㄴ">#REF!</definedName>
    <definedName name="ㄷㄹㅇㄴㄹ">#REF!</definedName>
    <definedName name="ㄷㄹㅈ" hidden="1">{#N/A,#N/A,FALSE,"CCTV"}</definedName>
    <definedName name="ㄷㄹㅈㄴㄹ" hidden="1">#REF!</definedName>
    <definedName name="ㄷㄹ햐" hidden="1">{#N/A,#N/A,FALSE,"지침";#N/A,#N/A,FALSE,"환경분석";#N/A,#N/A,FALSE,"Sheet16"}</definedName>
    <definedName name="ㄷㅁㄱㅎ">#N/A</definedName>
    <definedName name="ㄷㅁㄱㅎㅓ">#N/A</definedName>
    <definedName name="ㄷㅁㄱ혿호ㄷㅂ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ㄱ">#REF!</definedName>
    <definedName name="ㄷㅂㄱㄷㅂ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ㅂㄷ">#REF!</definedName>
    <definedName name="ㄷㅂㅗㅛ" hidden="1">{#N/A,#N/A,FALSE,"생산성";#N/A,#N/A,FALSE,"인력1";#N/A,#N/A,FALSE,"인력2";#N/A,#N/A,FALSE,"인력3";#N/A,#N/A,FALSE,"인건1";#N/A,#N/A,FALSE,"인건2";#N/A,#N/A,FALSE,"인건3";#N/A,#N/A,FALSE,"인원증감";#N/A,#N/A,FALSE,"인건증감";#N/A,#N/A,FALSE,"표지등"}</definedName>
    <definedName name="ㄷㅂㄳ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ㄱㄷ"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ㅅㄷㅅㄷㅅ" hidden="1">#REF!</definedName>
    <definedName name="ㄷㅅ여ㅏ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퐇" hidden="1">{#N/A,#N/A,FALSE,"전력간선"}</definedName>
    <definedName name="ㄷ삳ㄷㄷㄷㄷㄷ셔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ㅏㅛ됴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ㅕㄷㅅ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ㅑ쇼ㅕㅐㅛㅕ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셧됻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ㅏㅓㅕㄷㅅ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ㅏㄷ셔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ㅕㄷ쇼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ㄷ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ㅅ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ㅏ겨ㅕㄷ사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ㅕㄷ사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ㄷ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숃ㄱ" hidden="1">#REF!</definedName>
    <definedName name="ㄷ수">#N/A</definedName>
    <definedName name="ㄷㅇ" hidden="1">{"'용역비'!$A$4:$C$8"}</definedName>
    <definedName name="ㄷㅇㄴ">#REF!</definedName>
    <definedName name="ㄷㅇㄷ" hidden="1">{#N/A,#N/A,FALSE,"생산성";#N/A,#N/A,FALSE,"인력1";#N/A,#N/A,FALSE,"인력2";#N/A,#N/A,FALSE,"인력3";#N/A,#N/A,FALSE,"인건1";#N/A,#N/A,FALSE,"인건2";#N/A,#N/A,FALSE,"인건3";#N/A,#N/A,FALSE,"인원증감";#N/A,#N/A,FALSE,"인건증감";#N/A,#N/A,FALSE,"표지등"}</definedName>
    <definedName name="ㄷㅇㄹ">#REF!</definedName>
    <definedName name="ㄷㅇㄹㄴ">#REF!</definedName>
    <definedName name="ㄷㅇㄹㄷㄺㄷㅎ" hidden="1">{#N/A,#N/A,FALSE,"혼합골재"}</definedName>
    <definedName name="ㄷㅇ셔ㅑㅕ대뎟"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옿">#REF!</definedName>
    <definedName name="ㄷㅈ" hidden="1">{#N/A,#N/A,FALSE,"구조2"}</definedName>
    <definedName name="ㄷㅈㄱ" hidden="1">{#N/A,#N/A,FALSE,"기안지";#N/A,#N/A,FALSE,"통신지"}</definedName>
    <definedName name="ㄷㅈㄱㄱ" hidden="1">{#N/A,#N/A,FALSE,"조골재"}</definedName>
    <definedName name="ㄷㅈㄱㄷ" hidden="1">{#N/A,#N/A,FALSE,"운반시간"}</definedName>
    <definedName name="ㄷㅈㄱㄷㅈ" hidden="1">{#N/A,#N/A,FALSE,"혼합골재"}</definedName>
    <definedName name="ㄷㅈㄱㅈ"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hidden="1">{#N/A,#N/A,FALSE,"손익표지";#N/A,#N/A,FALSE,"손익계산";#N/A,#N/A,FALSE,"일반관리비";#N/A,#N/A,FALSE,"영업외수익";#N/A,#N/A,FALSE,"영업외비용";#N/A,#N/A,FALSE,"매출액";#N/A,#N/A,FALSE,"요약손익";#N/A,#N/A,FALSE,"요약대차";#N/A,#N/A,FALSE,"매출채권현황";#N/A,#N/A,FALSE,"매출채권명세"}</definedName>
    <definedName name="ㄷㅈㄱㅈㄷㄱㅈㄱ주" hidden="1">{#N/A,#N/A,FALSE,"이태원철근"}</definedName>
    <definedName name="ㄷㅈㄱㅎㄱㄷㅈ">#REF!</definedName>
    <definedName name="ㄷㅈㄱㅀ"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ㄷㅈㄷ" hidden="1">{#N/A,#N/A,FALSE,"속도"}</definedName>
    <definedName name="ㄷㅈㄹㄹㄷㄹㅇㄴㅇㄴㄹ" hidden="1">{#N/A,#N/A,FALSE,"조골재"}</definedName>
    <definedName name="ㄷㅈㅂㄱㄷㅈ" hidden="1">#REF!</definedName>
    <definedName name="ㄷㅈㅂㄱㅈㅂㄷㄱ" hidden="1">{#N/A,#N/A,FALSE,"골재소요량";#N/A,#N/A,FALSE,"골재소요량"}</definedName>
    <definedName name="ㄷㅈㅅ" hidden="1">#REF!</definedName>
    <definedName name="ㄷㅈㅅㄱㄷ">#REF!</definedName>
    <definedName name="ㄷㅈㅅㅈㄷㅅ" hidden="1">{#N/A,#N/A,FALSE,"전력간선"}</definedName>
    <definedName name="ㄷㅈ쇼ㅗㄱ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ㅈㅈ" hidden="1">#REF!</definedName>
    <definedName name="ㄷㅈㅈㄱㄷㄱㄷㅈ" hidden="1">{#N/A,#N/A,FALSE,"운반시간"}</definedName>
    <definedName name="ㄷㅈㅈㅈㅈㅂ" hidden="1">{#N/A,#N/A,FALSE,"이태원철근"}</definedName>
    <definedName name="ㄷㅈㅍㄱㄷㅈㄱ" hidden="1">{#N/A,#N/A,FALSE,"2~8번"}</definedName>
    <definedName name="ㄷㅈㅎ">#REF!</definedName>
    <definedName name="ㄷ죠ㅕㅓㄷ쇼ㅓ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ㅈㄵㄴㄴㄴ" hidden="1">{"'표지'!$B$5"}</definedName>
    <definedName name="ㄷㅊ">#REF!</definedName>
    <definedName name="ㄷㅍㅂ">{"'용역비'!$A$4:$C$8"}</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ㄱㅎㄱㄷ" hidden="1">{#N/A,#N/A,FALSE,"조골재"}</definedName>
    <definedName name="ㄷㅎㄴㄷ고고">#REF!</definedName>
    <definedName name="ㄷㅎㄹㅇ" hidden="1">#REF!</definedName>
    <definedName name="ㄷㅎㅎㅎ" hidden="1">{#N/A,#N/A,FALSE,"Sheet1"}</definedName>
    <definedName name="ㄷ호ㅕ샤" hidden="1">{#N/A,#N/A,FALSE,"단가표지"}</definedName>
    <definedName name="ㄷㅄㄷㅂㄳㄷㅄ">#REF!</definedName>
    <definedName name="다">#REF!</definedName>
    <definedName name="다_1" hidden="1">{#N/A,#N/A,FALSE,"표지목차"}</definedName>
    <definedName name="다_2" hidden="1">{#N/A,#N/A,FALSE,"표지목차"}</definedName>
    <definedName name="다_3" hidden="1">{#N/A,#N/A,FALSE,"표지목차"}</definedName>
    <definedName name="다.">#REF!</definedName>
    <definedName name="다다다" localSheetId="0">BlankMacro1</definedName>
    <definedName name="다다다">BlankMacro1</definedName>
    <definedName name="다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다라_1" hidden="1">{#N/A,#N/A,FALSE,"표지목차"}</definedName>
    <definedName name="다라_2" hidden="1">{#N/A,#N/A,FALSE,"표지목차"}</definedName>
    <definedName name="다라_3" hidden="1">{#N/A,#N/A,FALSE,"표지목차"}</definedName>
    <definedName name="다리미" hidden="1">{#N/A,#N/A,FALSE,"단가표지"}</definedName>
    <definedName name="다배관방식" hidden="1">{#N/A,#N/A,FALSE,"Sheet1"}</definedName>
    <definedName name="다사해ㅣㅇ" hidden="1">{#N/A,#N/A,FALSE,"2~8번"}</definedName>
    <definedName name="다섯월">#REF!</definedName>
    <definedName name="다시" hidden="1">{#N/A,#N/A,FALSE,"품의서";#N/A,#N/A,FALSE,"견적실행대비분석표";#N/A,#N/A,FALSE,"공종별도급대비견적실행";#N/A,#N/A,FALSE,"외주공사 추정금액";#N/A,#N/A,FALSE,"공종별도급대비계약현황"}</definedName>
    <definedName name="다우웰바설치공">#REF!</definedName>
    <definedName name="다음" hidden="1">{#N/A,#N/A,FALSE,"조골재"}</definedName>
    <definedName name="다짐1경비">#REF!</definedName>
    <definedName name="다짐1노무비">#REF!</definedName>
    <definedName name="다짐1재료비">#REF!</definedName>
    <definedName name="다짐경비">#REF!</definedName>
    <definedName name="다짐계수">0.875</definedName>
    <definedName name="다짐노무비">#REF!</definedName>
    <definedName name="다짐되메우기">#REF!</definedName>
    <definedName name="다촢" hidden="1">#REF!</definedName>
    <definedName name="닥___트___공">#REF!</definedName>
    <definedName name="닥트">#REF!</definedName>
    <definedName name="닥트공001">#REF!</definedName>
    <definedName name="닥트공002">#REF!</definedName>
    <definedName name="닥트공011">#REF!</definedName>
    <definedName name="닥트공982">#REF!</definedName>
    <definedName name="닥트공991">#REF!</definedName>
    <definedName name="닥트공992">#REF!</definedName>
    <definedName name="닥트공사" hidden="1">{#N/A,#N/A,FALSE,"전력간선"}</definedName>
    <definedName name="닥트공사_1" hidden="1">{#N/A,#N/A,FALSE,"전력간선"}</definedName>
    <definedName name="닥트공사발주" hidden="1">{#N/A,#N/A,FALSE,"전력간선"}</definedName>
    <definedName name="닥트공사발주_1" hidden="1">{#N/A,#N/A,FALSE,"전력간선"}</definedName>
    <definedName name="닥트설치공사" hidden="1">{#N/A,#N/A,FALSE,"전력간선"}</definedName>
    <definedName name="단">#REF!</definedName>
    <definedName name="단_______가">#REF!</definedName>
    <definedName name="단_가">#N/A</definedName>
    <definedName name="단_가2">#N/A</definedName>
    <definedName name="단_가3">#N/A</definedName>
    <definedName name="단_가4">#N/A</definedName>
    <definedName name="단_가5">#N/A</definedName>
    <definedName name="단_가6">#N/A</definedName>
    <definedName name="단ㄱ" hidden="1">{#N/A,#N/A,FALSE,"전력간선"}</definedName>
    <definedName name="단가">#REF!</definedName>
    <definedName name="單價">#REF!</definedName>
    <definedName name="단가_1">#REF!</definedName>
    <definedName name="단가1">#REF!</definedName>
    <definedName name="단가110" hidden="1">{#N/A,#N/A,FALSE,"Sheet1"}</definedName>
    <definedName name="단가2">#REF!,#REF!</definedName>
    <definedName name="단가검토">#REF!</definedName>
    <definedName name="단가구분">#N/A</definedName>
    <definedName name="단가기준" hidden="1">{#N/A,#N/A,TRUE,"Y생산";#N/A,#N/A,TRUE,"Y판매";#N/A,#N/A,TRUE,"Y총물량";#N/A,#N/A,TRUE,"Y능력";#N/A,#N/A,TRUE,"YKD"}</definedName>
    <definedName name="단가다">#REF!</definedName>
    <definedName name="단가대" hidden="1">#REF!</definedName>
    <definedName name="단가대비">#REF!</definedName>
    <definedName name="단가대비표">#REF!</definedName>
    <definedName name="단가만" hidden="1">{#N/A,#N/A,FALSE,"Sheet1"}</definedName>
    <definedName name="단가비교" hidden="1">#REF!</definedName>
    <definedName name="단가비교표">#REF!,#REF!</definedName>
    <definedName name="단가비교표1">#REF!,#REF!</definedName>
    <definedName name="단가사출" hidden="1">{#N/A,#N/A,FALSE,"골재소요량";#N/A,#N/A,FALSE,"골재소요량"}</definedName>
    <definedName name="단가산" hidden="1">{#N/A,#N/A,FALSE,"기안지";#N/A,#N/A,FALSE,"통신지"}</definedName>
    <definedName name="단가산출">#REF!</definedName>
    <definedName name="단가산출2" hidden="1">#REF!</definedName>
    <definedName name="단가산출서">#REF!</definedName>
    <definedName name="단가산출서3" hidden="1">{#N/A,#N/A,FALSE,"기안지";#N/A,#N/A,FALSE,"통신지"}</definedName>
    <definedName name="단가산출서총체" hidden="1">{#N/A,#N/A,TRUE,"총괄"}</definedName>
    <definedName name="단가압축">#REF!</definedName>
    <definedName name="단가임">#REF!</definedName>
    <definedName name="단가적용">#REF!</definedName>
    <definedName name="단가적용표">#REF!</definedName>
    <definedName name="단가조사">#REF!</definedName>
    <definedName name="단가조사자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표">#REF!</definedName>
    <definedName name="단가테이블">#REF!</definedName>
    <definedName name="단가표">#REF!</definedName>
    <definedName name="단가확정분내역" hidden="1">#REF!</definedName>
    <definedName name="단가확정분집계표" hidden="1">#REF!</definedName>
    <definedName name="단같">#N/A</definedName>
    <definedName name="단같_1">NA()</definedName>
    <definedName name="단같_3">NA()</definedName>
    <definedName name="단같1">#N/A</definedName>
    <definedName name="단같1_1">NA()</definedName>
    <definedName name="단같1_3">NA()</definedName>
    <definedName name="단같2">#N/A</definedName>
    <definedName name="단같2_1">NA()</definedName>
    <definedName name="단같2_3">NA()</definedName>
    <definedName name="단같3">#N/A</definedName>
    <definedName name="단같3_1">NA()</definedName>
    <definedName name="단같3_3">NA()</definedName>
    <definedName name="단같4">#N/A</definedName>
    <definedName name="단같4_1">NA()</definedName>
    <definedName name="단같4_3">NA()</definedName>
    <definedName name="단관M">#REF!</definedName>
    <definedName name="단기" hidden="1">{#N/A,#N/A,TRUE,"Y생산";#N/A,#N/A,TRUE,"Y판매";#N/A,#N/A,TRUE,"Y총물량";#N/A,#N/A,TRUE,"Y능력";#N/A,#N/A,TRUE,"YKD"}</definedName>
    <definedName name="단뉘중량">#REF!</definedName>
    <definedName name="단뎀로라">250000</definedName>
    <definedName name="단말처리재">#N/A</definedName>
    <definedName name="단면적">#REF!</definedName>
    <definedName name="단면적3Span">#REF!</definedName>
    <definedName name="단면특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부길이공주">#REF!</definedName>
    <definedName name="단부길이서천">#REF!</definedName>
    <definedName name="단위">#REF!</definedName>
    <definedName name="단위공량1">#N/A</definedName>
    <definedName name="단위공량1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#N/A</definedName>
    <definedName name="단위공량3">#N/A</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단위량">#REF!</definedName>
    <definedName name="단위세대">#REF!</definedName>
    <definedName name="단위수량">#REF!</definedName>
    <definedName name="단위수량1" hidden="1">{"'산출근거'!$B$4:$D$8"}</definedName>
    <definedName name="단위수량2" hidden="1">{"'산출근거'!$B$4:$D$8"}</definedName>
    <definedName name="단위조장"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단위중량">2.5</definedName>
    <definedName name="단위M">#REF!</definedName>
    <definedName name="단인상" hidden="1">#REF!</definedName>
    <definedName name="단자함_국선">#N/A</definedName>
    <definedName name="단자함_보호기">#N/A</definedName>
    <definedName name="단자함_스피커">#N/A</definedName>
    <definedName name="단자함_중간">#N/A</definedName>
    <definedName name="단자함_IDF">#N/A</definedName>
    <definedName name="단지" hidden="1">{#N/A,#N/A,FALSE,"단가표지"}</definedName>
    <definedName name="단지개요">#REF!</definedName>
    <definedName name="단지내토목">#N/A</definedName>
    <definedName name="단지조성공사" hidden="1">{#N/A,#N/A,FALSE,"표지목차"}</definedName>
    <definedName name="달" hidden="1">{#N/A,#N/A,FALSE,"생산성";#N/A,#N/A,FALSE,"인력1";#N/A,#N/A,FALSE,"인력2";#N/A,#N/A,FALSE,"인력3";#N/A,#N/A,FALSE,"인건1";#N/A,#N/A,FALSE,"인건2";#N/A,#N/A,FALSE,"인건3";#N/A,#N/A,FALSE,"인원증감";#N/A,#N/A,FALSE,"인건증감";#N/A,#N/A,FALSE,"표지등"}</definedName>
    <definedName name="달래강돌">13326</definedName>
    <definedName name="담보징구">#REF!</definedName>
    <definedName name="담양">#REF!</definedName>
    <definedName name="담장">#REF!</definedName>
    <definedName name="담쟁이노무">#REF!</definedName>
    <definedName name="담쟁이재료">#REF!</definedName>
    <definedName name="담쟁이L03">#REF!</definedName>
    <definedName name="당기영업이자" hidden="1">{#N/A,#N/A,FALSE,"지침";#N/A,#N/A,FALSE,"환경분석";#N/A,#N/A,FALSE,"Sheet16"}</definedName>
    <definedName name="당롶" hidden="1">#REF!</definedName>
    <definedName name="당변1">#REF!</definedName>
    <definedName name="당변11">#REF!</definedName>
    <definedName name="당변12">#REF!</definedName>
    <definedName name="당변13">#REF!</definedName>
    <definedName name="당변2">#REF!</definedName>
    <definedName name="당변21">#REF!</definedName>
    <definedName name="당변22">#REF!</definedName>
    <definedName name="당변23">#REF!</definedName>
    <definedName name="당변24">#REF!</definedName>
    <definedName name="당변25">#REF!</definedName>
    <definedName name="당사">#REF!</definedName>
    <definedName name="당사광고">#REF!</definedName>
    <definedName name="당사기준대비" localSheetId="0">BlankMacro1</definedName>
    <definedName name="당사기준대비">BlankMacro1</definedName>
    <definedName name="당사모델운영">#REF!</definedName>
    <definedName name="당사사업추진">#REF!</definedName>
    <definedName name="당월계">#REF!</definedName>
    <definedName name="당월공실">OFFSET(#REF!,0,COUNTA(#REF!),9,0)</definedName>
    <definedName name="당월합">#REF!</definedName>
    <definedName name="당월합계게">#REF!</definedName>
    <definedName name="당월합계계">#REF!</definedName>
    <definedName name="당조">#REF!</definedName>
    <definedName name="당진군예술회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당초">#REF!</definedName>
    <definedName name="당초계획" hidden="1">#REF!</definedName>
    <definedName name="대">#REF!</definedName>
    <definedName name="대___장___공">#N/A</definedName>
    <definedName name="대_표_자_명">#REF!</definedName>
    <definedName name="대2류" hidden="1">{#N/A,#N/A,FALSE,"운반시간"}</definedName>
    <definedName name="대3류" hidden="1">{#N/A,#N/A,FALSE,"혼합골재"}</definedName>
    <definedName name="대가">#REF!,#REF!</definedName>
    <definedName name="대가서1">#REF!</definedName>
    <definedName name="대갑">#REF!</definedName>
    <definedName name="대개소">#REF!</definedName>
    <definedName name="대경">#REF!</definedName>
    <definedName name="대관경">#REF!</definedName>
    <definedName name="대관공사비" hidden="1">{"'건축내역'!$A$1:$L$413"}</definedName>
    <definedName name="대교건설"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대교건설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대구"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대구경천공"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방범확정">#REF!</definedName>
    <definedName name="대구상"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대구신당동">{"'별표'!$N$220"}</definedName>
    <definedName name="대기영역">#REF!</definedName>
    <definedName name="대기질">#REF!</definedName>
    <definedName name="대기질측정">#REF!</definedName>
    <definedName name="대나무">#REF!</definedName>
    <definedName name="대나무지주">#REF!</definedName>
    <definedName name="대나무지주목">#REF!</definedName>
    <definedName name="대노">#REF!</definedName>
    <definedName name="대농교">#REF!</definedName>
    <definedName name="대덕" hidden="1">{#N/A,#N/A,FALSE,"CCTV"}</definedName>
    <definedName name="대륙전설">#N/A</definedName>
    <definedName name="대리급_인당복리후생비">#REF!</definedName>
    <definedName name="대리석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리석포장" hidden="1">{#N/A,#N/A,TRUE,"총괄"}</definedName>
    <definedName name="대리석포장1" hidden="1">{#N/A,#N/A,TRUE,"총괄"}</definedName>
    <definedName name="대림">#N/A</definedName>
    <definedName name="대림산업">#REF!</definedName>
    <definedName name="대리GROSS">#N/A</definedName>
    <definedName name="대목1">#REF!</definedName>
    <definedName name="대보" hidden="1">{#N/A,#N/A,FALSE,"기안지";#N/A,#N/A,FALSE,"통신지"}</definedName>
    <definedName name="대비">#REF!</definedName>
    <definedName name="대비1">#REF!</definedName>
    <definedName name="대비2">{"Book1","도곡1실행.xls"}</definedName>
    <definedName name="대비3">#REF!</definedName>
    <definedName name="대비4" localSheetId="0">BlankMacro1</definedName>
    <definedName name="대비4">BlankMacro1</definedName>
    <definedName name="대비5">#N/A</definedName>
    <definedName name="대비내역서" localSheetId="0">BlankMacro1</definedName>
    <definedName name="대비내역서">BlankMacro1</definedName>
    <definedName name="대비예산" hidden="1">#REF!</definedName>
    <definedName name="대비표" hidden="1">#REF!</definedName>
    <definedName name="대상">#REF!</definedName>
    <definedName name="대상2">#REF!</definedName>
    <definedName name="대상빌라32">#REF!</definedName>
    <definedName name="대상빌라43">#REF!</definedName>
    <definedName name="대상빌라48">#REF!</definedName>
    <definedName name="대상빌라62">#REF!</definedName>
    <definedName name="대상빌라80">#REF!</definedName>
    <definedName name="대상아파트24">#REF!</definedName>
    <definedName name="대상아파트32">#REF!</definedName>
    <definedName name="대상아파트43">#REF!</definedName>
    <definedName name="대상아파트48">#REF!</definedName>
    <definedName name="대상아파트62">#REF!</definedName>
    <definedName name="대상아파트80">#REF!</definedName>
    <definedName name="대안" hidden="1">{#N/A,#N/A,TRUE,"토적및재료집계";#N/A,#N/A,TRUE,"토적및재료집계";#N/A,#N/A,TRUE,"단위량"}</definedName>
    <definedName name="대안설정">#REF!</definedName>
    <definedName name="대안작성" hidden="1">{#N/A,#N/A,FALSE,"현장 NCR 분석";#N/A,#N/A,FALSE,"현장품질감사";#N/A,#N/A,FALSE,"현장품질감사"}</definedName>
    <definedName name="대여금" hidden="1">{#N/A,#N/A,FALSE,"이태원철근"}</definedName>
    <definedName name="대여이자">#REF!</definedName>
    <definedName name="대왕참R10">#REF!</definedName>
    <definedName name="대왕참R4">#REF!</definedName>
    <definedName name="대왕참R6">#REF!</definedName>
    <definedName name="대왕참R8">#REF!</definedName>
    <definedName name="대외공문" hidden="1">#REF!</definedName>
    <definedName name="대외공문3" hidden="1">{#N/A,#N/A,FALSE,"현장 NCR 분석";#N/A,#N/A,FALSE,"현장품질감사";#N/A,#N/A,FALSE,"현장품질감사"}</definedName>
    <definedName name="대외공문4" hidden="1">{#N/A,#N/A,FALSE,"현장 NCR 분석";#N/A,#N/A,FALSE,"현장품질감사";#N/A,#N/A,FALSE,"현장품질감사"}</definedName>
    <definedName name="대외공문서1" hidden="1">{#N/A,#N/A,FALSE,"현장 NCR 분석";#N/A,#N/A,FALSE,"현장품질감사";#N/A,#N/A,FALSE,"현장품질감사"}</definedName>
    <definedName name="대외인성">#REF!</definedName>
    <definedName name="대우">{"'2층, 지하 전기공사'!$B$13:$B$15"}</definedName>
    <definedName name="대운반거리" hidden="1">#REF!</definedName>
    <definedName name="대원">#REF!</definedName>
    <definedName name="대장균군수">#REF!</definedName>
    <definedName name="대재">#REF!</definedName>
    <definedName name="대전">#REF!</definedName>
    <definedName name="대전가치">OFFSET(#REF!,0,0,1,COUNTA(#REF!))</definedName>
    <definedName name="대전공실">OFFSET(#REF!,0,0,1,COUNT(#REF!))</definedName>
    <definedName name="대전내역서_대전추가비교표_List">#REF!</definedName>
    <definedName name="대전대" hidden="1">#REF!</definedName>
    <definedName name="대전수익률">OFFSET(#REF!,0,0,1,COUNTA(#REF!))</definedName>
    <definedName name="대전수입">OFFSET(#REF!,0,0,1,COUNTA(#REF!))</definedName>
    <definedName name="대전조차2">#REF!</definedName>
    <definedName name="대전지출">OFFSET(#REF!,0,0,1,COUNTA(#REF!))</definedName>
    <definedName name="대전NOI">OFFSET(#REF!,0,0,1,COUNTA(#REF!))</definedName>
    <definedName name="대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지면적">#REF!</definedName>
    <definedName name="대지면적평">#REF!</definedName>
    <definedName name="대지면적M2">#REF!</definedName>
    <definedName name="대집계표" hidden="1">{#N/A,#N/A,TRUE,"토적및재료집계";#N/A,#N/A,TRUE,"토적및재료집계";#N/A,#N/A,TRUE,"단위량"}</definedName>
    <definedName name="대천변전소" hidden="1">{"'당진'!$A$1:$P$34","'당진'!$N$13"}</definedName>
    <definedName name="대체구거">#REF!</definedName>
    <definedName name="대추">#REF!</definedName>
    <definedName name="대추R10">#REF!</definedName>
    <definedName name="대추R4">#REF!</definedName>
    <definedName name="대추R5">#REF!</definedName>
    <definedName name="대추R6">#REF!</definedName>
    <definedName name="대추R8">#REF!</definedName>
    <definedName name="대티교">#REF!</definedName>
    <definedName name="대표모임" hidden="1">{#N/A,#N/A,FALSE,"현장 NCR 분석";#N/A,#N/A,FALSE,"현장품질감사";#N/A,#N/A,FALSE,"현장품질감사"}</definedName>
    <definedName name="대표이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표자_주민등록번호">#REF!</definedName>
    <definedName name="대표회의" hidden="1">{#N/A,#N/A,FALSE,"현장 NCR 분석";#N/A,#N/A,FALSE,"현장품질감사";#N/A,#N/A,FALSE,"현장품질감사"}</definedName>
    <definedName name="대한" hidden="1">{#N/A,#N/A,FALSE,"생산성";#N/A,#N/A,FALSE,"인력1";#N/A,#N/A,FALSE,"인력2";#N/A,#N/A,FALSE,"인력3";#N/A,#N/A,FALSE,"인건1";#N/A,#N/A,FALSE,"인건2";#N/A,#N/A,FALSE,"인건3";#N/A,#N/A,FALSE,"인원증감";#N/A,#N/A,FALSE,"인건증감";#N/A,#N/A,FALSE,"표지등"}</definedName>
    <definedName name="대한민국">{"Book1","토공.xls"}</definedName>
    <definedName name="대형" hidden="1">{#N/A,#N/A,FALSE,"생산성";#N/A,#N/A,FALSE,"인력1";#N/A,#N/A,FALSE,"인력2";#N/A,#N/A,FALSE,"인력3";#N/A,#N/A,FALSE,"인건1";#N/A,#N/A,FALSE,"인건2";#N/A,#N/A,FALSE,"인건3";#N/A,#N/A,FALSE,"인원증감";#N/A,#N/A,FALSE,"인건증감";#N/A,#N/A,FALSE,"표지등"}</definedName>
    <definedName name="대호전">#REF!</definedName>
    <definedName name="대호통">#REF!</definedName>
    <definedName name="대흥"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대ㅣㅂ2">#N/A</definedName>
    <definedName name="댈타5">#REF!</definedName>
    <definedName name="댕기">{"'중기작업1'!$A$1:$V$18"}</definedName>
    <definedName name="댜" hidden="1">{#N/A,#N/A,FALSE,"생산성";#N/A,#N/A,FALSE,"인력1";#N/A,#N/A,FALSE,"인력2";#N/A,#N/A,FALSE,"인력3";#N/A,#N/A,FALSE,"인건1";#N/A,#N/A,FALSE,"인건2";#N/A,#N/A,FALSE,"인건3";#N/A,#N/A,FALSE,"인원증감";#N/A,#N/A,FALSE,"인건증감";#N/A,#N/A,FALSE,"표지등"}</definedName>
    <definedName name="댜상">#REF!</definedName>
    <definedName name="댜ㅕㅑㅕ셪ㄷ둇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댜ㅕㅜ" hidden="1">{#N/A,#N/A,FALSE,"단가표지"}</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거어라" hidden="1">{#N/A,#N/A,FALSE,"운반시간"}</definedName>
    <definedName name="더고ㅗㅇ" hidden="1">{#N/A,#N/A,FALSE,"운반시간"}</definedName>
    <definedName name="더녕" hidden="1">{#N/A,#N/A,FALSE,"조골재"}</definedName>
    <definedName name="더다">#REF!</definedName>
    <definedName name="더닫">#REF!</definedName>
    <definedName name="더더더">#REF!</definedName>
    <definedName name="더랴에" hidden="1">{#N/A,#N/A,FALSE,"단가표지"}</definedName>
    <definedName name="더사">#REF!</definedName>
    <definedName name="더올" hidden="1">{#N/A,#N/A,FALSE,"단가표지"}</definedName>
    <definedName name="더하기">#REF!</definedName>
    <definedName name="더호ㅗㅕㅅ" hidden="1">{#N/A,#N/A,FALSE,"운반시간"}</definedName>
    <definedName name="더ㅏㅗ랸" hidden="1">{#N/A,#N/A,FALSE,"운반시간"}</definedName>
    <definedName name="더ㅓ" hidden="1">{#N/A,#N/A,FALSE,"이태원철근"}</definedName>
    <definedName name="더ㅓㅓ" hidden="1">{#N/A,#N/A,FALSE,"이태원철근"}</definedName>
    <definedName name="더ㅕㅛㅕㅛ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ㅗ력ㄷㄱ" hidden="1">{#N/A,#N/A,FALSE,"혼합골재"}</definedName>
    <definedName name="덕" hidden="1">{#N/A,#N/A,FALSE,"포장2"}</definedName>
    <definedName name="덕_트_공">#REF!</definedName>
    <definedName name="덕ㄱㄱㄱ" hidden="1">{#N/A,#N/A,FALSE,"포장2"}</definedName>
    <definedName name="덕고개" hidden="1">{#N/A,#N/A,FALSE,"현장 NCR 분석";#N/A,#N/A,FALSE,"현장품질감사";#N/A,#N/A,FALSE,"현장품질감사"}</definedName>
    <definedName name="덕고개2" hidden="1">{#N/A,#N/A,FALSE,"현장 NCR 분석";#N/A,#N/A,FALSE,"현장품질감사";#N/A,#N/A,FALSE,"현장품질감사"}</definedName>
    <definedName name="덕산1호">#REF!</definedName>
    <definedName name="덕산2호">#REF!</definedName>
    <definedName name="덕산3호">#REF!</definedName>
    <definedName name="덕산4호">#REF!</definedName>
    <definedName name="덕소">#REF!</definedName>
    <definedName name="덕율교">#REF!</definedName>
    <definedName name="덕전1호">#REF!</definedName>
    <definedName name="덕전2호">#REF!</definedName>
    <definedName name="덕전3호">#REF!</definedName>
    <definedName name="덕지1호">#REF!</definedName>
    <definedName name="덕진">#REF!</definedName>
    <definedName name="덕천1호">#REF!</definedName>
    <definedName name="덕천2호">#REF!</definedName>
    <definedName name="덕천3호">#REF!</definedName>
    <definedName name="덕천4호">#REF!</definedName>
    <definedName name="덕트공">#REF!</definedName>
    <definedName name="덕호" hidden="1">{#N/A,#N/A,FALSE,"포장2"}</definedName>
    <definedName name="덕흥흥건축" hidden="1">#REF!</definedName>
    <definedName name="던ㅋ티ㅓㅈㄹ" hidden="1">{#N/A,#N/A,FALSE,"조골재"}</definedName>
    <definedName name="덜리" hidden="1">{#N/A,#N/A,FALSE,"단가표지"}</definedName>
    <definedName name="덤프">250000</definedName>
    <definedName name="덤프15경">#REF!</definedName>
    <definedName name="덤프15노무">#REF!</definedName>
    <definedName name="덤프15재료">#REF!</definedName>
    <definedName name="덤프2.5경">#REF!</definedName>
    <definedName name="덤프2.5노무">#REF!</definedName>
    <definedName name="덤프2.5재료">#REF!</definedName>
    <definedName name="덧씌우기" hidden="1">{#N/A,#N/A,FALSE,"혼합골재"}</definedName>
    <definedName name="덧씌우기구간수량집계표" hidden="1">{#N/A,#N/A,FALSE,"골재소요량";#N/A,#N/A,FALSE,"골재소요량"}</definedName>
    <definedName name="덧씌우기구간수량집계표1" hidden="1">{#N/A,#N/A,FALSE,"2~8번"}</definedName>
    <definedName name="덩굴장미">#REF!</definedName>
    <definedName name="덩굴장미3">#REF!</definedName>
    <definedName name="덩굴장미4">#REF!</definedName>
    <definedName name="덩굴장미5">#REF!</definedName>
    <definedName name="덩굴장미노무">#REF!</definedName>
    <definedName name="덩굴장미재료">#REF!</definedName>
    <definedName name="덩츠뤈" hidden="1">{#N/A,#N/A,FALSE,"단가표지"}</definedName>
    <definedName name="덩크슛" hidden="1">{#N/A,#N/A,FALSE,"단가표지"}</definedName>
    <definedName name="데_리_네_이_터_개_소_별_명_세">#REF!</definedName>
    <definedName name="데이타">#REF!</definedName>
    <definedName name="데이타베이스">#REF!</definedName>
    <definedName name="데크휘니샤면고르기">#REF!</definedName>
    <definedName name="데크A">#REF!</definedName>
    <definedName name="뎌뎌ㄷ">#REF!</definedName>
    <definedName name="뎌ㅐㄷ쇼ㅕㅐ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뎓ㅈ져ㅛㄷ" hidden="1">{#N/A,#N/A,FALSE,"혼합골재"}</definedName>
    <definedName name="뎡유">#REF!</definedName>
    <definedName name="ㄷㅗ">#REF!</definedName>
    <definedName name="도______급______액">#N/A</definedName>
    <definedName name="도___배___공">#REF!</definedName>
    <definedName name="도___장___공">#REF!</definedName>
    <definedName name="도___편___수">#REF!</definedName>
    <definedName name="도_수_로_수_량_집_계">#REF!</definedName>
    <definedName name="도공1000억이상">#N/A</definedName>
    <definedName name="도공100미">#REF!</definedName>
    <definedName name="도공100억">#REF!</definedName>
    <definedName name="도공100억미만">#N/A</definedName>
    <definedName name="도공100억이상">#N/A</definedName>
    <definedName name="도공PQ">#REF!</definedName>
    <definedName name="도근좌표">#REF!</definedName>
    <definedName name="도급">#REF!</definedName>
    <definedName name="도급1" hidden="1">{#N/A,#N/A,TRUE,"1";#N/A,#N/A,TRUE,"2";#N/A,#N/A,TRUE,"3";#N/A,#N/A,TRUE,"4";#N/A,#N/A,TRUE,"5";#N/A,#N/A,TRUE,"6";#N/A,#N/A,TRUE,"7"}</definedName>
    <definedName name="도급2">#REF!</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가">#REF!</definedName>
    <definedName name="도급갑지" hidden="1">{#N/A,#N/A,FALSE,"부대1"}</definedName>
    <definedName name="도급계">#REF!</definedName>
    <definedName name="도급계약" hidden="1">{#N/A,#N/A,FALSE,"손익표지";#N/A,#N/A,FALSE,"손익계산";#N/A,#N/A,FALSE,"일반관리비";#N/A,#N/A,FALSE,"영업외수익";#N/A,#N/A,FALSE,"영업외비용";#N/A,#N/A,FALSE,"매출액";#N/A,#N/A,FALSE,"요약손익";#N/A,#N/A,FALSE,"요약대차";#N/A,#N/A,FALSE,"매출채권현황";#N/A,#N/A,FALSE,"매출채권명세"}</definedName>
    <definedName name="도급계약기간변경" hidden="1">{#N/A,#N/A,FALSE,"현장 NCR 분석";#N/A,#N/A,FALSE,"현장품질감사";#N/A,#N/A,FALSE,"현장품질감사"}</definedName>
    <definedName name="도급공사">#REF!</definedName>
    <definedName name="도급공사비">#REF!</definedName>
    <definedName name="도급금액">#REF!</definedName>
    <definedName name="도급금액내역">{"Book1","호안(별표&amp;부표).xls","box(최근).xls"}</definedName>
    <definedName name="도급내역" localSheetId="0">BlankMacro1</definedName>
    <definedName name="도급내역">BlankMacro1</definedName>
    <definedName name="도급내역서" hidden="1">255</definedName>
    <definedName name="도급내역총괄표" hidden="1">{#N/A,#N/A,FALSE,"현장 NCR 분석";#N/A,#N/A,FALSE,"현장품질감사";#N/A,#N/A,FALSE,"현장품질감사"}</definedName>
    <definedName name="도급단가">#REF!</definedName>
    <definedName name="도급대예산대비표" hidden="1">#REF!</definedName>
    <definedName name="도급대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비" hidden="1">{#N/A,#N/A,FALSE,"기안지";#N/A,#N/A,FALSE,"통신지"}</definedName>
    <definedName name="도급액">#REF!</definedName>
    <definedName name="도급액1">#REF!</definedName>
    <definedName name="도급액분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양식">#REF!</definedName>
    <definedName name="도급여산" hidden="1">#REF!</definedName>
    <definedName name="도급예산내역서총괄표공구손료">#REF!</definedName>
    <definedName name="도급예산내역서총괄표공비">#REF!</definedName>
    <definedName name="도급예산내역서총괄표재료비">#REF!</definedName>
    <definedName name="도급예산액">#REF!</definedName>
    <definedName name="도급예상액">#REF!</definedName>
    <definedName name="도급원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급총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날" hidden="1">{#N/A,#N/A,FALSE,"단가표지"}</definedName>
    <definedName name="도라지">#REF!</definedName>
    <definedName name="도로">#REF!</definedName>
    <definedName name="도로2">#REF!</definedName>
    <definedName name="도로경">#N/A</definedName>
    <definedName name="도로노">#N/A</definedName>
    <definedName name="도로부담금">#REF!</definedName>
    <definedName name="도로재">#N/A</definedName>
    <definedName name="도로중심">#REF!</definedName>
    <definedName name="도로포장수량산출">{"Book1","호안(별표&amp;부표).xls","box(최근).xls"}</definedName>
    <definedName name="도리다" hidden="1">{#N/A,#N/A,FALSE,"표지목차"}</definedName>
    <definedName name="도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면">INDIRECT("그림2!a"&amp;MATCH(#REF!,#REF!,0))</definedName>
    <definedName name="도면1" hidden="1">{#N/A,#N/A,FALSE,"CCTV"}</definedName>
    <definedName name="도면2" hidden="1">{#N/A,#N/A,FALSE,"CCTV"}</definedName>
    <definedName name="도면8">#REF!</definedName>
    <definedName name="도면변경" localSheetId="0">BlankMacro1</definedName>
    <definedName name="도면변경">BlankMacro1</definedName>
    <definedName name="도면복사비">#REF!</definedName>
    <definedName name="도면외주" hidden="1">#REF!</definedName>
    <definedName name="도면용역비" hidden="1">#REF!</definedName>
    <definedName name="도면표지" hidden="1">{#N/A,#N/A,FALSE,"집계표"}</definedName>
    <definedName name="도목수">#N/A</definedName>
    <definedName name="도배"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배공">#REF!</definedName>
    <definedName name="도배공001">#REF!</definedName>
    <definedName name="도배공002">#REF!</definedName>
    <definedName name="도배공011">#REF!</definedName>
    <definedName name="도배공982">#REF!</definedName>
    <definedName name="도배공991">#REF!</definedName>
    <definedName name="도배공992">#REF!</definedName>
    <definedName name="도배소계">#REF!</definedName>
    <definedName name="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상거리">#REF!</definedName>
    <definedName name="도서">#REF!</definedName>
    <definedName name="도시철골" hidden="1">{#N/A,#N/A,FALSE,"현장 NCR 분석";#N/A,#N/A,FALSE,"현장품질감사";#N/A,#N/A,FALSE,"현장품질감사"}</definedName>
    <definedName name="도아견적작성" hidden="1">{#N/A,#N/A,FALSE,"지침";#N/A,#N/A,FALSE,"환경분석";#N/A,#N/A,FALSE,"Sheet16"}</definedName>
    <definedName name="도용" hidden="1">#REF!</definedName>
    <definedName name="도우미" hidden="1">{#N/A,#N/A,FALSE,"생산성";#N/A,#N/A,FALSE,"인력1";#N/A,#N/A,FALSE,"인력2";#N/A,#N/A,FALSE,"인력3";#N/A,#N/A,FALSE,"인건1";#N/A,#N/A,FALSE,"인건2";#N/A,#N/A,FALSE,"인건3";#N/A,#N/A,FALSE,"인원증감";#N/A,#N/A,FALSE,"인건증감";#N/A,#N/A,FALSE,"표지등"}</definedName>
    <definedName name="도장">#REF!</definedName>
    <definedName name="도장2">#REF!</definedName>
    <definedName name="도장견적" localSheetId="0">BlankMacro1</definedName>
    <definedName name="도장견적">BlankMacro1</definedName>
    <definedName name="도장경비">#REF!</definedName>
    <definedName name="도장공">#REF!</definedName>
    <definedName name="도장공001">#REF!</definedName>
    <definedName name="도장공002">#REF!</definedName>
    <definedName name="도장공011">#REF!</definedName>
    <definedName name="도장공982">#REF!</definedName>
    <definedName name="도장공991">#REF!</definedName>
    <definedName name="도장공992">#REF!</definedName>
    <definedName name="도장공노임">#REF!</definedName>
    <definedName name="도장공사">#REF!</definedName>
    <definedName name="도장노무">#REF!</definedName>
    <definedName name="도장비">#REF!</definedName>
    <definedName name="도장소계">#REF!</definedName>
    <definedName name="도장수량2">#REF!</definedName>
    <definedName name="도장재료">#REF!</definedName>
    <definedName name="도쟈6P">250000</definedName>
    <definedName name="도직조">#REF!</definedName>
    <definedName name="도편수001">#REF!</definedName>
    <definedName name="도편수002">#REF!</definedName>
    <definedName name="도편수011">#REF!</definedName>
    <definedName name="도편수982">#REF!</definedName>
    <definedName name="도편수991">#REF!</definedName>
    <definedName name="도편수992">#REF!</definedName>
    <definedName name="도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피밸브">#REF!</definedName>
    <definedName name="도훈견적" hidden="1">{#N/A,#N/A,FALSE,"조골재"}</definedName>
    <definedName name="독립기초" hidden="1">{#N/A,#N/A,FALSE,"기안지";#N/A,#N/A,FALSE,"통신지"}</definedName>
    <definedName name="독립기초_1" hidden="1">{#N/A,#N/A,FALSE,"기안지";#N/A,#N/A,FALSE,"통신지"}</definedName>
    <definedName name="독립기초토공수량산출" hidden="1">{#N/A,#N/A,FALSE,"기안지";#N/A,#N/A,FALSE,"통신지"}</definedName>
    <definedName name="독립기초토공수량산출_1" hidden="1">{#N/A,#N/A,FALSE,"기안지";#N/A,#N/A,FALSE,"통신지"}</definedName>
    <definedName name="독산공장"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독산공장2" hidden="1">{#N/A,#N/A,TRUE,"1. 부하계산";#N/A,#N/A,TRUE,"1-1.부하계산기준";#N/A,#N/A,TRUE,"1-2.부하계산";#N/A,#N/A,TRUE,"2.장비선정";#N/A,#N/A,TRUE,"2-1보일러";#N/A,#N/A,TRUE,"2-2펌프";#N/A,#N/A,TRUE,"2-3탱크";#N/A,#N/A,TRUE,"2-4전기방열기";#N/A,#N/A,TRUE,"2-5전기온수기";#N/A,#N/A,TRUE,"2-6팬"}</definedName>
    <definedName name="독산공장3" hidden="1">{#N/A,#N/A,TRUE,"공조기";#N/A,#N/A,TRUE,"FCU";#N/A,#N/A,TRUE,"1-20";#N/A,#N/A,TRUE,"21-40";#N/A,#N/A,TRUE,"41-60";#N/A,#N/A,TRUE,"61-80";#N/A,#N/A,TRUE,"화장실부하집계";#N/A,#N/A,TRUE,"화장실"}</definedName>
    <definedName name="독산공장4" hidden="1">{#N/A,#N/A,TRUE,"1.부하계산기준";#N/A,#N/A,TRUE,"2.부하계산방법"}</definedName>
    <definedName name="독산공장5" hidden="1">{#N/A,#N/A,TRUE,"1. 부하계산";#N/A,#N/A,TRUE,"1-1.부하계산기준";#N/A,#N/A,TRUE,"1-2.부하계산방법";#N/A,#N/A,TRUE,"1-3.부하집계";#N/A,#N/A,TRUE,"1-4.부하계산"}</definedName>
    <definedName name="독산공장6" hidden="1">{#N/A,#N/A,TRUE,"부하계산서표지";#N/A,#N/A,TRUE,"1. 부하계산";#N/A,#N/A,TRUE,"1-1.부하계산기준";#N/A,#N/A,TRUE,"1-2.부하계산";#N/A,#N/A,TRUE,"1-3부하집계"}</definedName>
    <definedName name="독산공장7" hidden="1">{#N/A,#N/A,FALSE,"화장실부하집계";#N/A,#N/A,FALSE,"화장실"}</definedName>
    <definedName name="독일가문비1206">#REF!</definedName>
    <definedName name="독일가문비1508">#REF!</definedName>
    <definedName name="독일가문비2010">#REF!</definedName>
    <definedName name="독일가문비2512">#REF!</definedName>
    <definedName name="독일가문비3015">#REF!</definedName>
    <definedName name="독일가문비3518">#REF!</definedName>
    <definedName name="돈">#REF!</definedName>
    <definedName name="돈나무0504">#REF!</definedName>
    <definedName name="돈나무0805">#REF!</definedName>
    <definedName name="돈나무1007">#REF!</definedName>
    <definedName name="돈나무1210">#REF!</definedName>
    <definedName name="돌">#N/A</definedName>
    <definedName name="돌_망_태_개_소_별_명_세">#REF!</definedName>
    <definedName name="돌_망_태_수_량_집_계">#REF!</definedName>
    <definedName name="돌관작업비">#REF!</definedName>
    <definedName name="돌단노무">#REF!</definedName>
    <definedName name="돌단재료">#REF!</definedName>
    <definedName name="돌단풍">#REF!</definedName>
    <definedName name="돌붙임_개소별명세">#REF!</definedName>
    <definedName name="돌붙임_수량집계">#REF!</definedName>
    <definedName name="돌쌓기">#REF!</definedName>
    <definedName name="돌아가_교통">#REF!</definedName>
    <definedName name="돌아가기">#REF!</definedName>
    <definedName name="돌타운" hidden="1">{#N/A,#N/A,FALSE,"현장 NCR 분석";#N/A,#N/A,FALSE,"현장품질감사";#N/A,#N/A,FALSE,"현장품질감사"}</definedName>
    <definedName name="동" hidden="1">{#N/A,#N/A,FALSE,"전력간선"}</definedName>
    <definedName name="동_발_공__터_널">#REF!</definedName>
    <definedName name="동공일">#REF!</definedName>
    <definedName name="동공종">#REF!</definedName>
    <definedName name="동공종일위">#REF!</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관단자">#N/A</definedName>
    <definedName name="동광건설" hidden="1">{#N/A,#N/A,FALSE,"골재소요량";#N/A,#N/A,FALSE,"골재소요량"}</definedName>
    <definedName name="동구얀" hidden="1">{#N/A,#N/A,FALSE,"전력간선"}</definedName>
    <definedName name="동구연숩" hidden="1">{#N/A,#N/A,FALSE,"전력간선"}</definedName>
    <definedName name="동국" hidden="1">{#N/A,#N/A,FALSE,"포장단가"}</definedName>
    <definedName name="동국대불교병원">#REF!</definedName>
    <definedName name="동굴">#REF!,#REF!,#REF!</definedName>
    <definedName name="동굴기전">#REF!</definedName>
    <definedName name="동굴기전본공사">#REF!</definedName>
    <definedName name="동대문산출조서">#N/A</definedName>
    <definedName name="동두천압축">#REF!</definedName>
    <definedName name="동락내역">#REF!</definedName>
    <definedName name="동래" hidden="1">{#N/A,#N/A,TRUE,"토적및재료집계";#N/A,#N/A,TRUE,"토적및재료집계";#N/A,#N/A,TRUE,"단위량"}</definedName>
    <definedName name="동력">#REF!</definedName>
    <definedName name="동력및간선" hidden="1">{#N/A,#N/A,FALSE,"전력간선"}</definedName>
    <definedName name="동력산출">[0]!_1_3_0Crite</definedName>
    <definedName name="동림010" hidden="1">{#N/A,#N/A,FALSE,"현장 NCR 분석";#N/A,#N/A,FALSE,"현장품질감사";#N/A,#N/A,FALSE,"현장품질감사"}</definedName>
    <definedName name="동림010_1" hidden="1">{#N/A,#N/A,FALSE,"현장 NCR 분석";#N/A,#N/A,FALSE,"현장품질감사";#N/A,#N/A,FALSE,"현장품질감사"}</definedName>
    <definedName name="동림010_2" hidden="1">{#N/A,#N/A,FALSE,"현장 NCR 분석";#N/A,#N/A,FALSE,"현장품질감사";#N/A,#N/A,FALSE,"현장품질감사"}</definedName>
    <definedName name="동림010_3" hidden="1">{#N/A,#N/A,FALSE,"현장 NCR 분석";#N/A,#N/A,FALSE,"현장품질감사";#N/A,#N/A,FALSE,"현장품질감사"}</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바리">#REF!</definedName>
    <definedName name="동바리공">#REF!</definedName>
    <definedName name="동발공_터널">#REF!</definedName>
    <definedName name="동발공_터널001">#REF!</definedName>
    <definedName name="동발공_터널002">#REF!</definedName>
    <definedName name="동발공_터널011">#REF!</definedName>
    <definedName name="동발공_터널982">#REF!</definedName>
    <definedName name="동발공_터널991">#REF!</definedName>
    <definedName name="동발공_터널992">#REF!</definedName>
    <definedName name="동방층">#REF!</definedName>
    <definedName name="동백1002">#REF!</definedName>
    <definedName name="동백1204">#REF!</definedName>
    <definedName name="동백1506">#REF!</definedName>
    <definedName name="동백1808">#REF!</definedName>
    <definedName name="동백나무2노무">#REF!</definedName>
    <definedName name="동백나무2재료">#REF!</definedName>
    <definedName name="동백나무4노무">#REF!</definedName>
    <definedName name="동백나무4재료">#REF!</definedName>
    <definedName name="동백나무6노무">#REF!</definedName>
    <definedName name="동백나무6재료">#REF!</definedName>
    <definedName name="동백나무8노무">#REF!</definedName>
    <definedName name="동백나무8재료">#REF!</definedName>
    <definedName name="동백나무H2.0">#REF!</definedName>
    <definedName name="동별" hidden="1">{"'Sheet1'!$A$4:$M$21","'Sheet1'!$J$17:$K$19"}</definedName>
    <definedName name="동별1">#REF!</definedName>
    <definedName name="동별내역" hidden="1">{"'Sheet1'!$A$4:$M$21","'Sheet1'!$J$17:$K$19"}</definedName>
    <definedName name="동별레미콘" hidden="1">{#N/A,#N/A,FALSE,"Sheet1"}</definedName>
    <definedName name="동별설계">#REF!</definedName>
    <definedName name="동별집계" hidden="1">{#N/A,#N/A,FALSE,"전력간선"}</definedName>
    <definedName name="동별현황" hidden="1">#REF!</definedName>
    <definedName name="동부내역">{"서울냉천 3차( 5. 6-7).xls","Sheet1"}</definedName>
    <definedName name="동부내역4">{"서울냉천 3차( 5. 6-7).xls","Sheet1"}</definedName>
    <definedName name="동부지분율">#REF!</definedName>
    <definedName name="동상">#REF!</definedName>
    <definedName name="동상1">#REF!</definedName>
    <definedName name="동상2">#REF!</definedName>
    <definedName name="동생">#REF!</definedName>
    <definedName name="동성" hidden="1">{#N/A,#N/A,FALSE,"현장 NCR 분석";#N/A,#N/A,FALSE,"현장품질감사";#N/A,#N/A,FALSE,"현장품질감사"}</definedName>
    <definedName name="동수">#REF!</definedName>
    <definedName name="동수원" localSheetId="0">BlankMacro1</definedName>
    <definedName name="동수원">BlankMacro1</definedName>
    <definedName name="동시" hidden="1">{#N/A,#N/A,FALSE,"전력간선"}</definedName>
    <definedName name="동식물상">#REF!</definedName>
    <definedName name="동신갑지">#N/A</definedName>
    <definedName name="동신을지">#N/A</definedName>
    <definedName name="동아건설">#REF!</definedName>
    <definedName name="동양종금">#REF!</definedName>
    <definedName name="동원">#REF!</definedName>
    <definedName name="동원1">#REF!</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의건축디자인" hidden="1">{#N/A,#N/A,FALSE,"집계";#N/A,#N/A,FALSE,"표지";#N/A,#N/A,FALSE,"터빈집계";#N/A,#N/A,FALSE,"터빈내역";#N/A,#N/A,FALSE,"주제어집계";#N/A,#N/A,FALSE,"주제어내역";#N/A,#N/A,FALSE,"보일러집계";#N/A,#N/A,FALSE,"보일러내역"}</definedName>
    <definedName name="동준" hidden="1">{"'Firr(선)'!$AS$1:$AY$62","'Firr(사)'!$AS$1:$AY$62","'Firr(회)'!$AS$1:$AY$62","'Firr(선)'!$L$1:$V$62","'Firr(사)'!$L$1:$V$62","'Firr(회)'!$L$1:$V$62"}</definedName>
    <definedName name="동준친" hidden="1">{"'Firr(선)'!$AS$1:$AY$62","'Firr(사)'!$AS$1:$AY$62","'Firr(회)'!$AS$1:$AY$62","'Firr(선)'!$L$1:$V$62","'Firr(사)'!$L$1:$V$62","'Firr(회)'!$L$1:$V$62"}</definedName>
    <definedName name="동판후라싱">#REF!</definedName>
    <definedName name="동향"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동화상사" hidden="1">{#N/A,#N/A,FALSE,"생산성";#N/A,#N/A,FALSE,"인력1";#N/A,#N/A,FALSE,"인력2";#N/A,#N/A,FALSE,"인력3";#N/A,#N/A,FALSE,"인건1";#N/A,#N/A,FALSE,"인건2";#N/A,#N/A,FALSE,"인건3";#N/A,#N/A,FALSE,"인원증감";#N/A,#N/A,FALSE,"인건증감";#N/A,#N/A,FALSE,"표지등"}</definedName>
    <definedName name="동화상사1" hidden="1">{#N/A,#N/A,FALSE,"생산성";#N/A,#N/A,FALSE,"인력1";#N/A,#N/A,FALSE,"인력2";#N/A,#N/A,FALSE,"인력3";#N/A,#N/A,FALSE,"인건1";#N/A,#N/A,FALSE,"인건2";#N/A,#N/A,FALSE,"인건3";#N/A,#N/A,FALSE,"인원증감";#N/A,#N/A,FALSE,"인건증감";#N/A,#N/A,FALSE,"표지등"}</definedName>
    <definedName name="되다짐경비">#REF!</definedName>
    <definedName name="되메">#REF!</definedName>
    <definedName name="되메우기">#REF!</definedName>
    <definedName name="되메우기경">#REF!</definedName>
    <definedName name="되메우기노">#REF!</definedName>
    <definedName name="되메우기다짐경비">#REF!</definedName>
    <definedName name="되메우기다짐노무비">#REF!</definedName>
    <definedName name="되메우기다짐재료비">#REF!</definedName>
    <definedName name="되메우기재">#REF!</definedName>
    <definedName name="되메우기E16">#REF!</definedName>
    <definedName name="됴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ㅛㄷㄱㅂ">#N/A</definedName>
    <definedName name="됴ㅠ굑ㅇ" hidden="1">{#N/A,#N/A,FALSE,"운반시간"}</definedName>
    <definedName name="됻ㄱ">#N/A</definedName>
    <definedName name="둇죠ㅕㅛㅕㅎ롱" hidden="1">{#N/A,#N/A,FALSE,"혼합골재"}</definedName>
    <definedName name="두">{"Book1","TOTAL.xls"}</definedName>
    <definedName name="두겁노">#REF!</definedName>
    <definedName name="두겁재">#REF!</definedName>
    <definedName name="두기1">#REF!</definedName>
    <definedName name="두기1호">#REF!</definedName>
    <definedName name="두기2">#REF!</definedName>
    <definedName name="두기2호">#REF!</definedName>
    <definedName name="두기3">#REF!</definedName>
    <definedName name="두기3호">#REF!</definedName>
    <definedName name="두번째집계표">#REF!</definedName>
    <definedName name="두산건설" hidden="1">{#N/A,#N/A,FALSE,"현장 NCR 분석";#N/A,#N/A,FALSE,"현장품질감사";#N/A,#N/A,FALSE,"현장품질감사"}</definedName>
    <definedName name="두산건설_1" hidden="1">{#N/A,#N/A,FALSE,"현장 NCR 분석";#N/A,#N/A,FALSE,"현장품질감사";#N/A,#N/A,FALSE,"현장품질감사"}</definedName>
    <definedName name="두산건설_2" hidden="1">{#N/A,#N/A,FALSE,"현장 NCR 분석";#N/A,#N/A,FALSE,"현장품질감사";#N/A,#N/A,FALSE,"현장품질감사"}</definedName>
    <definedName name="두산건설_3" hidden="1">{#N/A,#N/A,FALSE,"현장 NCR 분석";#N/A,#N/A,FALSE,"현장품질감사";#N/A,#N/A,FALSE,"현장품질감사"}</definedName>
    <definedName name="두유" hidden="1">{#N/A,#N/A,FALSE,"생산성";#N/A,#N/A,FALSE,"인력1";#N/A,#N/A,FALSE,"인력2";#N/A,#N/A,FALSE,"인력3";#N/A,#N/A,FALSE,"인건1";#N/A,#N/A,FALSE,"인건2";#N/A,#N/A,FALSE,"인건3";#N/A,#N/A,FALSE,"인원증감";#N/A,#N/A,FALSE,"인건증감";#N/A,#N/A,FALSE,"표지등"}</definedName>
    <definedName name="두장" hidden="1">{#N/A,#N/A,FALSE,"운반시간"}</definedName>
    <definedName name="두정1교A743">#REF!</definedName>
    <definedName name="두정터널A1489">#REF!</definedName>
    <definedName name="두하랍셋" hidden="1">{#N/A,#N/A,FALSE,"현장 NCR 분석";#N/A,#N/A,FALSE,"현장품질감사";#N/A,#N/A,FALSE,"현장품질감사"}</definedName>
    <definedName name="둘리" hidden="1">{#N/A,#N/A,FALSE,"단가표지"}</definedName>
    <definedName name="둘월">#REF!</definedName>
    <definedName name="둥근향12노무">#REF!</definedName>
    <definedName name="둥근향12재료">#REF!</definedName>
    <definedName name="둥근향15노무">#REF!</definedName>
    <definedName name="둥근향15재료">#REF!</definedName>
    <definedName name="둥근향20노무">#REF!</definedName>
    <definedName name="둥근향20재료">#REF!</definedName>
    <definedName name="둥근향9노무">#REF!</definedName>
    <definedName name="둥근향9재료">#REF!</definedName>
    <definedName name="뒷장" hidden="1">{#N/A,#N/A,FALSE,"공사금액출력";#N/A,#N/A,FALSE,"외주비분류"}</definedName>
    <definedName name="듀" hidden="1">{#N/A,#N/A,FALSE,"단가표지"}</definedName>
    <definedName name="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_잡_이__공">#REF!</definedName>
    <definedName name="드잡이공001">#REF!</definedName>
    <definedName name="드잡이공002">#REF!</definedName>
    <definedName name="드잡이공011">#REF!</definedName>
    <definedName name="드잡이공982">#REF!</definedName>
    <definedName name="드잡이공991">#REF!</definedName>
    <definedName name="드잡이공992">#REF!</definedName>
    <definedName name="들" hidden="1">{#N/A,#N/A,FALSE,"이태원철근"}</definedName>
    <definedName name="등2노무">#REF!</definedName>
    <definedName name="등2재료">#REF!</definedName>
    <definedName name="등4노무">#REF!</definedName>
    <definedName name="등4재료">#REF!</definedName>
    <definedName name="등6노무">#REF!</definedName>
    <definedName name="등6재료">#REF!</definedName>
    <definedName name="등가거리">#REF!</definedName>
    <definedName name="등가도움">#REF!</definedName>
    <definedName name="등간격">#REF!</definedName>
    <definedName name="등간격폭">#REF!</definedName>
    <definedName name="등급">#REF!</definedName>
    <definedName name="등기구보강">#N/A</definedName>
    <definedName name="등용구분">#N/A</definedName>
    <definedName name="등용구분_15" localSheetId="0">_2._교___량___공</definedName>
    <definedName name="등용구분_15">_2._교___량___공</definedName>
    <definedName name="등용구분_2">_20</definedName>
    <definedName name="등용구분_20">_21</definedName>
    <definedName name="등용구분_20_2">_22</definedName>
    <definedName name="등용구분_20_73">_23</definedName>
    <definedName name="등용구분_20_74">_24</definedName>
    <definedName name="등용구분_21">_25</definedName>
    <definedName name="등용구분_21_2">_26</definedName>
    <definedName name="등용구분_21_73">_27</definedName>
    <definedName name="등용구분_21_74">_28</definedName>
    <definedName name="등용구분_22">_29</definedName>
    <definedName name="등주높이">#N/A</definedName>
    <definedName name="등촌동" hidden="1">{#N/A,#N/A,FALSE,"단가표지"}</definedName>
    <definedName name="등R2">#REF!</definedName>
    <definedName name="등R4">#REF!</definedName>
    <definedName name="등R6">#REF!</definedName>
    <definedName name="등R8">#REF!</definedName>
    <definedName name="디" hidden="1">{#N/A,#N/A,FALSE,"견적갑지";#N/A,#N/A,FALSE,"총괄표";#N/A,#N/A,FALSE,"철골공사";#N/A,#N/A,FALSE,"토목공사";#N/A,#N/A,FALSE,"판넬전기공사"}</definedName>
    <definedName name="디디" hidden="1">{#N/A,#N/A,FALSE,"지침";#N/A,#N/A,FALSE,"환경분석";#N/A,#N/A,FALSE,"Sheet16"}</definedName>
    <definedName name="디지털" hidden="1">{#N/A,#N/A,FALSE,"Sheet1"}</definedName>
    <definedName name="딛읻" hidden="1">{#N/A,#N/A,FALSE,"현장 NCR 분석";#N/A,#N/A,FALSE,"현장품질감사";#N/A,#N/A,FALSE,"현장품질감사"}</definedName>
    <definedName name="ㄷㄳ">#REF!</definedName>
    <definedName name="ㄷㄳㄷ" hidden="1">#REF!</definedName>
    <definedName name="ㄷㄳㅅㄷㄱ" hidden="1">#REF!</definedName>
    <definedName name="ㄷㄳㅎㄷㅂ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ㄺㅈ" localSheetId="0">BlankMacro1</definedName>
    <definedName name="ㄷㄺㅈ">BlankMacro1</definedName>
    <definedName name="ㄸㄱ구믇039786577" hidden="1">#REF!</definedName>
    <definedName name="ㄸㄱ구믇044474422" hidden="1">#REF!</definedName>
    <definedName name="ㄸㄱ구믇053504526" hidden="1">#REF!</definedName>
    <definedName name="ㄸㄱ구믇056236863" hidden="1">#REF!</definedName>
    <definedName name="ㄸㄱ구믇107375323">#REF!</definedName>
    <definedName name="ㄸㄱ구믇251241385" hidden="1">#REF!</definedName>
    <definedName name="ㄸㄱ구믇347347557" hidden="1">#REF!</definedName>
    <definedName name="ㄸㄱ구믇382624268" hidden="1">#REF!</definedName>
    <definedName name="ㄸㄱ구믇407380640" hidden="1">#REF!</definedName>
    <definedName name="ㄸㄱ구믇493553995" hidden="1">#REF!</definedName>
    <definedName name="ㄸㄱ구믇533424019">#REF!</definedName>
    <definedName name="ㄸㄱ구믇554057239" hidden="1">#REF!</definedName>
    <definedName name="ㄸㄱ구믇579518615">#REF!</definedName>
    <definedName name="ㄸㄱ구믇705547510" hidden="1">#REF!</definedName>
    <definedName name="ㄸㄱ구믇767111658" hidden="1">#REF!</definedName>
    <definedName name="ㄸㄱ구믇783995269">#REF!</definedName>
    <definedName name="ㄸㄱ구믇814128636" hidden="1">#REF!</definedName>
    <definedName name="ㄸㄱ구믇814490019">#REF!</definedName>
    <definedName name="ㄸㄱ구믇890142857" hidden="1">#REF!</definedName>
    <definedName name="ㄸㄱ구믇931220530" hidden="1">#REF!</definedName>
    <definedName name="ㄸㄱ구믇ㄸㄱ구믇ㄸㄱ구믇ㄸㄱ구믇ㄸㄱ구믇ㄸㄱ구믇ㄸㄱ구믇ㄸㄱ구믇ㄸㄱ구믇ㄸㄱ구믇ㄸㄱ구믇ㄸㄱ구믇ㄸㄱ구믇ㄸㄱ구믇ㄸㄱ구믇ㄸㄱ구믇ㄸㄱ구믇ㄸㄱ구믇ㄸㄱ구믇ㄸㄱ구믇" hidden="1">#REF!</definedName>
    <definedName name="땃따부따" hidden="1">{#N/A,#N/A,FALSE,"생산성";#N/A,#N/A,FALSE,"인력1";#N/A,#N/A,FALSE,"인력2";#N/A,#N/A,FALSE,"인력3";#N/A,#N/A,FALSE,"인건1";#N/A,#N/A,FALSE,"인건2";#N/A,#N/A,FALSE,"인건3";#N/A,#N/A,FALSE,"인원증감";#N/A,#N/A,FALSE,"인건증감";#N/A,#N/A,FALSE,"표지등"}</definedName>
    <definedName name="땃따부따1" hidden="1">{#N/A,#N/A,FALSE,"생산성";#N/A,#N/A,FALSE,"인력1";#N/A,#N/A,FALSE,"인력2";#N/A,#N/A,FALSE,"인력3";#N/A,#N/A,FALSE,"인건1";#N/A,#N/A,FALSE,"인건2";#N/A,#N/A,FALSE,"인건3";#N/A,#N/A,FALSE,"인원증감";#N/A,#N/A,FALSE,"인건증감";#N/A,#N/A,FALSE,"표지등"}</definedName>
    <definedName name="때죽">#REF!</definedName>
    <definedName name="때죽10노무">#REF!</definedName>
    <definedName name="때죽10재료">#REF!</definedName>
    <definedName name="때죽6노무">#REF!</definedName>
    <definedName name="때죽6재료">#REF!</definedName>
    <definedName name="때죽8노무">#REF!</definedName>
    <definedName name="때죽8재료">#REF!</definedName>
    <definedName name="때죽나무H3.0">#REF!</definedName>
    <definedName name="때죽R10">#REF!</definedName>
    <definedName name="때죽R4">#REF!</definedName>
    <definedName name="때죽R6">#REF!</definedName>
    <definedName name="때죽R8">#REF!</definedName>
    <definedName name="떡">#N/A</definedName>
    <definedName name="또야">#REF!</definedName>
    <definedName name="뚜껑1" hidden="1">{#N/A,#N/A,FALSE,"배수2"}</definedName>
    <definedName name="뚝섬" hidden="1">{#N/A,#N/A,FALSE,"전열산출서"}</definedName>
    <definedName name="뜨껑" hidden="1">{#N/A,#N/A,FALSE,"부대1"}</definedName>
    <definedName name="띠장">#REF!</definedName>
    <definedName name="ㄹ" hidden="1">{#N/A,#N/A,TRUE,"토적및재료집계";#N/A,#N/A,TRUE,"토적및재료집계";#N/A,#N/A,TRUE,"단위량"}</definedName>
    <definedName name="ㄹ1">#REF!</definedName>
    <definedName name="ㄹ116">#REF!</definedName>
    <definedName name="ㄹ120">#REF!</definedName>
    <definedName name="ㄹ2">#REF!</definedName>
    <definedName name="ㄹ221">#REF!</definedName>
    <definedName name="ㄹ403">#REF!</definedName>
    <definedName name="ㄹ48">#REF!</definedName>
    <definedName name="ㄹ62">#REF!</definedName>
    <definedName name="ㄹ78">#REF!</definedName>
    <definedName name="ㄹ87">#REF!</definedName>
    <definedName name="ㄹ91">#REF!</definedName>
    <definedName name="ㄹ가ㅕㅓㄱ8ㅑㅑㅎ" hidden="1">{#N/A,#N/A,FALSE,"운반시간"}</definedName>
    <definedName name="ㄹ갸돟" hidden="1">{#N/A,#N/A,FALSE,"단가표지"}</definedName>
    <definedName name="ㄹ갸ㅓ8ㅑㅑㄴ" hidden="1">{#N/A,#N/A,FALSE,"2~8번"}</definedName>
    <definedName name="ㄹ거ㅗ령ㄺ" hidden="1">{#N/A,#N/A,FALSE,"조골재"}</definedName>
    <definedName name="ㄹㄴ" hidden="1">#REF!</definedName>
    <definedName name="ㄹㄴㄴㄴ" hidden="1">{#N/A,#N/A,FALSE,"이태원철근"}</definedName>
    <definedName name="ㄹㄴㄹㅇㅁㄴ" hidden="1">#REF!</definedName>
    <definedName name="ㄹㄴㅁㄹ" hidden="1">#REF!</definedName>
    <definedName name="ㄹㄴㅁㄹㄴ" hidden="1">{#N/A,"수불부",FALSE,"사급자재수불서";#N/A,"수불부",FALSE,"사급자재수불서"}</definedName>
    <definedName name="ㄹㄴㅁㄹㅇㄴ">{"'Sheet1'!$D$19","'Sheet1'!$B$22:$E$22"}</definedName>
    <definedName name="ㄹㄴㅁㄹㅇㅁㄴ" hidden="1">#REF!</definedName>
    <definedName name="ㄹㄴ머ㅣㅏ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 hidden="1">#REF!</definedName>
    <definedName name="ㄹㄴㅇㄹ">#N/A</definedName>
    <definedName name="ㄹㄴㅇㄹㄴㄹ" localSheetId="0">BlankMacro1</definedName>
    <definedName name="ㄹㄴㅇㄹㄴㄹ">BlankMacro1</definedName>
    <definedName name="ㄹㄴㅇㄹㄴㅇㄹ">#REF!</definedName>
    <definedName name="ㄹㄴㅇㄹㄴㅇㄹㄴㄱㄴㅇ" hidden="1">{#N/A,#N/A,FALSE,"지침";#N/A,#N/A,FALSE,"환경분석";#N/A,#N/A,FALSE,"Sheet16"}</definedName>
    <definedName name="ㄹㄴㅇㄹㅇ">#REF!</definedName>
    <definedName name="ㄹㄴㅇㄹㅇㄹ">#REF!</definedName>
    <definedName name="ㄹㄴㅇㄹㅇㅁ" hidden="1">#REF!</definedName>
    <definedName name="ㄹㄴ어ㅏ홀" hidden="1">{#N/A,#N/A,FALSE,"2~8번"}</definedName>
    <definedName name="ㄹㄴ웋" hidden="1">{#N/A,#N/A,FALSE,"운반시간"}</definedName>
    <definedName name="ㄹㄴㅇㄺㄷ" hidden="1">{#N/A,#N/A,FALSE,"혼합골재"}</definedName>
    <definedName name="ㄹㄴㅇㄻㄴ" hidden="1">{#N/A,#N/A,FALSE,"단가표지"}</definedName>
    <definedName name="ㄹㄴㅋㄿㅊ" hidden="1">#REF!</definedName>
    <definedName name="ㄹㄴ헛혀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호ㅛㅈㄱ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넌러ㅓㅓㅓㅓ" hidden="1">{#N/A,#N/A,FALSE,"교리2"}</definedName>
    <definedName name="ㄹ넌오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노" hidden="1">#REF!</definedName>
    <definedName name="ㄹ놈오" hidden="1">{"'공사부문'!$A$6:$A$32"}</definedName>
    <definedName name="ㄹ놔ㅏㅗ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ㄱ" hidden="1">{"'용역비'!$A$4:$C$8"}</definedName>
    <definedName name="ㄹㄷㄱㄹㄹㅊ" hidden="1">{#N/A,#N/A,FALSE,"CCTV"}</definedName>
    <definedName name="ㄹㄷㄹㄹ" hidden="1">{#N/A,#N/A,FALSE,"물량산출"}</definedName>
    <definedName name="ㄹㄷㄹㅇㄴㄹㄴㄹㄴㄹㄴㄹㄶㅈㄷ">#REF!</definedName>
    <definedName name="ㄹㄷ려ㅗ" hidden="1">{#N/A,#N/A,FALSE,"혼합골재"}</definedName>
    <definedName name="ㄹㄷㅅ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ㄷㅈ" hidden="1">{#N/A,#N/A,FALSE,"이태원철근"}</definedName>
    <definedName name="ㄹ더ㅗ룏ㅎ" hidden="1">{#N/A,#N/A,FALSE,"표지목차"}</definedName>
    <definedName name="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 localSheetId="0">ErrorHandler_1</definedName>
    <definedName name="ㄹㄹㄹ">ErrorHandler_1</definedName>
    <definedName name="ㄹㄹㄹ.ㅣㅣ" hidden="1">{#N/A,#N/A,FALSE,"이정표"}</definedName>
    <definedName name="ㄹㄹㄹㄹ" hidden="1">{"'Firr(선)'!$AS$1:$AY$62","'Firr(사)'!$AS$1:$AY$62","'Firr(회)'!$AS$1:$AY$62","'Firr(선)'!$L$1:$V$62","'Firr(사)'!$L$1:$V$62","'Firr(회)'!$L$1:$V$62"}</definedName>
    <definedName name="ㄹㄹ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ㄹ" hidden="1">{#N/A,#N/A,FALSE,"BS";#N/A,#N/A,FALSE,"PL";#N/A,#N/A,FALSE,"처분";#N/A,#N/A,FALSE,"현금";#N/A,#N/A,FALSE,"매출";#N/A,#N/A,FALSE,"원가";#N/A,#N/A,FALSE,"경영"}</definedName>
    <definedName name="ㄹㄹㄹㄹ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ㄹㄹㄹ">#REF!</definedName>
    <definedName name="ㄹㄹㄹㄹㄹㄹㄹㄹㄹㄹㄹㄹㄹㄹㄹ">#REF!</definedName>
    <definedName name="ㄹㄹㄹㄹㅀㅎ">#N/A</definedName>
    <definedName name="ㄹㄹㄹㅈㄹ" hidden="1">{#N/A,#N/A,FALSE,"혼합골재"}</definedName>
    <definedName name="ㄹㄹ로" hidden="1">{#N/A,#N/A,FALSE,"골재소요량";#N/A,#N/A,FALSE,"골재소요량"}</definedName>
    <definedName name="ㄹㄹㅇㄴ" localSheetId="0">Dlog_Show</definedName>
    <definedName name="ㄹㄹㅇㄴ">Dlog_Show</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ㄹㅇㄴㄹㅇㄴㅇㄴ" hidden="1">#REF!</definedName>
    <definedName name="ㄹㄹㅇㅇㄴㄹ" hidden="1">{#N/A,#N/A,FALSE,"부대2"}</definedName>
    <definedName name="ㄹㄹㅇㅎㅇㅀ">#REF!</definedName>
    <definedName name="ㄹㄹ허록" hidden="1">{#N/A,#N/A,FALSE,"단가표지"}</definedName>
    <definedName name="ㄹㄹ허ㅕㅅ" hidden="1">{#N/A,#N/A,FALSE,"단가표지"}</definedName>
    <definedName name="ㄹㄹ허ㅗㄱ" hidden="1">{#N/A,#N/A,FALSE,"단가표지"}</definedName>
    <definedName name="ㄹ러ㅏㅓㅑㅎㄳ" hidden="1">{#N/A,#N/A,FALSE,"표지목차"}</definedName>
    <definedName name="ㄹ렁ㄹ헣ㄴ" hidden="1">{#N/A,#N/A,FALSE,"표지목차"}</definedName>
    <definedName name="ㄹ로ㅗㅓㅎ">{"'자리배치도'!$AG$1:$CI$28"}</definedName>
    <definedName name="ㄹ마ㅡㄴ라ㅡ" hidden="1">{"'공사부문'!$A$6:$A$32"}</definedName>
    <definedName name="ㄹ속쇼" hidden="1">{#N/A,#N/A,FALSE,"조골재"}</definedName>
    <definedName name="ㄹ쇼스" hidden="1">{#N/A,#N/A,FALSE,"골재소요량";#N/A,#N/A,FALSE,"골재소요량"}</definedName>
    <definedName name="ㄹㅇ" hidden="1">{#N/A,#N/A,FALSE,"도급대비시행율";#N/A,#N/A,FALSE,"결의서";#N/A,#N/A,FALSE,"내역서";#N/A,#N/A,FALSE,"도급예상"}</definedName>
    <definedName name="ㄹㅇㄱ" hidden="1">{#N/A,#N/A,FALSE,"단가표지"}</definedName>
    <definedName name="ㄹㅇㄴ" hidden="1">{"'Sheet1'!$L$16"}</definedName>
    <definedName name="ㄹㅇㄴㄴㅇㅇㄴ" hidden="1">{#N/A,#N/A,FALSE,"CCTV"}</definedName>
    <definedName name="ㄹㅇㄴㄹ" hidden="1">#REF!</definedName>
    <definedName name="ㄹㅇㄴㄹㄴㅁ"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ㄹㅇㄴㄹㄴㅁㄹ">#REF!</definedName>
    <definedName name="ㄹㅇㄴㄹㄴㅇ">#REF!</definedName>
    <definedName name="ㄹㅇㄴㄹㄴㅇㄹㄴㅇㄹ">{"'정산내역서'!$A$1:$I$35","'정산서(절.성토부)'!$A$1:$Q$17","'정산서(교량부)'!$A$1:$Q$84","'총괄표'!$A$1:$M$12","'시행현황'!$A$1:$G$12","'표지'!$A$1:$N$27","'정산서(절.성토부)'!$A$3:$Q$7"}</definedName>
    <definedName name="ㄹㅇㄴㄹㄹㄷ" hidden="1">{#N/A,#N/A,FALSE,"표지목차"}</definedName>
    <definedName name="ㄹㅇㄴㄹㅇㄴㅁ"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ㄹㅇㄴㄹㅇㄴㅁㄹㅇㄴㅁ"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ㄹㅇㄴㅁ"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ㄹㅇㄴㅁㄹㄹ" hidden="1">{#N/A,#N/A,FALSE,"이태원철근"}</definedName>
    <definedName name="ㄹㅇㄴㅁㄹㅇㄴㅁ"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ㄹㅇㄴㅁㄹㅇㄴㅁㄹㅇㄴㅁ"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ㄹㅇㄴㅁㄹㅇㄴㅁㄹㅇㅁㄴㄹㅇㄴㅁㄹ"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ㄹㅇㄴㅁㅁㄹㅇㄴㄹㅇㄴ">{"'자리배치도'!$AG$1:$CI$28"}</definedName>
    <definedName name="ㄹㅇㄴ미ㅏㄹ" localSheetId="0">BlankMacro1</definedName>
    <definedName name="ㄹㅇㄴ미ㅏㄹ">BlankMacro1</definedName>
    <definedName name="ㄹㅇㄴㅁㄻ">{"Book1","토공.xls"}</definedName>
    <definedName name="ㄹㅇㄴㅁㄻㅇㄴㄻㄴㅇ" hidden="1">#REF!</definedName>
    <definedName name="ㄹㅇㄴㅇ">#N/A</definedName>
    <definedName name="ㄹㅇ나ㅓㅗ푤유" hidden="1">{#N/A,#N/A,FALSE,"조골재"}</definedName>
    <definedName name="ㄹㅇ놓ㄴㅇ롱" hidden="1">{#N/A,#N/A,FALSE,"지침";#N/A,#N/A,FALSE,"환경분석";#N/A,#N/A,FALSE,"Sheet16"}</definedName>
    <definedName name="ㄹㅇㄷ" hidden="1">{#N/A,#N/A,FALSE,"단가표지"}</definedName>
    <definedName name="ㄹㅇㄷㅈㄷㅈ" hidden="1">{#N/A,#N/A,FALSE,"배수2"}</definedName>
    <definedName name="ㄹㅇㄷㅎ픁" hidden="1">{#N/A,#N/A,FALSE,"단가표지"}</definedName>
    <definedName name="ㄹㅇㄹ">#REF!</definedName>
    <definedName name="ㄹㅇㄹ_1" hidden="1">{#N/A,#N/A,FALSE,"혼합골재"}</definedName>
    <definedName name="ㄹㅇㄹ_2" hidden="1">{#N/A,#N/A,FALSE,"혼합골재"}</definedName>
    <definedName name="ㄹㅇㄹ_3" hidden="1">{#N/A,#N/A,FALSE,"혼합골재"}</definedName>
    <definedName name="ㄹㅇㄹㄷㅈㅍ" hidden="1">{#N/A,#N/A,FALSE,"혼합골재"}</definedName>
    <definedName name="ㄹㅇㄹㅇ">#REF!,#REF!</definedName>
    <definedName name="ㄹㅇㄹㅇㄴ" hidden="1">{#N/A,"수불부",FALSE,"사급자재수불서";#N/A,"수불부",FALSE,"사급자재수불서"}</definedName>
    <definedName name="ㄹㅇㄹㅇㄹ" localSheetId="0">BlankMacro1</definedName>
    <definedName name="ㄹㅇㄹㅇㄹ">BlankMacro1</definedName>
    <definedName name="ㄹㅇㄹㅇㄹㄴㅇㄹ" hidden="1">#REF!</definedName>
    <definedName name="ㄹㅇㄹㅇㄹㅇㄹㅇ">#N/A</definedName>
    <definedName name="ㄹㅇㄹㅈㄷㅊ" hidden="1">#REF!</definedName>
    <definedName name="ㄹㅇㄹ허ㅗㅜㅅ" hidden="1">{#N/A,#N/A,FALSE,"단가표지"}</definedName>
    <definedName name="ㄹㅇ라ㅓㅗ교" hidden="1">{#N/A,#N/A,FALSE,"조골재"}</definedName>
    <definedName name="ㄹㅇ로" hidden="1">{#N/A,#N/A,TRUE,"대외공문"}</definedName>
    <definedName name="ㄹㅇ로_1" hidden="1">{#N/A,#N/A,TRUE,"대외공문"}</definedName>
    <definedName name="ㄹㅇ로_2" hidden="1">{#N/A,#N/A,TRUE,"대외공문"}</definedName>
    <definedName name="ㄹㅇ로_3" hidden="1">{#N/A,#N/A,TRUE,"대외공문"}</definedName>
    <definedName name="ㄹㅇ로ㅓㄱ" hidden="1">{#N/A,#N/A,FALSE,"단가표지"}</definedName>
    <definedName name="ㄹㅇ롷ㅅ" hidden="1">{#N/A,#N/A,FALSE,"단가표지"}</definedName>
    <definedName name="ㄹㅇㅁㄴ" hidden="1">#REF!</definedName>
    <definedName name="ㄹㅇㅁㄴㄹ" hidden="1">{#N/A,#N/A,FALSE,"혼합골재"}</definedName>
    <definedName name="ㄹㅇㅁㅁㄹㄹㅇㄴㄹㅇㅁㄴㄻㅇㄴㄹㄴㅇ" hidden="1">{"'자리배치도'!$AG$1:$CI$28"}</definedName>
    <definedName name="ㄹㅇㅁㅇ">#REF!</definedName>
    <definedName name="ㄹㅇㅁㄶㅁㅈㄷㄻ" hidden="1">{#N/A,#N/A,FALSE,"교리2"}</definedName>
    <definedName name="ㄹㅇㅂ" hidden="1">{#N/A,#N/A,FALSE,"이태원철근"}</definedName>
    <definedName name="ㄹㅇㅇ" hidden="1">{#N/A,#N/A,FALSE,"현장 NCR 분석";#N/A,#N/A,FALSE,"현장품질감사";#N/A,#N/A,FALSE,"현장품질감사"}</definedName>
    <definedName name="ㄹㅇㅇㅎㅅㅎㅅㄱ" hidden="1">{#N/A,#N/A,FALSE,"단가표지"}</definedName>
    <definedName name="ㄹㅇㅇㅎㅇ">#REF!</definedName>
    <definedName name="ㄹㅇㅇㅎㄳㅅ" hidden="1">{#N/A,#N/A,FALSE,"운반시간"}</definedName>
    <definedName name="ㄹㅇ옿ㄹㄷ" hidden="1">{#N/A,#N/A,FALSE,"조골재"}</definedName>
    <definedName name="ㄹㅇ으로굗ㄹ" hidden="1">{#N/A,#N/A,FALSE,"조골재"}</definedName>
    <definedName name="ㄹㅇㅇㄻㅇㄻㄴㄹㅇㄴ">{"'자리배치도'!$AG$1:$CI$28"}</definedName>
    <definedName name="ㄹㅇㅊ">#REF!,#REF!</definedName>
    <definedName name="ㄹㅇ츄" hidden="1">{#N/A,#N/A,FALSE,"운반시간"}</definedName>
    <definedName name="ㄹㅇ츌ㅇ" hidden="1">{#N/A,#N/A,FALSE,"골재소요량";#N/A,#N/A,FALSE,"골재소요량"}</definedName>
    <definedName name="ㄹㅇㅌㅇㄴㄱㄷ" hidden="1">{#N/A,#N/A,FALSE,"포장2"}</definedName>
    <definedName name="ㄹㅇ톡뎌허" hidden="1">{#N/A,#N/A,FALSE,"단가표지"}</definedName>
    <definedName name="ㄹㅇㅍㄱㄷㅎ" hidden="1">{#N/A,#N/A,FALSE,"단가표지"}</definedName>
    <definedName name="ㄹㅇㅍㄹㅇ픃ㄱ" hidden="1">{#N/A,#N/A,FALSE,"단가표지"}</definedName>
    <definedName name="ㄹㅇㅍㄹ유" hidden="1">{#N/A,#N/A,FALSE,"조골재"}</definedName>
    <definedName name="ㄹㅇㅍㄹ윯" hidden="1">{#N/A,#N/A,FALSE,"표지목차"}</definedName>
    <definedName name="ㄹㅇㅍㅇ륭ㄹ" hidden="1">{#N/A,#N/A,FALSE,"단가표지"}</definedName>
    <definedName name="ㄹㅇㅍㅇㅍ" hidden="1">{#N/A,#N/A,FALSE,"단가표지"}</definedName>
    <definedName name="ㄹㅇㅍㅎ로" hidden="1">{#N/A,#N/A,FALSE,"2~8번"}</definedName>
    <definedName name="ㄹㅇ퓨ㅓㅜㅏㅗㅜㅠㅅ퐇휴ㅗㅎ" hidden="1">{#N/A,#N/A,FALSE,"조골재"}</definedName>
    <definedName name="ㄹㅇ퓰유" hidden="1">{#N/A,#N/A,FALSE,"2~8번"}</definedName>
    <definedName name="ㄹㅇ퓰윻" hidden="1">{#N/A,#N/A,FALSE,"골재소요량";#N/A,#N/A,FALSE,"골재소요량"}</definedName>
    <definedName name="ㄹㅇ퓽ㄹ퓻" hidden="1">{#N/A,#N/A,FALSE,"혼합골재"}</definedName>
    <definedName name="ㄹㅇ퓿ㅌ퓨" hidden="1">{#N/A,#N/A,FALSE,"단가표지"}</definedName>
    <definedName name="ㄹㅇ픃ㄱㄹㅇㅍㅎㄱ" hidden="1">{#N/A,#N/A,FALSE,"단가표지"}</definedName>
    <definedName name="ㄹㅇ픃ㄹㅇㅍ" hidden="1">{#N/A,#N/A,FALSE,"혼합골재"}</definedName>
    <definedName name="ㄹㅇㅍㄳㅎ" hidden="1">{#N/A,#N/A,FALSE,"운반시간"}</definedName>
    <definedName name="ㄹㅇㅎ">#REF!,#REF!</definedName>
    <definedName name="ㄹㅇㅎㄱ" hidden="1">{#N/A,#N/A,FALSE,"단가표지"}</definedName>
    <definedName name="ㄹㅇㅎㄱㄷ" hidden="1">{#N/A,#N/A,FALSE,"조골재"}</definedName>
    <definedName name="ㄹㅇㅎㄱㄷㅎ" hidden="1">{#N/A,#N/A,FALSE,"조골재"}</definedName>
    <definedName name="ㄹㅇㅎㄱㄷㅎㄷㅎ">#N/A</definedName>
    <definedName name="ㄹㅇㅎㄱㄷㅎㅅ" hidden="1">{#N/A,#N/A,FALSE,"혼합골재"}</definedName>
    <definedName name="ㄹㅇㅎㄱㄷ호" hidden="1">{#N/A,#N/A,FALSE,"2~8번"}</definedName>
    <definedName name="ㄹㅇㅎㄱㄷ흉" hidden="1">{#N/A,#N/A,FALSE,"혼합골재"}</definedName>
    <definedName name="ㄹㅇㅎㄱ더홋" hidden="1">{#N/A,#N/A,FALSE,"골재소요량";#N/A,#N/A,FALSE,"골재소요량"}</definedName>
    <definedName name="ㄹㅇㅎㄱ돟로" hidden="1">{#N/A,#N/A,FALSE,"단가표지"}</definedName>
    <definedName name="ㄹㅇㅎㄱ듀" hidden="1">{#N/A,#N/A,FALSE,"조골재"}</definedName>
    <definedName name="ㄹㅇㅎㄱㄷㄳ" hidden="1">{#N/A,#N/A,FALSE,"단가표지"}</definedName>
    <definedName name="ㄹㅇㅎㄱ소" hidden="1">{#N/A,#N/A,FALSE,"조골재"}</definedName>
    <definedName name="ㄹㅇㅎㄱ소ㅗ" hidden="1">{#N/A,#N/A,FALSE,"표지목차"}</definedName>
    <definedName name="ㄹㅇㅎ고" hidden="1">{#N/A,#N/A,FALSE,"2~8번"}</definedName>
    <definedName name="ㄹㅇㅎㄴㅇ" hidden="1">{#N/A,#N/A,FALSE,"조골재"}</definedName>
    <definedName name="ㄹㅇㅎㄷㄱㅎ" hidden="1">{#N/A,#N/A,FALSE,"혼합골재"}</definedName>
    <definedName name="ㄹㅇㅎㄷㄱㅎㄱ" hidden="1">{#N/A,#N/A,FALSE,"단가표지"}</definedName>
    <definedName name="ㄹㅇㅎㄷ곻" hidden="1">{#N/A,#N/A,FALSE,"골재소요량";#N/A,#N/A,FALSE,"골재소요량"}</definedName>
    <definedName name="ㄹㅇㅎㄹ" hidden="1">{#N/A,#N/A,FALSE,"현장 NCR 분석";#N/A,#N/A,FALSE,"현장품질감사";#N/A,#N/A,FALSE,"현장품질감사"}</definedName>
    <definedName name="ㄹㅇㅎㄹㄹ퓩" hidden="1">{#N/A,#N/A,FALSE,"단가표지"}</definedName>
    <definedName name="ㄹㅇㅎㄹㅇ">#N/A</definedName>
    <definedName name="ㄹㅇㅎㄹㅇㅎ">[0]!_13101</definedName>
    <definedName name="ㄹㅇㅎㄹㅇㅎㄱ" hidden="1">{#N/A,#N/A,FALSE,"골재소요량";#N/A,#N/A,FALSE,"골재소요량"}</definedName>
    <definedName name="ㄹㅇㅎㄹㅇㅎㄳ" hidden="1">{#N/A,#N/A,FALSE,"단가표지"}</definedName>
    <definedName name="ㄹㅇㅎㄹ윣" hidden="1">{#N/A,#N/A,FALSE,"단가표지"}</definedName>
    <definedName name="ㄹㅇㅎㅅ" hidden="1">{#N/A,#N/A,FALSE,"단가표지"}</definedName>
    <definedName name="ㄹㅇㅎㅅㄱㅎㄷㄱ" hidden="1">{#N/A,#N/A,FALSE,"2~8번"}</definedName>
    <definedName name="ㄹㅇㅎㅅㄱㅎㅅ" hidden="1">{#N/A,#N/A,FALSE,"단가표지"}</definedName>
    <definedName name="ㄹㅇㅎㅅ귷" hidden="1">{#N/A,#N/A,FALSE,"단가표지"}</definedName>
    <definedName name="ㄹㅇㅎㅇ" hidden="1">{#N/A,#N/A,FALSE,"표지목차"}</definedName>
    <definedName name="ㄹㅇㅎㅇㅎ" hidden="1">{#N/A,#N/A,FALSE,"표지목차"}</definedName>
    <definedName name="ㄹㅇㅎㅇ혹" hidden="1">{#N/A,#N/A,FALSE,"운반시간"}</definedName>
    <definedName name="ㄹㅇㅎㅇ휴류" hidden="1">{#N/A,#N/A,FALSE,"운반시간"}</definedName>
    <definedName name="ㄹㅇㅎㅇㅀ" hidden="1">{#N/A,#N/A,FALSE,"부대2"}</definedName>
    <definedName name="ㄹㅇㅎ어ㅗㄱ" hidden="1">{#N/A,#N/A,FALSE,"혼합골재"}</definedName>
    <definedName name="ㄹㅇㅎ이ㅓ행ㄹ" hidden="1">{#N/A,#N/A,FALSE,"단가표지"}</definedName>
    <definedName name="ㄹㅇㅎㅍㄳㄷㅇㅍㅎㄹㅇ" hidden="1">{#N/A,#N/A,FALSE,"혼합골재"}</definedName>
    <definedName name="ㄹㅇㅎㅎㄳ" hidden="1">{#N/A,#N/A,FALSE,"단가표지"}</definedName>
    <definedName name="ㄹㅇ하ㅓㅑㄱ" hidden="1">{#N/A,#N/A,FALSE,"표지목차"}</definedName>
    <definedName name="ㄹㅇ해ㅗㅕㅑㅅ" hidden="1">{#N/A,#N/A,FALSE,"단가표지"}</definedName>
    <definedName name="ㄹㅇ햐허ㅑㄱ" hidden="1">{#N/A,#N/A,FALSE,"운반시간"}</definedName>
    <definedName name="ㄹㅇ허곻" hidden="1">{#N/A,#N/A,FALSE,"단가표지"}</definedName>
    <definedName name="ㄹㅇ허홋ㅇㄱㄹ" hidden="1">{#N/A,#N/A,FALSE,"조골재"}</definedName>
    <definedName name="ㄹㅇ허힝" hidden="1">{#N/A,#N/A,FALSE,"단가표지"}</definedName>
    <definedName name="ㄹㅇ허ㅏㅏㅇ" hidden="1">{#N/A,#N/A,FALSE,"운반시간"}</definedName>
    <definedName name="ㄹㅇ허ㅗㄱ셯" hidden="1">{#N/A,#N/A,FALSE,"조골재"}</definedName>
    <definedName name="ㄹㅇ허ㅗ겯ㅎ" hidden="1">{#N/A,#N/A,FALSE,"운반시간"}</definedName>
    <definedName name="ㄹㅇ허ㅗㄹ" hidden="1">{#N/A,#N/A,FALSE,"조골재"}</definedName>
    <definedName name="ㄹㅇ허ㅗㅓㅇㄹ" hidden="1">{#N/A,#N/A,FALSE,"표지목차"}</definedName>
    <definedName name="ㄹㅇ허ㅜㅕ허" hidden="1">{#N/A,#N/A,FALSE,"조골재"}</definedName>
    <definedName name="ㄹㅇ헛ㅎ" hidden="1">{#N/A,#N/A,FALSE,"혼합골재"}</definedName>
    <definedName name="ㄹㅇ헣ㅅㅎ" hidden="1">{#N/A,#N/A,FALSE,"운반시간"}</definedName>
    <definedName name="ㄹㅇ혀ㅓㅗㅎㄳ" hidden="1">{#N/A,#N/A,FALSE,"혼합골재"}</definedName>
    <definedName name="ㄹㅇ호">#N/A</definedName>
    <definedName name="ㄹㅇ호ㅓㅏㄳ" hidden="1">{#N/A,#N/A,FALSE,"단가표지"}</definedName>
    <definedName name="ㄹㅇ호ㅗ" hidden="1">{#N/A,#N/A,FALSE,"단가표지"}</definedName>
    <definedName name="ㄹㅇ호ㅛㄱㅎ" hidden="1">{#N/A,#N/A,FALSE,"운반시간"}</definedName>
    <definedName name="ㄹㅇ혹ㅎ" hidden="1">{#N/A,#N/A,FALSE,"혼합골재"}</definedName>
    <definedName name="ㄹㅇ혻ㄷ호" hidden="1">{#N/A,#N/A,FALSE,"운반시간"}</definedName>
    <definedName name="ㄹㅇ혻혻" hidden="1">{#N/A,#N/A,FALSE,"골재소요량";#N/A,#N/A,FALSE,"골재소요량"}</definedName>
    <definedName name="ㄹㅇ혿ㄱ" hidden="1">{#N/A,#N/A,FALSE,"혼합골재"}</definedName>
    <definedName name="ㄹㅇ홋ㄱ" hidden="1">{#N/A,#N/A,FALSE,"단가표지"}</definedName>
    <definedName name="ㄹㅇ홍ㅎㄱ" hidden="1">{#N/A,#N/A,FALSE,"2~8번"}</definedName>
    <definedName name="ㄹㅇ홍혹" hidden="1">{#N/A,#N/A,FALSE,"단가표지"}</definedName>
    <definedName name="ㄹㅇ홓ㄱ" hidden="1">{#N/A,#N/A,FALSE,"운반시간"}</definedName>
    <definedName name="ㄹㅇ휵ㄷㅇㅎ" hidden="1">{#N/A,#N/A,FALSE,"표지목차"}</definedName>
    <definedName name="ㄹㅇ흎ㅇㅀㅍㄳㄷ" hidden="1">{#N/A,#N/A,FALSE,"단가표지"}</definedName>
    <definedName name="ㄹㅇ흏ㅀㅅ" hidden="1">{#N/A,#N/A,FALSE,"단가표지"}</definedName>
    <definedName name="ㄹㅇ흣호ㅕㅅ" hidden="1">{#N/A,#N/A,FALSE,"2~8번"}</definedName>
    <definedName name="ㄹㅇ히ㅓ갸" hidden="1">{#N/A,#N/A,FALSE,"골재소요량";#N/A,#N/A,FALSE,"골재소요량"}</definedName>
    <definedName name="ㄹㅇㅎㄳ" hidden="1">{#N/A,#N/A,FALSE,"2~8번"}</definedName>
    <definedName name="ㄹㅇㅎㄳㄷㅎㅅ" hidden="1">{#N/A,#N/A,FALSE,"운반시간"}</definedName>
    <definedName name="ㄹㅇㅎㄳㄷ홋ㄱ" hidden="1">{#N/A,#N/A,FALSE,"단가표지"}</definedName>
    <definedName name="ㄹㅇㅎㄳ셔" hidden="1">{#N/A,#N/A,FALSE,"골재소요량";#N/A,#N/A,FALSE,"골재소요량"}</definedName>
    <definedName name="ㄹㅇㅀ" hidden="1">{#N/A,#N/A,FALSE,"골재소요량";#N/A,#N/A,FALSE,"골재소요량"}</definedName>
    <definedName name="ㄹ아러갸허" hidden="1">{#N/A,#N/A,FALSE,"2~8번"}</definedName>
    <definedName name="ㄹ아포료ㅑㅇㅍ" hidden="1">{#N/A,#N/A,FALSE,"조골재"}</definedName>
    <definedName name="ㄹ아퓨ㅗㄹㅇ퓨" hidden="1">{#N/A,#N/A,FALSE,"단가표지"}</definedName>
    <definedName name="ㄹ아헐ㅇ" hidden="1">{#N/A,#N/A,FALSE,"골재소요량";#N/A,#N/A,FALSE,"골재소요량"}</definedName>
    <definedName name="ㄹ아호ㅛㄳ" hidden="1">{#N/A,#N/A,FALSE,"골재소요량";#N/A,#N/A,FALSE,"골재소요량"}</definedName>
    <definedName name="ㄹ아횩ㄱ" hidden="1">{#N/A,#N/A,FALSE,"단가표지"}</definedName>
    <definedName name="ㄹ아ㅓ갸" hidden="1">{#N/A,#N/A,FALSE,"운반시간"}</definedName>
    <definedName name="ㄹ아ㅓ곃" hidden="1">{#N/A,#N/A,FALSE,"운반시간"}</definedName>
    <definedName name="ㄹ아ㅓㅅㅎ" hidden="1">{#N/A,#N/A,FALSE,"조골재"}</definedName>
    <definedName name="ㄹ아ㅓㅀ어ㅏㅎ" hidden="1">{#N/A,#N/A,FALSE,"운반시간"}</definedName>
    <definedName name="ㄹ아ㅓㅗㄱㅎ" hidden="1">{#N/A,#N/A,FALSE,"골재소요량";#N/A,#N/A,FALSE,"골재소요량"}</definedName>
    <definedName name="ㄹ아ㅓㅗㅎ" hidden="1">{#N/A,#N/A,FALSE,"혼합골재"}</definedName>
    <definedName name="ㄹ아ㅗㄱ" hidden="1">{#N/A,#N/A,FALSE,"단가표지"}</definedName>
    <definedName name="ㄹ아ㅗ굫" hidden="1">{#N/A,#N/A,FALSE,"단가표지"}</definedName>
    <definedName name="ㄹ아ㅗㅎ곃" hidden="1">{#N/A,#N/A,FALSE,"혼합골재"}</definedName>
    <definedName name="ㄹ아ㅗ혃" hidden="1">{#N/A,#N/A,FALSE,"운반시간"}</definedName>
    <definedName name="ㄹ아ㅗ횩" hidden="1">{#N/A,#N/A,FALSE,"단가표지"}</definedName>
    <definedName name="ㄹ아ㅛ혹" hidden="1">{#N/A,#N/A,FALSE,"단가표지"}</definedName>
    <definedName name="ㄹ아ㅣㄹ" hidden="1">#REF!</definedName>
    <definedName name="ㄹ아ㅣ헉셯" hidden="1">{#N/A,#N/A,FALSE,"2~8번"}</definedName>
    <definedName name="ㄹ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알허ㅑㄱ" hidden="1">{#N/A,#N/A,FALSE,"단가표지"}</definedName>
    <definedName name="ㄹ어고렿" hidden="1">{#N/A,#N/A,FALSE,"골재소요량";#N/A,#N/A,FALSE,"골재소요량"}</definedName>
    <definedName name="ㄹ어로결" hidden="1">{#N/A,#N/A,FALSE,"표지목차"}</definedName>
    <definedName name="ㄹ어로혁" hidden="1">{#N/A,#N/A,FALSE,"2~8번"}</definedName>
    <definedName name="ㄹ어미ㅏㄹ">{"'Sheet1'!$D$19","'Sheet1'!$B$22:$E$22"}</definedName>
    <definedName name="ㄹ어샤" hidden="1">{#N/A,#N/A,FALSE,"단가표지"}</definedName>
    <definedName name="ㄹ어호교ㅕ" hidden="1">{#N/A,#N/A,FALSE,"운반시간"}</definedName>
    <definedName name="ㄹ어혹ㄷㅎ" hidden="1">{#N/A,#N/A,FALSE,"운반시간"}</definedName>
    <definedName name="ㄹ어혹ㅎ" hidden="1">{#N/A,#N/A,FALSE,"단가표지"}</definedName>
    <definedName name="ㄹ어혿" hidden="1">{#N/A,#N/A,FALSE,"표지목차"}</definedName>
    <definedName name="ㄹ어횩" hidden="1">{#N/A,#N/A,FALSE,"표지목차"}</definedName>
    <definedName name="ㄹ어ㅏ요ㅕㅐ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어ㅏ혹ㄷ" hidden="1">{#N/A,#N/A,FALSE,"골재소요량";#N/A,#N/A,FALSE,"골재소요량"}</definedName>
    <definedName name="ㄹ어ㅏㅗㄱㅎ" hidden="1">{#N/A,#N/A,FALSE,"혼합골재"}</definedName>
    <definedName name="ㄹ어ㅏㅗㄹ" hidden="1">{#N/A,#N/A,FALSE,"표지목차"}</definedName>
    <definedName name="ㄹ어ㅏㅗㅎ" hidden="1">{#N/A,#N/A,FALSE,"단가표지"}</definedName>
    <definedName name="ㄹ어ㅏㅗㅎ겯" hidden="1">{#N/A,#N/A,FALSE,"골재소요량";#N/A,#N/A,FALSE,"골재소요량"}</definedName>
    <definedName name="ㄹ어ㅗ곃ㄷ" hidden="1">{#N/A,#N/A,FALSE,"운반시간"}</definedName>
    <definedName name="ㄹ어ㅗㅗ사ㅣㄹ" hidden="1">{#N/A,#N/A,FALSE,"표지목차"}</definedName>
    <definedName name="ㄹ어ㅛ혹ㄷㅎ" hidden="1">{#N/A,#N/A,FALSE,"혼합골재"}</definedName>
    <definedName name="ㄹ어ㅛ혹셔" hidden="1">{#N/A,#N/A,FALSE,"2~8번"}</definedName>
    <definedName name="ㄹ얼횯ㄱ" hidden="1">{#N/A,#N/A,FALSE,"혼합골재"}</definedName>
    <definedName name="ㄹ엃굘ㄷㄹ" hidden="1">{#N/A,#N/A,FALSE,"단가표지"}</definedName>
    <definedName name="ㄹ여하ㅛ여ㅐㅏ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여ㅑㅛ혀ㅑㄱ셔" hidden="1">{#N/A,#N/A,FALSE,"운반시간"}</definedName>
    <definedName name="ㄹ여ㅗㅎㄱ" hidden="1">{#N/A,#N/A,FALSE,"운반시간"}</definedName>
    <definedName name="ㄹ엻ㄱㅎ" hidden="1">{#N/A,#N/A,FALSE,"단가표지"}</definedName>
    <definedName name="ㄹ오혃" hidden="1">{#N/A,#N/A,FALSE,"단가표지"}</definedName>
    <definedName name="ㄹ오혓ㄱㄷ" hidden="1">{#N/A,#N/A,FALSE,"단가표지"}</definedName>
    <definedName name="ㄹ오혹" hidden="1">{#N/A,#N/A,FALSE,"단가표지"}</definedName>
    <definedName name="ㄹ오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오ㅓㄹ퓨" hidden="1">{#N/A,#N/A,FALSE,"단가표지"}</definedName>
    <definedName name="ㄹ오ㅓ호ㅛㅛㄱ" hidden="1">{#N/A,#N/A,FALSE,"골재소요량";#N/A,#N/A,FALSE,"골재소요량"}</definedName>
    <definedName name="ㄹ오ㅡ횩" hidden="1">{#N/A,#N/A,FALSE,"운반시간"}</definedName>
    <definedName name="ㄹ옥ㅎ" hidden="1">{#N/A,#N/A,FALSE,"단가표지"}</definedName>
    <definedName name="ㄹ올옹ㅀ" hidden="1">{#N/A,#N/A,FALSE,"지침";#N/A,#N/A,FALSE,"환경분석";#N/A,#N/A,FALSE,"Sheet16"}</definedName>
    <definedName name="ㄹ옹ㅎㄺ" hidden="1">{#N/A,#N/A,FALSE,"단가표지"}</definedName>
    <definedName name="ㄹ옿ㄱ둏" hidden="1">{#N/A,#N/A,FALSE,"조골재"}</definedName>
    <definedName name="ㄹ옿곃" hidden="1">{#N/A,#N/A,FALSE,"조골재"}</definedName>
    <definedName name="ㄹ옿굫ㄱㄷ" hidden="1">{#N/A,#N/A,FALSE,"단가표지"}</definedName>
    <definedName name="ㄹ옿ㄹ교" hidden="1">{#N/A,#N/A,FALSE,"운반시간"}</definedName>
    <definedName name="ㄹ와퐆" hidden="1">{#N/A,#N/A,FALSE,"단가표지"}</definedName>
    <definedName name="ㄹ욕" hidden="1">{#N/A,#N/A,FALSE,"혼합골재"}</definedName>
    <definedName name="ㄹ욯ㄹ" hidden="1">{#N/A,#N/A,FALSE,"운반시간"}</definedName>
    <definedName name="ㄹ율ㅇㅍㅀ" hidden="1">{#N/A,#N/A,FALSE,"골재소요량";#N/A,#N/A,FALSE,"골재소요량"}</definedName>
    <definedName name="ㄹ율흏" hidden="1">{#N/A,#N/A,FALSE,"골재소요량";#N/A,#N/A,FALSE,"골재소요량"}</definedName>
    <definedName name="ㄹ윯ㅇ" hidden="1">{#N/A,#N/A,FALSE,"단가표지"}</definedName>
    <definedName name="ㄹ윯ㅇㅍㅇ" hidden="1">{#N/A,#N/A,FALSE,"단가표지"}</definedName>
    <definedName name="ㄹ융ㄹ퓨" hidden="1">{#N/A,#N/A,FALSE,"단가표지"}</definedName>
    <definedName name="ㄹ윺" hidden="1">{#N/A,#N/A,FALSE,"단가표지"}</definedName>
    <definedName name="ㄹ윻ㄹㅇㅎㅇ" hidden="1">{#N/A,#N/A,FALSE,"운반시간"}</definedName>
    <definedName name="ㄹ으ㅓㅎ걓" hidden="1">{#N/A,#N/A,FALSE,"단가표지"}</definedName>
    <definedName name="ㄹ이ㅕㄱㅎ" hidden="1">{#N/A,#N/A,FALSE,"혼합골재"}</definedName>
    <definedName name="ㄹ이ㅗㅕㅏㅇㅎㄹ" hidden="1">{#N/A,#N/A,FALSE,"단가표지"}</definedName>
    <definedName name="ㄹ인마ㅓㄹ" hidden="1">{#N/A,#N/A,FALSE,"견적조건";#N/A,#N/A,FALSE,"산출근거"}</definedName>
    <definedName name="ㄹ일어ㅏㄹ" hidden="1">{#N/A,#N/A,FALSE,"운반시간"}</definedName>
    <definedName name="ㄹㅇㄶ" hidden="1">#REF!</definedName>
    <definedName name="ㄹㅇㄶ옿" hidden="1">#REF!</definedName>
    <definedName name="ㄹㅇㄶㅎ" hidden="1">{#N/A,#N/A,FALSE,"골재소요량";#N/A,#N/A,FALSE,"골재소요량"}</definedName>
    <definedName name="ㄹㅇㄺ" hidden="1">{#N/A,#N/A,FALSE,"조골재"}</definedName>
    <definedName name="ㄹㅇㄺㄹ" hidden="1">{#N/A,#N/A,FALSE,"조골재"}</definedName>
    <definedName name="ㄹㅇㄻㄴㄹㄹㅇㄴㄹㄴㄹㄻㅇㄴㄴㅇㅇ" hidden="1">{#N/A,#N/A,FALSE,"손익표지";#N/A,#N/A,FALSE,"손익계산";#N/A,#N/A,FALSE,"일반관리비";#N/A,#N/A,FALSE,"영업외수익";#N/A,#N/A,FALSE,"영업외비용";#N/A,#N/A,FALSE,"매출액";#N/A,#N/A,FALSE,"요약손익";#N/A,#N/A,FALSE,"요약대차";#N/A,#N/A,FALSE,"매출채권현황";#N/A,#N/A,FALSE,"매출채권명세"}</definedName>
    <definedName name="ㄹㅈㄴㅇ" hidden="1">{#N/A,#N/A,FALSE,"운반시간"}</definedName>
    <definedName name="ㄹㅈㄷㄱㅈㄷㄱㅂㄷㄱㄷㅈㄱ" localSheetId="0">BlankMacro1</definedName>
    <definedName name="ㄹㅈㄷㄱㅈㄷㄱㅂㄷㄱㄷㅈㄱ">BlankMacro1</definedName>
    <definedName name="ㄹㅈㄷㅅㅈㅅ" hidden="1">#REF!</definedName>
    <definedName name="ㄹㅊㅇㄶㄹㅇ">#N/A</definedName>
    <definedName name="ㄹㅊㅌㅍㄹ윯" hidden="1">{#N/A,#N/A,FALSE,"혼합골재"}</definedName>
    <definedName name="ㄹㅊ터ㅏㄹ퓨ㅓㅏ" hidden="1">{#N/A,#N/A,FALSE,"운반시간"}</definedName>
    <definedName name="ㄹㅊ퓽륳" hidden="1">{#N/A,#N/A,FALSE,"조골재"}</definedName>
    <definedName name="ㄹ터ㅗ겯ㅇㅎ" hidden="1">{#N/A,#N/A,FALSE,"운반시간"}</definedName>
    <definedName name="ㄹㅍ" hidden="1">{#N/A,#N/A,FALSE,"운반시간"}</definedName>
    <definedName name="ㄹ파허ㅑㅐㄹ" hidden="1">{#N/A,#N/A,FALSE,"운반시간"}</definedName>
    <definedName name="ㄹ파ㅐㄱ행" hidden="1">{#N/A,#N/A,FALSE,"2~8번"}</definedName>
    <definedName name="ㄹ파ㅓㅑㅐㅕㅀ" hidden="1">{#N/A,#N/A,FALSE,"단가표지"}</definedName>
    <definedName name="ㄹ팩허ㅑㅇ" hidden="1">{#N/A,#N/A,FALSE,"운반시간"}</definedName>
    <definedName name="ㄹ퍄ㅗㅎㄱ" hidden="1">{#N/A,#N/A,FALSE,"운반시간"}</definedName>
    <definedName name="ㄹ퍼퍼ㅏㅗ" hidden="1">{#N/A,#N/A,FALSE,"단가표지"}</definedName>
    <definedName name="ㄹ퍼호" hidden="1">{#N/A,#N/A,FALSE,"운반시간"}</definedName>
    <definedName name="ㄹ퍼ㅗㄱ홇" hidden="1">{#N/A,#N/A,FALSE,"혼합골재"}</definedName>
    <definedName name="ㄹ펄" hidden="1">{#N/A,#N/A,FALSE,"교리2"}</definedName>
    <definedName name="ㄹ펗ㅅ" hidden="1">{#N/A,#N/A,FALSE,"골재소요량";#N/A,#N/A,FALSE,"골재소요량"}</definedName>
    <definedName name="ㄹ포ㅜㅛ" hidden="1">{#N/A,#N/A,FALSE,"골재소요량";#N/A,#N/A,FALSE,"골재소요량"}</definedName>
    <definedName name="ㄹ푸려ㅕㅎㄱㅎ" hidden="1">{#N/A,#N/A,FALSE,"혼합골재"}</definedName>
    <definedName name="ㄹ푸ㅕㄹ" hidden="1">{#N/A,#N/A,FALSE,"조골재"}</definedName>
    <definedName name="ㄹ푸ㅕㅀ" hidden="1">{#N/A,#N/A,FALSE,"골재소요량";#N/A,#N/A,FALSE,"골재소요량"}</definedName>
    <definedName name="ㄹ퓨흏" hidden="1">{#N/A,#N/A,FALSE,"2~8번"}</definedName>
    <definedName name="ㄹ퓰">#REF!</definedName>
    <definedName name="ㄹ퓰유" hidden="1">{#N/A,#N/A,FALSE,"단가표지"}</definedName>
    <definedName name="ㄹ퓰율ㅇㄴ" hidden="1">{#N/A,#N/A,FALSE,"혼합골재"}</definedName>
    <definedName name="ㄹ픃ㅅ허곻ㅅ" hidden="1">{#N/A,#N/A,FALSE,"골재소요량";#N/A,#N/A,FALSE,"골재소요량"}</definedName>
    <definedName name="ㄹ피ㅓㅅ" hidden="1">{#N/A,#N/A,FALSE,"혼합골재"}</definedName>
    <definedName name="ㄹㅎㄹㅎㄹㅎㄹ">#REF!</definedName>
    <definedName name="ㄹㅎㄹㅎㅀ" hidden="1">#REF!</definedName>
    <definedName name="ㄹㅎ퓨">#N/A</definedName>
    <definedName name="ㄹ하" hidden="1">{#N/A,#N/A,FALSE,"골재소요량";#N/A,#N/A,FALSE,"골재소요량"}</definedName>
    <definedName name="ㄹ하.ㅓㅗㅑㅅㄱ" hidden="1">{#N/A,#N/A,FALSE,"단가표지"}</definedName>
    <definedName name="ㄹ하샤" hidden="1">{#N/A,#N/A,FALSE,"단가표지"}</definedName>
    <definedName name="ㄹ하서햐" hidden="1">{#N/A,#N/A,FALSE,"표지목차"}</definedName>
    <definedName name="ㄹ하쇼후ㅡ호" hidden="1">{#N/A,#N/A,FALSE,"단가표지"}</definedName>
    <definedName name="ㄹ하헛" hidden="1">{#N/A,#N/A,FALSE,"운반시간"}</definedName>
    <definedName name="ㄹ하ㅏㅅ" hidden="1">{#N/A,#N/A,FALSE,"운반시간"}</definedName>
    <definedName name="ㄹ하ㅏㅓㅎㄹㅇ" hidden="1">{#N/A,#N/A,FALSE,"조골재"}</definedName>
    <definedName name="ㄹ하ㅑ겋" hidden="1">{#N/A,#N/A,FALSE,"조골재"}</definedName>
    <definedName name="ㄹ하ㅑㅐㅎ" hidden="1">{#N/A,#N/A,FALSE,"단가표지"}</definedName>
    <definedName name="ㄹ하ㅓㅅ" hidden="1">{#N/A,#N/A,FALSE,"운반시간"}</definedName>
    <definedName name="ㄹ하ㅓㅅ허" hidden="1">{#N/A,#N/A,FALSE,"단가표지"}</definedName>
    <definedName name="ㄹ하ㅓ샤" hidden="1">{#N/A,#N/A,FALSE,"2~8번"}</definedName>
    <definedName name="ㄹ하ㅓㅎ랴" hidden="1">{#N/A,#N/A,FALSE,"조골재"}</definedName>
    <definedName name="ㄹ하ㅓ항" hidden="1">{#N/A,#N/A,FALSE,"혼합골재"}</definedName>
    <definedName name="ㄹ하ㅓ해소" hidden="1">{#N/A,#N/A,FALSE,"운반시간"}</definedName>
    <definedName name="ㄹ하ㅓㅀ" hidden="1">{#N/A,#N/A,FALSE,"단가표지"}</definedName>
    <definedName name="ㄹ하ㅓㅗㅅ혁" hidden="1">{#N/A,#N/A,FALSE,"단가표지"}</definedName>
    <definedName name="ㄹ하ㅓㅗ샤" hidden="1">{#N/A,#N/A,FALSE,"운반시간"}</definedName>
    <definedName name="ㄹ하ㅓㅗ셔ㅑㄱ" hidden="1">{#N/A,#N/A,FALSE,"단가표지"}</definedName>
    <definedName name="ㄹ하ㅓㅗㅠㅎ" hidden="1">{#N/A,#N/A,FALSE,"2~8번"}</definedName>
    <definedName name="ㄹ하ㅓㅣㅇ" hidden="1">{#N/A,#N/A,FALSE,"표지목차"}</definedName>
    <definedName name="ㄹ하ㅕㅛㅅ렇" hidden="1">{#N/A,#N/A,FALSE,"골재소요량";#N/A,#N/A,FALSE,"골재소요량"}</definedName>
    <definedName name="ㄹ하ㅗ" hidden="1">{#N/A,#N/A,FALSE,"골재소요량";#N/A,#N/A,FALSE,"골재소요량"}</definedName>
    <definedName name="ㄹ하ㅗㅓㅅ" hidden="1">{#N/A,#N/A,FALSE,"단가표지"}</definedName>
    <definedName name="ㄹ하ㅗㅓ셯" hidden="1">{#N/A,#N/A,FALSE,"단가표지"}</definedName>
    <definedName name="ㄹ하ㅗㅓ쇼ㅑ" hidden="1">{#N/A,#N/A,FALSE,"골재소요량";#N/A,#N/A,FALSE,"골재소요량"}</definedName>
    <definedName name="ㄹ하ㅗㅓㅑㅗ" hidden="1">{#N/A,#N/A,FALSE,"단가표지"}</definedName>
    <definedName name="ㄹ하ㅗㅕㅎ" hidden="1">{#N/A,#N/A,FALSE,"단가표지"}</definedName>
    <definedName name="ㄹ하ㅗㅛㅑㅐㅗ" hidden="1">{#N/A,#N/A,FALSE,"운반시간"}</definedName>
    <definedName name="ㄹ하ㅡㅏㄹ" hidden="1">{#N/A,#N/A,FALSE,"단가표지"}</definedName>
    <definedName name="ㄹ하ㅣ서" hidden="1">{#N/A,#N/A,FALSE,"단가표지"}</definedName>
    <definedName name="ㄹ하ㅣㅓㄹ휴" hidden="1">{#N/A,#N/A,FALSE,"조골재"}</definedName>
    <definedName name="ㄹ하ㅣㅓ셔ㅑ" hidden="1">{#N/A,#N/A,FALSE,"혼합골재"}</definedName>
    <definedName name="ㄹ하ㅣㅓ호" hidden="1">{#N/A,#N/A,FALSE,"골재소요량";#N/A,#N/A,FALSE,"골재소요량"}</definedName>
    <definedName name="ㄹ하ㅣㅓㅕㅑㅀ" hidden="1">{#N/A,#N/A,FALSE,"혼합골재"}</definedName>
    <definedName name="ㄹ하ㅣㅗㅑ소" hidden="1">{#N/A,#N/A,FALSE,"2~8번"}</definedName>
    <definedName name="ㄹ학" hidden="1">{#N/A,#N/A,FALSE,"단가표지"}</definedName>
    <definedName name="ㄹ해겨햑" hidden="1">{#N/A,#N/A,FALSE,"혼합골재"}</definedName>
    <definedName name="ㄹ햐격" hidden="1">{#N/A,#N/A,FALSE,"운반시간"}</definedName>
    <definedName name="ㄹ햑헛" hidden="1">{#N/A,#N/A,FALSE,"표지목차"}</definedName>
    <definedName name="ㄹ허갸" hidden="1">{#N/A,#N/A,FALSE,"운반시간"}</definedName>
    <definedName name="ㄹ허갸헛" hidden="1">{#N/A,#N/A,FALSE,"단가표지"}</definedName>
    <definedName name="ㄹ허겯ㅎ" hidden="1">{#N/A,#N/A,FALSE,"혼합골재"}</definedName>
    <definedName name="ㄹ허고ㅕ" hidden="1">{#N/A,#N/A,FALSE,"조골재"}</definedName>
    <definedName name="ㄹ허롷ㄱㄹㅇㅎ" hidden="1">{#N/A,#N/A,FALSE,"조골재"}</definedName>
    <definedName name="ㄹ허리ㅣ" hidden="1">{#N/A,#N/A,FALSE,"표지목차"}</definedName>
    <definedName name="ㄹ허샤" hidden="1">{#N/A,#N/A,FALSE,"단가표지"}</definedName>
    <definedName name="ㄹ허셔ㅑㅜㅗ" hidden="1">{#N/A,#N/A,FALSE,"조골재"}</definedName>
    <definedName name="ㄹ허소" hidden="1">{#N/A,#N/A,FALSE,"운반시간"}</definedName>
    <definedName name="ㄹ허솧" hidden="1">{#N/A,#N/A,FALSE,"운반시간"}</definedName>
    <definedName name="ㄹ허옿ㅇ" hidden="1">{#N/A,#N/A,FALSE,"2~8번"}</definedName>
    <definedName name="ㄹ허호" hidden="1">{#N/A,#N/A,FALSE,"단가표지"}</definedName>
    <definedName name="ㄹ허호셔" hidden="1">{#N/A,#N/A,FALSE,"운반시간"}</definedName>
    <definedName name="ㄹ허호ㅕㄳ" hidden="1">{#N/A,#N/A,FALSE,"2~8번"}</definedName>
    <definedName name="ㄹ허홋ㅇㄱ" hidden="1">{#N/A,#N/A,FALSE,"골재소요량";#N/A,#N/A,FALSE,"골재소요량"}</definedName>
    <definedName name="ㄹ허ㅏㄱ솧ㅅ" hidden="1">{#N/A,#N/A,FALSE,"단가표지"}</definedName>
    <definedName name="ㄹ허ㅏ옿" hidden="1">{#N/A,#N/A,FALSE,"혼합골재"}</definedName>
    <definedName name="ㄹ허ㅏㅎㄹ" hidden="1">{#N/A,#N/A,FALSE,"2~8번"}</definedName>
    <definedName name="ㄹ허ㅏㅀ" hidden="1">{#N/A,#N/A,FALSE,"단가표지"}</definedName>
    <definedName name="ㄹ허ㅏㅑㄹ호" hidden="1">{#N/A,#N/A,FALSE,"운반시간"}</definedName>
    <definedName name="ㄹ허ㅏㅗ" hidden="1">{#N/A,#N/A,FALSE,"운반시간"}</definedName>
    <definedName name="ㄹ허ㅏㅗ셔" hidden="1">{#N/A,#N/A,FALSE,"혼합골재"}</definedName>
    <definedName name="ㄹ허ㅏㅗㅎㅀ" hidden="1">{#N/A,#N/A,FALSE,"단가표지"}</definedName>
    <definedName name="ㄹ허ㅐㅑㅎ" hidden="1">{#N/A,#N/A,FALSE,"단가표지"}</definedName>
    <definedName name="ㄹ허ㅓㅈㄷ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ㅓㅜ어" hidden="1">{#N/A,#N/A,FALSE,"운반시간"}</definedName>
    <definedName name="ㄹ허ㅕㅓㅎ" hidden="1">{#N/A,#N/A,FALSE,"운반시간"}</definedName>
    <definedName name="ㄹ허ㅗ" hidden="1">{#N/A,#N/A,FALSE,"이정표"}</definedName>
    <definedName name="ㄹ허ㅗ_1" hidden="1">{#N/A,#N/A,FALSE,"이정표"}</definedName>
    <definedName name="ㄹ허ㅗㄱ" hidden="1">{#N/A,#N/A,FALSE,"혼합골재"}</definedName>
    <definedName name="ㄹ허ㅗㄱ뎧" hidden="1">{#N/A,#N/A,FALSE,"2~8번"}</definedName>
    <definedName name="ㄹ허ㅗ곃" hidden="1">{#N/A,#N/A,FALSE,"단가표지"}</definedName>
    <definedName name="ㄹ허ㅗㄷ" hidden="1">{#N/A,#N/A,FALSE,"2~8번"}</definedName>
    <definedName name="ㄹ허ㅗㄹ" hidden="1">{#N/A,#N/A,FALSE,"운반시간"}</definedName>
    <definedName name="ㄹ허ㅗ려ㅓ" hidden="1">{#N/A,#N/A,FALSE,"표지목차"}</definedName>
    <definedName name="ㄹ허ㅗ셔" hidden="1">{#N/A,#N/A,FALSE,"단가표지"}</definedName>
    <definedName name="ㄹ허ㅗㅇ" hidden="1">{#N/A,#N/A,FALSE,"단가표지"}</definedName>
    <definedName name="ㄹ허ㅗㅎ" hidden="1">{#N/A,#N/A,FALSE,"표지목차"}</definedName>
    <definedName name="ㄹ허ㅗㅎ셔" hidden="1">{#N/A,#N/A,FALSE,"운반시간"}</definedName>
    <definedName name="ㄹ허ㅗ흇" hidden="1">{#N/A,#N/A,FALSE,"혼합골재"}</definedName>
    <definedName name="ㄹ허ㅗㅑㅐㅓㅗ" hidden="1">{#N/A,#N/A,FALSE,"운반시간"}</definedName>
    <definedName name="ㄹ허ㅗㅓㅇ" hidden="1">{#N/A,#N/A,FALSE,"단가표지"}</definedName>
    <definedName name="ㄹ허ㅗㅗㅀ" hidden="1">{#N/A,#N/A,FALSE,"조골재"}</definedName>
    <definedName name="ㄹ허ㅗㅛ" hidden="1">{#N/A,#N/A,FALSE,"조골재"}</definedName>
    <definedName name="ㄹ허ㅛ" hidden="1">{#N/A,#N/A,FALSE,"2~8번"}</definedName>
    <definedName name="ㄹ허ㅡㅎ려ㅓㅎ" hidden="1">{#N/A,#N/A,FALSE,"단가표지"}</definedName>
    <definedName name="ㄹ허ㅡㅏㅣㅠ" hidden="1">{#N/A,#N/A,FALSE,"운반시간"}</definedName>
    <definedName name="ㄹ헉호ㅜ" hidden="1">{#N/A,#N/A,FALSE,"혼합골재"}</definedName>
    <definedName name="ㄹ헋" hidden="1">{#N/A,#N/A,FALSE,"운반시간"}</definedName>
    <definedName name="ㄹ헐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헛" hidden="1">{#N/A,#N/A,FALSE,"단가표지"}</definedName>
    <definedName name="ㄹ헛갸" hidden="1">{#N/A,#N/A,FALSE,"혼합골재"}</definedName>
    <definedName name="ㄹ헛홋" hidden="1">{#N/A,#N/A,FALSE,"운반시간"}</definedName>
    <definedName name="ㄹ헛훞" hidden="1">{#N/A,#N/A,FALSE,"단가표지"}</definedName>
    <definedName name="ㄹ혀횩" hidden="1">{#N/A,#N/A,FALSE,"혼합골재"}</definedName>
    <definedName name="ㄹ호" hidden="1">#REF!</definedName>
    <definedName name="ㄹ호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호굗" hidden="1">{#N/A,#N/A,FALSE,"운반시간"}</definedName>
    <definedName name="ㄹ호둉ㄱㄹ" hidden="1">{#N/A,#N/A,FALSE,"단가표지"}</definedName>
    <definedName name="ㄹ호로" hidden="1">{#N/A,#N/A,FALSE,"단가표지"}</definedName>
    <definedName name="ㄹ호로류" hidden="1">{#N/A,#N/A,FALSE,"골재소요량";#N/A,#N/A,FALSE,"골재소요량"}</definedName>
    <definedName name="ㄹ호록ㄽ" hidden="1">{#N/A,#N/A,FALSE,"혼합골재"}</definedName>
    <definedName name="ㄹ호롤" hidden="1">{#N/A,#N/A,FALSE,"골재소요량";#N/A,#N/A,FALSE,"골재소요량"}</definedName>
    <definedName name="ㄹ호륲" hidden="1">{#N/A,#N/A,FALSE,"골재소요량";#N/A,#N/A,FALSE,"골재소요량"}</definedName>
    <definedName name="ㄹ호사호" hidden="1">{#N/A,#N/A,FALSE,"골재소요량";#N/A,#N/A,FALSE,"골재소요량"}</definedName>
    <definedName name="ㄹ호셯" hidden="1">{#N/A,#N/A,FALSE,"조골재"}</definedName>
    <definedName name="ㄹ호소" hidden="1">{#N/A,#N/A,FALSE,"운반시간"}</definedName>
    <definedName name="ㄹ호야ㅐ홍" hidden="1">{#N/A,#N/A,FALSE,"운반시간"}</definedName>
    <definedName name="ㄹ호ㅎ">#REF!</definedName>
    <definedName name="ㄹ호홍" hidden="1">{#N/A,#N/A,FALSE,"운반시간"}</definedName>
    <definedName name="ㄹ호ㅓ" hidden="1">{#N/A,#N/A,FALSE,"조골재"}</definedName>
    <definedName name="ㄹ호ㅓㄱ" hidden="1">{#N/A,#N/A,FALSE,"운반시간"}</definedName>
    <definedName name="ㄹ호ㅓ록ㄹ" hidden="1">{#N/A,#N/A,FALSE,"골재소요량";#N/A,#N/A,FALSE,"골재소요량"}</definedName>
    <definedName name="ㄹ호ㅓ황" hidden="1">{#N/A,#N/A,FALSE,"골재소요량";#N/A,#N/A,FALSE,"골재소요량"}</definedName>
    <definedName name="ㄹ호ㅓㅏㄱ" hidden="1">{#N/A,#N/A,FALSE,"단가표지"}</definedName>
    <definedName name="ㄹ호ㅓㅏㅑ로" hidden="1">{#N/A,#N/A,FALSE,"조골재"}</definedName>
    <definedName name="ㄹ호ㅓㅕㅑㅗㅛ" hidden="1">{#N/A,#N/A,FALSE,"단가표지"}</definedName>
    <definedName name="ㄹ호ㅓㅣㅇ" hidden="1">{#N/A,#N/A,FALSE,"표지목차"}</definedName>
    <definedName name="ㄹ호ㅕㄱ" hidden="1">{#N/A,#N/A,FALSE,"단가표지"}</definedName>
    <definedName name="ㄹ호ㅕㄱ호" hidden="1">{#N/A,#N/A,FALSE,"단가표지"}</definedName>
    <definedName name="ㄹ호ㅗㅀ" hidden="1">{#N/A,#N/A,FALSE,"토공2"}</definedName>
    <definedName name="ㄹ호ㅗㅓ셔" hidden="1">{#N/A,#N/A,FALSE,"단가표지"}</definedName>
    <definedName name="ㄹ호ㅛ" hidden="1">{#N/A,#N/A,FALSE,"전력간선"}</definedName>
    <definedName name="ㄹ호ㅜ" hidden="1">{#N/A,#N/A,FALSE,"운반시간"}</definedName>
    <definedName name="ㄹ호ㅠ셔" hidden="1">{#N/A,#N/A,FALSE,"조골재"}</definedName>
    <definedName name="ㄹ혹셯" hidden="1">{#N/A,#N/A,FALSE,"단가표지"}</definedName>
    <definedName name="ㄹ혹ㄳ" hidden="1">{#N/A,#N/A,FALSE,"운반시간"}</definedName>
    <definedName name="ㄹ혹ㄽ홋" hidden="1">{#N/A,#N/A,FALSE,"단가표지"}</definedName>
    <definedName name="ㄹ혻" hidden="1">{#N/A,#N/A,FALSE,"단가표지"}</definedName>
    <definedName name="ㄹ혼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혿ㅇㅎㅇ" hidden="1">{#N/A,#N/A,FALSE,"표지목차"}</definedName>
    <definedName name="ㄹ홀쇼ㅓㅛ" hidden="1">{#N/A,#N/A,FALSE,"조골재"}</definedName>
    <definedName name="ㄹ홀호" hidden="1">{#N/A,#N/A,FALSE,"골재소요량";#N/A,#N/A,FALSE,"골재소요량"}</definedName>
    <definedName name="ㄹ홀혻" hidden="1">{#N/A,#N/A,FALSE,"단가표지"}</definedName>
    <definedName name="ㄹ홀홀" hidden="1">{#N/A,#N/A,FALSE,"운반시간"}</definedName>
    <definedName name="ㄹ홀홋" hidden="1">{#N/A,#N/A,FALSE,"조골재"}</definedName>
    <definedName name="ㄹ홋" hidden="1">{#N/A,#N/A,FALSE,"운반시간"}</definedName>
    <definedName name="ㄹ홋ㄱ" hidden="1">{#N/A,#N/A,FALSE,"2~8번"}</definedName>
    <definedName name="ㄹ홋고" hidden="1">{#N/A,#N/A,FALSE,"혼합골재"}</definedName>
    <definedName name="ㄹ홍ㄹ" hidden="1">{#N/A,#N/A,FALSE,"이태원철근"}</definedName>
    <definedName name="ㄹ홍ㅎㄱ" hidden="1">{#N/A,#N/A,FALSE,"운반시간"}</definedName>
    <definedName name="ㄹ홓" hidden="1">{#N/A,#N/A,FALSE,"혼합골재"}</definedName>
    <definedName name="ㄹ홓ㄱ" hidden="1">{#N/A,#N/A,FALSE,"혼합골재"}</definedName>
    <definedName name="ㄹ홓굫" hidden="1">{#N/A,#N/A,FALSE,"2~8번"}</definedName>
    <definedName name="ㄹ홓ㄹ" hidden="1">{#N/A,#N/A,FALSE,"조골재"}</definedName>
    <definedName name="ㄹ홓로" hidden="1">{#N/A,#N/A,FALSE,"손익표지";#N/A,#N/A,FALSE,"손익계산";#N/A,#N/A,FALSE,"일반관리비";#N/A,#N/A,FALSE,"영업외수익";#N/A,#N/A,FALSE,"영업외비용";#N/A,#N/A,FALSE,"매출액";#N/A,#N/A,FALSE,"요약손익";#N/A,#N/A,FALSE,"요약대차";#N/A,#N/A,FALSE,"매출채권현황";#N/A,#N/A,FALSE,"매출채권명세"}</definedName>
    <definedName name="ㄹ홓어" hidden="1">{#N/A,#N/A,FALSE,"운반시간"}</definedName>
    <definedName name="ㄹ화오ㅓㄹ" hidden="1">{#N/A,#N/A,FALSE,"골재소요량";#N/A,#N/A,FALSE,"골재소요량"}</definedName>
    <definedName name="ㄹ활허ㅗㅑㄽ" hidden="1">{#N/A,#N/A,FALSE,"단가표지"}</definedName>
    <definedName name="ㄹ효ㅕㄱㅎㄱ" hidden="1">{#N/A,#N/A,FALSE,"조골재"}</definedName>
    <definedName name="ㄹ효ㅠㅛㅜㅕ" hidden="1">{#N/A,#N/A,FALSE,"골재소요량";#N/A,#N/A,FALSE,"골재소요량"}</definedName>
    <definedName name="ㄹ횽" hidden="1">{#N/A,#N/A,FALSE,"조골재"}</definedName>
    <definedName name="ㄹ후ㅏㅓㅇㅀ" hidden="1">{#N/A,#N/A,FALSE,"단가표지"}</definedName>
    <definedName name="ㄹ후ㅗㄴ러ㅡㅜ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ㅡㅏㅏㄹ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ㅛㅅ호쇼호" hidden="1">{#N/A,#N/A,FALSE,"2~8번"}</definedName>
    <definedName name="ㄹ휴류" hidden="1">{#N/A,#N/A,FALSE,"단가표지"}</definedName>
    <definedName name="ㄹ휴류ㅗ" hidden="1">{#N/A,#N/A,FALSE,"단가표지"}</definedName>
    <definedName name="ㄹ휴쇼ㅗ" hidden="1">{#N/A,#N/A,FALSE,"혼합골재"}</definedName>
    <definedName name="ㄹ휴홋ㄱ" hidden="1">{#N/A,#N/A,FALSE,"혼합골재"}</definedName>
    <definedName name="ㄹ휴후" hidden="1">{#N/A,#N/A,FALSE,"단가표지"}</definedName>
    <definedName name="ㄹ휴ㅓ헛" hidden="1">{#N/A,#N/A,FALSE,"2~8번"}</definedName>
    <definedName name="ㄹ휴ㅓㅗㅠㅕㅠㅊ" hidden="1">{#N/A,#N/A,FALSE,"단가표지"}</definedName>
    <definedName name="ㄹ휴ㅛ호" hidden="1">{#N/A,#N/A,FALSE,"조골재"}</definedName>
    <definedName name="ㄹ휼홀" hidden="1">{#N/A,#N/A,FALSE,"단가표지"}</definedName>
    <definedName name="ㄹ휼흏ㅇㄹㅊ" hidden="1">{#N/A,#N/A,FALSE,"조골재"}</definedName>
    <definedName name="ㄹ흃" hidden="1">{#N/A,#N/A,FALSE,"운반시간"}</definedName>
    <definedName name="ㄹ흎ㅊ" hidden="1">{#N/A,#N/A,FALSE,"생산성";#N/A,#N/A,FALSE,"인력1";#N/A,#N/A,FALSE,"인력2";#N/A,#N/A,FALSE,"인력3";#N/A,#N/A,FALSE,"인건1";#N/A,#N/A,FALSE,"인건2";#N/A,#N/A,FALSE,"인건3";#N/A,#N/A,FALSE,"인원증감";#N/A,#N/A,FALSE,"인건증감";#N/A,#N/A,FALSE,"표지등"}</definedName>
    <definedName name="ㄹ흏" hidden="1">{#N/A,#N/A,FALSE,"골재소요량";#N/A,#N/A,FALSE,"골재소요량"}</definedName>
    <definedName name="ㄹ흐ㅓ휴" hidden="1">{#N/A,#N/A,FALSE,"골재소요량";#N/A,#N/A,FALSE,"골재소요량"}</definedName>
    <definedName name="ㄹ히어ㅗㅍ" hidden="1">{#N/A,#N/A,FALSE,"단가표지"}</definedName>
    <definedName name="ㄹ히오ㅓㅇ" hidden="1">{#N/A,#N/A,FALSE,"혼합골재"}</definedName>
    <definedName name="ㄹ히ㅏㄱ샿" hidden="1">{#N/A,#N/A,FALSE,"단가표지"}</definedName>
    <definedName name="ㄹ히ㅏㄹ홰ㅗ" hidden="1">{#N/A,#N/A,FALSE,"혼합골재"}</definedName>
    <definedName name="ㄹ히ㅐㅑ호" hidden="1">{#N/A,#N/A,FALSE,"단가표지"}</definedName>
    <definedName name="ㄹ히ㅓ갸" hidden="1">{#N/A,#N/A,FALSE,"골재소요량";#N/A,#N/A,FALSE,"골재소요량"}</definedName>
    <definedName name="ㄹ히ㅗㅓㅀ" hidden="1">{#N/A,#N/A,FALSE,"단가표지"}</definedName>
    <definedName name="ㄹㅀ" hidden="1">{#N/A,#N/A,FALSE,"운반시간"}</definedName>
    <definedName name="ㄹㅀㄷ" hidden="1">{#N/A,#N/A,FALSE,"혼합골재"}</definedName>
    <definedName name="ㄹㅀㅀ">#REF!</definedName>
    <definedName name="라">#REF!</definedName>
    <definedName name="라디오">#REF!</definedName>
    <definedName name="라라" localSheetId="0">BlankMacro1</definedName>
    <definedName name="라라">BlankMacro1</definedName>
    <definedName name="라라라라" hidden="1">#REF!</definedName>
    <definedName name="라라라라라랄" hidden="1">{#N/A,#N/A,FALSE,"기안지";#N/A,#N/A,FALSE,"통신지"}</definedName>
    <definedName name="라라랄" hidden="1">{#N/A,#N/A,FALSE,"손익표지";#N/A,#N/A,FALSE,"손익계산";#N/A,#N/A,FALSE,"일반관리비";#N/A,#N/A,FALSE,"영업외수익";#N/A,#N/A,FALSE,"영업외비용";#N/A,#N/A,FALSE,"매출액";#N/A,#N/A,FALSE,"요약손익";#N/A,#N/A,FALSE,"요약대차";#N/A,#N/A,FALSE,"매출채권현황";#N/A,#N/A,FALSE,"매출채권명세"}</definedName>
    <definedName name="라럴">#REF!</definedName>
    <definedName name="라마다">#REF!</definedName>
    <definedName name="라면이다" hidden="1">{#N/A,#N/A,FALSE,"단가표지"}</definedName>
    <definedName name="라미우" hidden="1">{#N/A,#N/A,FALSE,"물량산출"}</definedName>
    <definedName name="라미우드" hidden="1">{#N/A,#N/A,FALSE,"물량산출"}</definedName>
    <definedName name="라바베이스노">#REF!</definedName>
    <definedName name="라바베이스붙이기">#REF!</definedName>
    <definedName name="라바콘설치현황">{"'정산내역서'!$A$1:$I$35","'정산서(절.성토부)'!$A$1:$Q$17","'정산서(교량부)'!$A$1:$Q$84","'총괄표'!$A$1:$M$12","'시행현황'!$A$1:$G$12","'표지'!$A$1:$N$27","'정산서(절.성토부)'!$A$3:$Q$7"}</definedName>
    <definedName name="라아라라ㅏ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야러ㅜㄷ">#REF!</definedName>
    <definedName name="라엏" hidden="1">{#N/A,#N/A,FALSE,"혼합골재"}</definedName>
    <definedName name="라옿" hidden="1">{#N/A,#N/A,FALSE,"운반시간"}</definedName>
    <definedName name="라하호" hidden="1">{#N/A,#N/A,FALSE,"운반시간"}</definedName>
    <definedName name="라허갸ㅓㅎ" hidden="1">{#N/A,#N/A,FALSE,"운반시간"}</definedName>
    <definedName name="라허샤" hidden="1">{#N/A,#N/A,FALSE,"운반시간"}</definedName>
    <definedName name="라허샤허" hidden="1">{#N/A,#N/A,FALSE,"골재소요량";#N/A,#N/A,FALSE,"골재소요량"}</definedName>
    <definedName name="라허샤ㅑㅓㅎ" hidden="1">{#N/A,#N/A,FALSE,"혼합골재"}</definedName>
    <definedName name="라허소ㅓㅎㄹㄴ" hidden="1">{#N/A,#N/A,FALSE,"조골재"}</definedName>
    <definedName name="라허ㅑㄱㅎ" hidden="1">{#N/A,#N/A,FALSE,"혼합골재"}</definedName>
    <definedName name="라허ㅑㅅ" hidden="1">{#N/A,#N/A,FALSE,"운반시간"}</definedName>
    <definedName name="라허ㅑㅑㄴ" hidden="1">{#N/A,#N/A,FALSE,"운반시간"}</definedName>
    <definedName name="라허ㅕ셯" hidden="1">{#N/A,#N/A,FALSE,"조골재"}</definedName>
    <definedName name="라허ㅕㅑㅅ" hidden="1">{#N/A,#N/A,FALSE,"운반시간"}</definedName>
    <definedName name="라헛" hidden="1">{#N/A,#N/A,FALSE,"단가표지"}</definedName>
    <definedName name="라헣" hidden="1">{#N/A,#N/A,FALSE,"혼합골재"}</definedName>
    <definedName name="라후ㅕ녈" hidden="1">{#N/A,#N/A,FALSE,"혼합골재"}</definedName>
    <definedName name="라ㅏ">#REF!</definedName>
    <definedName name="라ㅏ히ㅗ" hidden="1">{#N/A,#N/A,FALSE,"운반시간"}</definedName>
    <definedName name="라ㅐㄹ"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라ㅓㄱ" hidden="1">{#N/A,#N/A,FALSE,"골재소요량";#N/A,#N/A,FALSE,"골재소요량"}</definedName>
    <definedName name="라ㅓㄱ샿" hidden="1">{#N/A,#N/A,FALSE,"혼합골재"}</definedName>
    <definedName name="라ㅓ갸" hidden="1">{#N/A,#N/A,FALSE,"단가표지"}</definedName>
    <definedName name="라ㅓ갼" hidden="1">{#N/A,#N/A,FALSE,"운반시간"}</definedName>
    <definedName name="라ㅓ걓" hidden="1">{#N/A,#N/A,FALSE,"2~8번"}</definedName>
    <definedName name="라ㅓ겨" hidden="1">{#N/A,#N/A,FALSE,"단가표지"}</definedName>
    <definedName name="라ㅓ곃ㅅ" hidden="1">{#N/A,#N/A,FALSE,"단가표지"}</definedName>
    <definedName name="라ㅓㄴ라" hidden="1">{"'공사부문'!$A$6:$A$32"}</definedName>
    <definedName name="라ㅓㄹ햐ㅐ헗" hidden="1">{#N/A,#N/A,FALSE,"조골재"}</definedName>
    <definedName name="라ㅓㅅㅎ" hidden="1">{#N/A,#N/A,FALSE,"운반시간"}</definedName>
    <definedName name="라ㅓ셔ㅏ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펄혹" hidden="1">{#N/A,#N/A,FALSE,"조골재"}</definedName>
    <definedName name="라ㅓ햑" hidden="1">{#N/A,#N/A,FALSE,"혼합골재"}</definedName>
    <definedName name="라ㅓ햓" hidden="1">{#N/A,#N/A,FALSE,"표지목차"}</definedName>
    <definedName name="라ㅓ햘" hidden="1">{#N/A,#N/A,FALSE,"단가표지"}</definedName>
    <definedName name="라ㅓ햣" hidden="1">{#N/A,#N/A,FALSE,"골재소요량";#N/A,#N/A,FALSE,"골재소요량"}</definedName>
    <definedName name="라ㅓ햣ㄱ" hidden="1">{#N/A,#N/A,FALSE,"표지목차"}</definedName>
    <definedName name="라ㅓ햣ㄱㄷㅇ" hidden="1">{#N/A,#N/A,FALSE,"단가표지"}</definedName>
    <definedName name="라ㅓ햣ㄷ" hidden="1">{#N/A,#N/A,FALSE,"혼합골재"}</definedName>
    <definedName name="라ㅓ햣ㅎ" hidden="1">{#N/A,#N/A,FALSE,"단가표지"}</definedName>
    <definedName name="라ㅓ혀ㅑㄳ" hidden="1">{#N/A,#N/A,FALSE,"운반시간"}</definedName>
    <definedName name="라ㅓㅀ" hidden="1">{#N/A,#N/A,FALSE,"조골재"}</definedName>
    <definedName name="라ㅓㅑㅎㅎ" hidden="1">{#N/A,#N/A,FALSE,"단가표지"}</definedName>
    <definedName name="라ㅓㅑㅀ" hidden="1">{#N/A,#N/A,FALSE,"단가표지"}</definedName>
    <definedName name="라ㅓㅑㄳ" hidden="1">{#N/A,#N/A,FALSE,"운반시간"}</definedName>
    <definedName name="라ㅓㅓ혀ㅑㅎ" hidden="1">{#N/A,#N/A,FALSE,"단가표지"}</definedName>
    <definedName name="라ㅓㅓㅗㄱ" hidden="1">{#N/A,#N/A,FALSE,"단가표지"}</definedName>
    <definedName name="라ㅓㅕㅑㅗㅓㄳ" hidden="1">{#N/A,#N/A,FALSE,"조골재"}</definedName>
    <definedName name="라ㅓㅗㅊㅌㅎ" hidden="1">{#N/A,#N/A,FALSE,"단가표지"}</definedName>
    <definedName name="라ㅓㅗㅓ겨" hidden="1">{#N/A,#N/A,FALSE,"혼합골재"}</definedName>
    <definedName name="라ㅓㅡㅏㅑ수ㅡㄹㅇ" hidden="1">{#N/A,#N/A,FALSE,"단가표지"}</definedName>
    <definedName name="라ㅗ렿" hidden="1">{#N/A,#N/A,FALSE,"전력간선"}</definedName>
    <definedName name="라ㅗㅓ견" hidden="1">{#N/A,#N/A,FALSE,"표지목차"}</definedName>
    <definedName name="라ㅗㅓ펼" hidden="1">{#N/A,#N/A,FALSE,"골재소요량";#N/A,#N/A,FALSE,"골재소요량"}</definedName>
    <definedName name="라ㅠ허ㅐ" hidden="1">{#N/A,#N/A,FALSE,"단가표지"}</definedName>
    <definedName name="라ㅣ고혈" hidden="1">{#N/A,#N/A,FALSE,"단가표지"}</definedName>
    <definedName name="라ㅣ어ㅏ" hidden="1">{#N/A,#N/A,FALSE,"단가표지"}</definedName>
    <definedName name="라ㅣ허ㅐㄱ" hidden="1">{#N/A,#N/A,FALSE,"골재소요량";#N/A,#N/A,FALSE,"골재소요량"}</definedName>
    <definedName name="라ㅣ헉" hidden="1">{#N/A,#N/A,FALSE,"단가표지"}</definedName>
    <definedName name="라ㅣㅓ류" hidden="1">{#N/A,#N/A,FALSE,"운반시간"}</definedName>
    <definedName name="라ㅣㅓㅗ혀ㅑㅊㅅㅎ" hidden="1">{#N/A,#N/A,FALSE,"운반시간"}</definedName>
    <definedName name="라ㅣㅗㅎ" hidden="1">{#N/A,#N/A,FALSE,"골재소요량";#N/A,#N/A,FALSE,"골재소요량"}</definedName>
    <definedName name="라ㅣㅡ햑ㅎ" hidden="1">{#N/A,#N/A,FALSE,"2~8번"}</definedName>
    <definedName name="락ㅎㄴ" hidden="1">{#N/A,#N/A,FALSE,"단가표지"}</definedName>
    <definedName name="랄">#REF!,#REF!</definedName>
    <definedName name="랄민러ㅣ" hidden="1">{#N/A,#N/A,FALSE,"현장 NCR 분석";#N/A,#N/A,FALSE,"현장품질감사";#N/A,#N/A,FALSE,"현장품질감사"}</definedName>
    <definedName name="랑" hidden="1">{#N/A,#N/A,FALSE,"지침";#N/A,#N/A,FALSE,"환경분석";#N/A,#N/A,FALSE,"Sheet16"}</definedName>
    <definedName name="랗ㄱㅎ" hidden="1">{#N/A,#N/A,FALSE,"조골재"}</definedName>
    <definedName name="랗ㅅㅎㅇㄴ" hidden="1">{#N/A,#N/A,FALSE,"혼합골재"}</definedName>
    <definedName name="랗섯" hidden="1">{#N/A,#N/A,FALSE,"혼합골재"}</definedName>
    <definedName name="래" hidden="1">{#N/A,#N/A,FALSE,"변경관리예산";#N/A,#N/A,FALSE,"변경장비예산";#N/A,#N/A,FALSE,"변경준설예산";#N/A,#N/A,FALSE,"변경철구예산"}</definedName>
    <definedName name="래그" hidden="1">{#N/A,#N/A,FALSE,"CCTV"}</definedName>
    <definedName name="래래">#REF!</definedName>
    <definedName name="랠혁" hidden="1">{#N/A,#N/A,FALSE,"단가표지"}</definedName>
    <definedName name="램머간재">#REF!</definedName>
    <definedName name="램머경">#REF!</definedName>
    <definedName name="램머경비">#REF!</definedName>
    <definedName name="램머노무">#REF!</definedName>
    <definedName name="램머노무비">#REF!</definedName>
    <definedName name="램머노무야간">#REF!</definedName>
    <definedName name="램머손료">#REF!</definedName>
    <definedName name="램머재료">#REF!</definedName>
    <definedName name="램머재료비">#REF!</definedName>
    <definedName name="램머Q간재">#REF!</definedName>
    <definedName name="램머Q간재10">#REF!</definedName>
    <definedName name="램머Q간재야간">#REF!</definedName>
    <definedName name="램머Q노무">#REF!</definedName>
    <definedName name="램머Q노무10">#REF!</definedName>
    <definedName name="램머Q노무야간">#REF!</definedName>
    <definedName name="램머Q손료">#REF!</definedName>
    <definedName name="램머Q손료10">#REF!</definedName>
    <definedName name="램머Q손료야간">#REF!</definedName>
    <definedName name="램프">#REF!</definedName>
    <definedName name="램픙">#REF!</definedName>
    <definedName name="램프A">#REF!</definedName>
    <definedName name="램프B">#REF!</definedName>
    <definedName name="램프D">#REF!</definedName>
    <definedName name="랴" hidden="1">{#N/A,#N/A,FALSE,"예상손익";#N/A,#N/A,FALSE,"관리분석";#N/A,#N/A,FALSE,"장비분석";#N/A,#N/A,FALSE,"준설분석";#N/A,#N/A,FALSE,"철구분석"}</definedName>
    <definedName name="랴허ㅑㄳ" hidden="1">{#N/A,#N/A,FALSE,"단가표지"}</definedName>
    <definedName name="랴ㅏㅓㅑㅕㄱㅎ" hidden="1">{#N/A,#N/A,FALSE,"운반시간"}</definedName>
    <definedName name="랴ㅓㅎ섷" hidden="1">{#N/A,#N/A,FALSE,"골재소요량";#N/A,#N/A,FALSE,"골재소요량"}</definedName>
    <definedName name="랴ㅗㅕㅅㅎ" hidden="1">{#N/A,#N/A,FALSE,"단가표지"}</definedName>
    <definedName name="량">#REF!</definedName>
    <definedName name="러" hidden="1">{#N/A,#N/A,FALSE,"지침";#N/A,#N/A,FALSE,"환경분석";#N/A,#N/A,FALSE,"Sheet16"}</definedName>
    <definedName name="러갸" hidden="1">{#N/A,#N/A,FALSE,"단가표지"}</definedName>
    <definedName name="러겻ㅎ" hidden="1">{#N/A,#N/A,FALSE,"조골재"}</definedName>
    <definedName name="러골" hidden="1">{#N/A,#N/A,FALSE,"운반시간"}</definedName>
    <definedName name="러나" hidden="1">{#N/A,#N/A,FALSE,"혼합골재"}</definedName>
    <definedName name="러낭" hidden="1">{#N/A,#N/A,FALSE,"단가표지"}</definedName>
    <definedName name="러러" hidden="1">{#N/A,#N/A,FALSE,"운반시간"}</definedName>
    <definedName name="러러러럴">#REF!</definedName>
    <definedName name="러로호" hidden="1">{#N/A,#N/A,FALSE,"운반시간"}</definedName>
    <definedName name="러맣ㄹ쟈ㅏㅎㄹ쟈">{"'용역비'!$A$4:$C$8"}</definedName>
    <definedName name="러샤" hidden="1">{#N/A,#N/A,FALSE,"단가표지"}</definedName>
    <definedName name="러셔ㅗㄹ혁" hidden="1">{#N/A,#N/A,FALSE,"표지목차"}</definedName>
    <definedName name="러소ㅗㅎ" hidden="1">{#N/A,#N/A,FALSE,"혼합골재"}</definedName>
    <definedName name="러송" hidden="1">{#N/A,#N/A,FALSE,"단가표지"}</definedName>
    <definedName name="러쇼" hidden="1">{#N/A,#N/A,FALSE,"혼합골재"}</definedName>
    <definedName name="러쇼ㅗㅓㄹ" hidden="1">{#N/A,#N/A,FALSE,"단가표지"}</definedName>
    <definedName name="러시아" hidden="1">{#N/A,#N/A,FALSE,"단가표지"}</definedName>
    <definedName name="러아니러ㅏㅣㄴ">#REF!</definedName>
    <definedName name="러아ㅣㄴ머라ㅓㄹ아ㅣㅓㄹㅇ님"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러역" hidden="1">{#N/A,#N/A,FALSE,"단가표지"}</definedName>
    <definedName name="러옭" hidden="1">{#N/A,#N/A,FALSE,"단가표지"}</definedName>
    <definedName name="러옿" hidden="1">{#N/A,#N/A,FALSE,"단가표지"}</definedName>
    <definedName name="러퍼롷" hidden="1">{#N/A,#N/A,FALSE,"표지목차"}</definedName>
    <definedName name="러포옇" hidden="1">{#N/A,#N/A,FALSE,"혼합골재"}</definedName>
    <definedName name="러하허ㅏㅘ" hidden="1">{#N/A,#N/A,FALSE,"표지목차"}</definedName>
    <definedName name="러하ㅗ" hidden="1">{#N/A,#N/A,FALSE,"조골재"}</definedName>
    <definedName name="러허허ㅛ" hidden="1">{#N/A,#N/A,FALSE,"단가표지"}</definedName>
    <definedName name="러허헛" hidden="1">{#N/A,#N/A,FALSE,"조골재"}</definedName>
    <definedName name="러헐" hidden="1">{#N/A,#N/A,FALSE,"도급대비시행율";#N/A,#N/A,FALSE,"결의서";#N/A,#N/A,FALSE,"내역서";#N/A,#N/A,FALSE,"도급예상"}</definedName>
    <definedName name="러헣" hidden="1">{#N/A,#N/A,FALSE,"2~8번"}</definedName>
    <definedName name="러혁" hidden="1">{#N/A,#N/A,FALSE,"조골재"}</definedName>
    <definedName name="러혓" hidden="1">{#N/A,#N/A,FALSE,"운반시간"}</definedName>
    <definedName name="러호곃" hidden="1">{#N/A,#N/A,FALSE,"단가표지"}</definedName>
    <definedName name="러호셔" hidden="1">{#N/A,#N/A,FALSE,"혼합골재"}</definedName>
    <definedName name="러호울" hidden="1">{#N/A,#N/A,FALSE,"단가표지"}</definedName>
    <definedName name="러호호" hidden="1">{#N/A,#N/A,FALSE,"조골재"}</definedName>
    <definedName name="러호ㅕㅅㄹㅇ" hidden="1">{#N/A,#N/A,FALSE,"골재소요량";#N/A,#N/A,FALSE,"골재소요량"}</definedName>
    <definedName name="러호ㅕㅅㅎ" hidden="1">{#N/A,#N/A,FALSE,"표지목차"}</definedName>
    <definedName name="러호ㅕㅇ" hidden="1">{#N/A,#N/A,FALSE,"단가표지"}</definedName>
    <definedName name="러호ㅕㅀ" hidden="1">{#N/A,#N/A,FALSE,"전력간선"}</definedName>
    <definedName name="러호ㅕㅓㅍ" hidden="1">{#N/A,#N/A,FALSE,"조골재"}</definedName>
    <definedName name="러홋" hidden="1">{#N/A,#N/A,FALSE,"표지목차"}</definedName>
    <definedName name="러홛ㅇㅎ" hidden="1">{#N/A,#N/A,FALSE,"운반시간"}</definedName>
    <definedName name="러후ㅡ호" hidden="1">{#N/A,#N/A,FALSE,"운반시간"}</definedName>
    <definedName name="러흐ㅗ" hidden="1">{#N/A,#N/A,FALSE,"혼합골재"}</definedName>
    <definedName name="러ㅏ거ㅕㅎ" hidden="1">{#N/A,#N/A,FALSE,"운반시간"}</definedName>
    <definedName name="러ㅏㄴ어행">#REF!</definedName>
    <definedName name="러ㅏㄹ">#REF!</definedName>
    <definedName name="러ㅏ룍" hidden="1">{#N/A,#N/A,FALSE,"단가표지"}</definedName>
    <definedName name="러ㅏ햐갸ㅓㅎㅇ" hidden="1">{#N/A,#N/A,FALSE,"조골재"}</definedName>
    <definedName name="러ㅏ허셔ㅑ" hidden="1">{#N/A,#N/A,FALSE,"운반시간"}</definedName>
    <definedName name="러ㅏ허셯ㄹ" hidden="1">{#N/A,#N/A,FALSE,"혼합골재"}</definedName>
    <definedName name="러ㅏ허허ㅗ" hidden="1">{#N/A,#N/A,FALSE,"혼합골재"}</definedName>
    <definedName name="러ㅏ허ㅕㅑㅅ" hidden="1">{#N/A,#N/A,FALSE,"혼합골재"}</definedName>
    <definedName name="러ㅏ호ㅕㅅ" hidden="1">{#N/A,#N/A,FALSE,"단가표지"}</definedName>
    <definedName name="러ㅏㅓ겨호" hidden="1">{#N/A,#N/A,FALSE,"혼합골재"}</definedName>
    <definedName name="러ㅏㅗ쇼" hidden="1">{#N/A,#N/A,FALSE,"혼합골재"}</definedName>
    <definedName name="러ㅏㅗㅎㄱㄱ" hidden="1">{#N/A,#N/A,FALSE,"운반시간"}</definedName>
    <definedName name="러ㅏㅗㅎㅅ" hidden="1">{#N/A,#N/A,FALSE,"전력간선"}</definedName>
    <definedName name="러ㅏㅗㅕㅅㅎ" hidden="1">{#N/A,#N/A,FALSE,"단가표지"}</definedName>
    <definedName name="러ㅏㅗㅠㅕ휴" hidden="1">{#N/A,#N/A,FALSE,"운반시간"}</definedName>
    <definedName name="러ㅐㄷ" hidden="1">{#N/A,#N/A,FALSE,"운반시간"}</definedName>
    <definedName name="러ㅓ헣" hidden="1">{#N/A,#N/A,FALSE,"운반시간"}</definedName>
    <definedName name="러ㅕㅎ" hidden="1">{#N/A,#N/A,FALSE,"단가표지"}</definedName>
    <definedName name="러ㅗ" hidden="1">{#N/A,#N/A,FALSE,"단가표지"}</definedName>
    <definedName name="러ㅗ7ㅛㅛㄱㅎ" hidden="1">{#N/A,#N/A,FALSE,"조골재"}</definedName>
    <definedName name="러ㅗ결" hidden="1">{#N/A,#N/A,FALSE,"단가표지"}</definedName>
    <definedName name="러ㅗ곃" hidden="1">{#N/A,#N/A,FALSE,"단가표지"}</definedName>
    <definedName name="러ㅗ깋" hidden="1">{#N/A,#N/A,FALSE,"골재소요량";#N/A,#N/A,FALSE,"골재소요량"}</definedName>
    <definedName name="러ㅗㄹ교ㅕ" hidden="1">{#N/A,#N/A,FALSE,"단가표지"}</definedName>
    <definedName name="러ㅗ러호ㅕㄱ" hidden="1">{#N/A,#N/A,FALSE,"단가표지"}</definedName>
    <definedName name="러ㅗ려낟" hidden="1">{#N/A,#N/A,FALSE,"운반시간"}</definedName>
    <definedName name="러ㅗ력" hidden="1">{#N/A,#N/A,FALSE,"조골재"}</definedName>
    <definedName name="러ㅗ렿ㄱ" hidden="1">{#N/A,#N/A,FALSE,"표지목차"}</definedName>
    <definedName name="러ㅗ롯" hidden="1">{#N/A,#N/A,FALSE,"단가표지"}</definedName>
    <definedName name="러ㅗ펴ㅑㄷ" hidden="1">{#N/A,#N/A,FALSE,"단가표지"}</definedName>
    <definedName name="러ㅗ폀ㅎ" hidden="1">{#N/A,#N/A,FALSE,"골재소요량";#N/A,#N/A,FALSE,"골재소요량"}</definedName>
    <definedName name="러ㅗㅎㄱ" hidden="1">{#N/A,#N/A,FALSE,"단가표지"}</definedName>
    <definedName name="러ㅗㅎ결" hidden="1">{#N/A,#N/A,FALSE,"혼합골재"}</definedName>
    <definedName name="러ㅗㅎ곃" hidden="1">{#N/A,#N/A,FALSE,"표지목차"}</definedName>
    <definedName name="러ㅗㅎㅅ" hidden="1">{#N/A,#N/A,FALSE,"운반시간"}</definedName>
    <definedName name="러ㅗㅎ셔" hidden="1">{#N/A,#N/A,FALSE,"골재소요량";#N/A,#N/A,FALSE,"골재소요량"}</definedName>
    <definedName name="러ㅗ혁" hidden="1">{#N/A,#N/A,FALSE,"골재소요량";#N/A,#N/A,FALSE,"골재소요량"}</definedName>
    <definedName name="러ㅗ혁ㅎ" hidden="1">{#N/A,#N/A,FALSE,"단가표지"}</definedName>
    <definedName name="러ㅗ혃" hidden="1">{#N/A,#N/A,FALSE,"혼합골재"}</definedName>
    <definedName name="러ㅗ혓" hidden="1">{#N/A,#N/A,FALSE,"단가표지"}</definedName>
    <definedName name="러ㅗ혓ㄱ" hidden="1">{#N/A,#N/A,FALSE,"조골재"}</definedName>
    <definedName name="러ㅗ혓ㅅ" hidden="1">{#N/A,#N/A,FALSE,"단가표지"}</definedName>
    <definedName name="러ㅗ형" hidden="1">{#N/A,#N/A,FALSE,"단가표지"}</definedName>
    <definedName name="러ㅗ횩" hidden="1">{#N/A,#N/A,FALSE,"단가표지"}</definedName>
    <definedName name="러ㅗㅎㄳ" hidden="1">{#N/A,#N/A,FALSE,"조골재"}</definedName>
    <definedName name="러ㅗㅓㅐㅅ" hidden="1">{#N/A,#N/A,FALSE,"조골재"}</definedName>
    <definedName name="러ㅗㅕㄱ" hidden="1">{#N/A,#N/A,FALSE,"혼합골재"}</definedName>
    <definedName name="러ㅗㅕㅅㅎ" hidden="1">{#N/A,#N/A,FALSE,"단가표지"}</definedName>
    <definedName name="러ㅗㅕㅎ" hidden="1">{#N/A,#N/A,FALSE,"2~8번"}</definedName>
    <definedName name="러ㅗㅕㅎㄳ" hidden="1">{#N/A,#N/A,FALSE,"단가표지"}</definedName>
    <definedName name="러ㅗㅕㄳ" hidden="1">{#N/A,#N/A,FALSE,"단가표지"}</definedName>
    <definedName name="러ㅗㅛㅇ" hidden="1">{#N/A,#N/A,FALSE,"2~8번"}</definedName>
    <definedName name="러ㅗㅜ혓ㅎ" hidden="1">{#N/A,#N/A,FALSE,"단가표지"}</definedName>
    <definedName name="러ㅘㅓ로">#REF!</definedName>
    <definedName name="러ㅛ" hidden="1">{#N/A,#N/A,FALSE,"이태원철근"}</definedName>
    <definedName name="러ㅛㄷㄷ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ㅜㅅ형" hidden="1">{#N/A,#N/A,FALSE,"운반시간"}</definedName>
    <definedName name="러ㅜㅍ렿" hidden="1">{#N/A,#N/A,FALSE,"운반시간"}</definedName>
    <definedName name="러ㅜㅎ" hidden="1">{#N/A,#N/A,FALSE,"운반시간"}</definedName>
    <definedName name="러ㅜㅕㅅㅎ" hidden="1">{#N/A,#N/A,FALSE,"운반시간"}</definedName>
    <definedName name="러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ㅡㅜㅕㅅㅇ" hidden="1">{#N/A,#N/A,FALSE,"혼합골재"}</definedName>
    <definedName name="러ㅣ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럭삭ㄷ" hidden="1">{#N/A,#N/A,FALSE,"운반시간"}</definedName>
    <definedName name="럭솟" hidden="1">{#N/A,#N/A,FALSE,"단가표지"}</definedName>
    <definedName name="럭햐" hidden="1">{#N/A,#N/A,FALSE,"혼합골재"}</definedName>
    <definedName name="럭호" hidden="1">{#N/A,#N/A,FALSE,"운반시간"}</definedName>
    <definedName name="런러" hidden="1">{#N/A,#N/A,FALSE,"교리2"}</definedName>
    <definedName name="럴ㅇ혹" hidden="1">{#N/A,#N/A,FALSE,"골재소요량";#N/A,#N/A,FALSE,"골재소요량"}</definedName>
    <definedName name="럴얼ㅓ" hidden="1">#REF!</definedName>
    <definedName name="럴혀ㅑㅗㅎ" hidden="1">{#N/A,#N/A,FALSE,"단가표지"}</definedName>
    <definedName name="럼러ㅏㅏ" hidden="1">{#N/A,#N/A,FALSE,"교리2"}</definedName>
    <definedName name="렂ㄱ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렇" hidden="1">{#N/A,#N/A,FALSE,"혼합골재"}</definedName>
    <definedName name="렇겨" hidden="1">{#N/A,#N/A,FALSE,"표지목차"}</definedName>
    <definedName name="레_무근">#REF!</definedName>
    <definedName name="레_미_콘">#REF!</definedName>
    <definedName name="레_철근">#REF!</definedName>
    <definedName name="레180">#REF!</definedName>
    <definedName name="레210">#REF!</definedName>
    <definedName name="레251610">46040</definedName>
    <definedName name="레251612">46410</definedName>
    <definedName name="레251615">46910</definedName>
    <definedName name="레251618">47980</definedName>
    <definedName name="레251621">48040</definedName>
    <definedName name="레25168">44520</definedName>
    <definedName name="레251810">47620</definedName>
    <definedName name="레251812">48570</definedName>
    <definedName name="레251815">49020</definedName>
    <definedName name="레251818">49450</definedName>
    <definedName name="레251821">50390</definedName>
    <definedName name="레25188">46440</definedName>
    <definedName name="레252110">50760</definedName>
    <definedName name="레252112">52070</definedName>
    <definedName name="레252115">53100</definedName>
    <definedName name="레252118">54320</definedName>
    <definedName name="레252121">56700</definedName>
    <definedName name="레25218">49210</definedName>
    <definedName name="레252410">53550</definedName>
    <definedName name="레252412">54360</definedName>
    <definedName name="레252415">56170</definedName>
    <definedName name="레252418">57280</definedName>
    <definedName name="레252421">59740</definedName>
    <definedName name="레25248">51780</definedName>
    <definedName name="레252710">56370</definedName>
    <definedName name="레252712">57850</definedName>
    <definedName name="레252715">59130</definedName>
    <definedName name="레252718">60450</definedName>
    <definedName name="레252721">62870</definedName>
    <definedName name="레25278">54430</definedName>
    <definedName name="레40168">43030</definedName>
    <definedName name="레401812">46950</definedName>
    <definedName name="레401815">47000</definedName>
    <definedName name="레40188">44900</definedName>
    <definedName name="레40218">47570</definedName>
    <definedName name="레미무근">#REF!</definedName>
    <definedName name="레미철근">#REF!</definedName>
    <definedName name="레미콘">33172</definedName>
    <definedName name="레미콘1">#REF!</definedName>
    <definedName name="레미콘135">#REF!</definedName>
    <definedName name="레미콘150">#REF!</definedName>
    <definedName name="레미콘180">#REF!</definedName>
    <definedName name="레미콘2">#REF!</definedName>
    <definedName name="레미콘210">#REF!</definedName>
    <definedName name="레미콘3">#REF!</definedName>
    <definedName name="레미콘무노">#REF!</definedName>
    <definedName name="레미콘무재">#REF!</definedName>
    <definedName name="레미콘소노">#REF!</definedName>
    <definedName name="레미콘소재">#REF!</definedName>
    <definedName name="레미콘수운반DT">#REF!</definedName>
    <definedName name="레미콘재고">#REF!</definedName>
    <definedName name="레미콘철">#REF!</definedName>
    <definedName name="레미콘철노">#REF!</definedName>
    <definedName name="레미콘철재">#REF!</definedName>
    <definedName name="렌탈기획">#REF!</definedName>
    <definedName name="렌탈영업">#REF!</definedName>
    <definedName name="렌탈영업2팀">#REF!</definedName>
    <definedName name="렌탈영업팀">#REF!</definedName>
    <definedName name="려골ㄴ" hidden="1">{#N/A,#N/A,FALSE,"단가표지"}</definedName>
    <definedName name="려곻" hidden="1">{#N/A,#N/A,FALSE,"단가표지"}</definedName>
    <definedName name="려노령" hidden="1">{#N/A,#N/A,FALSE,"운반시간"}</definedName>
    <definedName name="려ㅑ오ㅕㄱㅎ" hidden="1">{#N/A,#N/A,FALSE,"골재소요량";#N/A,#N/A,FALSE,"골재소요량"}</definedName>
    <definedName name="려ㅑ혀ㅑㄱ" hidden="1">{#N/A,#N/A,FALSE,"단가표지"}</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ㅡㅐㅔ" hidden="1">{#N/A,#N/A,FALSE,"운반시간"}</definedName>
    <definedName name="력ㅎㅅㄱㅎ" hidden="1">{#N/A,#N/A,FALSE,"단가표지"}</definedName>
    <definedName name="련" hidden="1">{#N/A,#N/A,FALSE,"변경관리예산";#N/A,#N/A,FALSE,"변경장비예산";#N/A,#N/A,FALSE,"변경준설예산";#N/A,#N/A,FALSE,"변경철구예산"}</definedName>
    <definedName name="ㄹㅗ">#REF!</definedName>
    <definedName name="로겨" hidden="1">{#N/A,#N/A,FALSE,"단가표지"}</definedName>
    <definedName name="로곃" hidden="1">{#N/A,#N/A,FALSE,"운반시간"}</definedName>
    <definedName name="로곡소" hidden="1">{#N/A,#N/A,FALSE,"운반시간"}</definedName>
    <definedName name="로귤" hidden="1">{#N/A,#N/A,FALSE,"단가표지"}</definedName>
    <definedName name="로드머">#REF!</definedName>
    <definedName name="로롤" hidden="1">{#N/A,#N/A,FALSE,"Sheet1"}</definedName>
    <definedName name="로롴ㅇㄹ">#REF!</definedName>
    <definedName name="로욜ㄷ" hidden="1">{#N/A,#N/A,FALSE,"혼합골재"}</definedName>
    <definedName name="로커커버" hidden="1">{#N/A,#N/A,FALSE,"단축1";#N/A,#N/A,FALSE,"단축2";#N/A,#N/A,FALSE,"단축3";#N/A,#N/A,FALSE,"장축";#N/A,#N/A,FALSE,"4WD"}</definedName>
    <definedName name="로하ㅗㅎ러ㅏㅓㅗㅎ려" hidden="1">{#N/A,#N/A,FALSE,"이태원철근"}</definedName>
    <definedName name="로항" hidden="1">{#N/A,#N/A,FALSE,"단가표지"}</definedName>
    <definedName name="로허ㅗㅎ러ㅗㅎ러" hidden="1">{#N/A,#N/A,FALSE,"이태원철근"}</definedName>
    <definedName name="로허ㅗㅎ렁호ㅓ" hidden="1">{#N/A,#N/A,FALSE,"이태원철근"}</definedName>
    <definedName name="로헐" hidden="1">{#N/A,#N/A,FALSE,"혼합골재"}</definedName>
    <definedName name="로호"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로혹" hidden="1">{#N/A,#N/A,FALSE,"골재소요량";#N/A,#N/A,FALSE,"골재소요량"}</definedName>
    <definedName name="로홀" hidden="1">{#N/A,#N/A,FALSE,"단가표지"}</definedName>
    <definedName name="로휴ㅗㅗㅓㄹㅇ" hidden="1">{#N/A,#N/A,FALSE,"운반시간"}</definedName>
    <definedName name="로ㅓㄷ쇼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ㅅ" hidden="1">{#N/A,#N/A,FALSE,"골재소요량";#N/A,#N/A,FALSE,"골재소요량"}</definedName>
    <definedName name="로ㅓ푝" hidden="1">{#N/A,#N/A,FALSE,"표지목차"}</definedName>
    <definedName name="로ㅓㅎ굗" hidden="1">{#N/A,#N/A,FALSE,"운반시간"}</definedName>
    <definedName name="로ㅓㅎㄹ교" hidden="1">{#N/A,#N/A,FALSE,"운반시간"}</definedName>
    <definedName name="로ㅓㅎ러호ㅓㅎ" hidden="1">#REF!</definedName>
    <definedName name="로ㅓㅎㅇ" hidden="1">{#N/A,#N/A,FALSE,"운반시간"}</definedName>
    <definedName name="로ㅓㅎㅎ" hidden="1">{#N/A,#N/A,FALSE,"혼합골재"}</definedName>
    <definedName name="로ㅓ허ㅗ하" hidden="1">{"'자리배치도'!$AG$1:$CI$28"}</definedName>
    <definedName name="로ㅓ홋ㄱ" hidden="1">{#N/A,#N/A,FALSE,"운반시간"}</definedName>
    <definedName name="로ㅓㅗㅛㅕㅎ" hidden="1">{#N/A,#N/A,FALSE,"조골재"}</definedName>
    <definedName name="로ㅓㅡㄴㄷ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ㅕ7ㄱㄱㄹ" hidden="1">{#N/A,#N/A,FALSE,"2~8번"}</definedName>
    <definedName name="로ㅕㄱ" hidden="1">{#N/A,#N/A,FALSE,"단가표지"}</definedName>
    <definedName name="로ㅕㄱ돈" hidden="1">{#N/A,#N/A,FALSE,"운반시간"}</definedName>
    <definedName name="로ㅕ굑" hidden="1">{#N/A,#N/A,FALSE,"골재소요량";#N/A,#N/A,FALSE,"골재소요량"}</definedName>
    <definedName name="로ㅕㄳㅎ" hidden="1">{#N/A,#N/A,FALSE,"운반시간"}</definedName>
    <definedName name="로ㅗ" hidden="1">{#N/A,#N/A,FALSE,"이태원철근"}</definedName>
    <definedName name="로ㅗㅛ" hidden="1">{#N/A,#N/A,FALSE,"골재소요량";#N/A,#N/A,FALSE,"골재소요량"}</definedName>
    <definedName name="로ㅛ" hidden="1">{#N/A,#N/A,FALSE,"현장 NCR 분석";#N/A,#N/A,FALSE,"현장품질감사";#N/A,#N/A,FALSE,"현장품질감사"}</definedName>
    <definedName name="로ㅛㄱㅎ" hidden="1">{#N/A,#N/A,FALSE,"단가표지"}</definedName>
    <definedName name="로ㅛㄷㄷ" hidden="1">{#N/A,#N/A,FALSE,"표지목차"}</definedName>
    <definedName name="로ㅛㅅㅎ" hidden="1">{#N/A,#N/A,FALSE,"단가표지"}</definedName>
    <definedName name="로ㅛ허ㅛ" hidden="1">{#N/A,#N/A,FALSE,"단가표지"}</definedName>
    <definedName name="로ㅛㅗㅓㅡㅏ" hidden="1">{#N/A,#N/A,FALSE,"조골재"}</definedName>
    <definedName name="로ㅛㅗㅛ" hidden="1">{#N/A,#N/A,FALSE,"운반시간"}</definedName>
    <definedName name="로ㅜ훗" hidden="1">{#N/A,#N/A,FALSE,"표지목차"}</definedName>
    <definedName name="로ㅜㅀㅀ">#N/A</definedName>
    <definedName name="로ㅜㅕㄱㅎ" hidden="1">{#N/A,#N/A,FALSE,"혼합골재"}</definedName>
    <definedName name="록" hidden="1">{#N/A,#N/A,FALSE,"단가표지"}</definedName>
    <definedName name="롟" hidden="1">{#N/A,#N/A,FALSE,"운반시간"}</definedName>
    <definedName name="롟ㅅㄱ" hidden="1">{#N/A,#N/A,FALSE,"단가표지"}</definedName>
    <definedName name="롟ㅎㅎ" hidden="1">{#N/A,#N/A,FALSE,"운반시간"}</definedName>
    <definedName name="롤라경비">#REF!</definedName>
    <definedName name="롤라노무비">#REF!</definedName>
    <definedName name="롤라재료비">#REF!</definedName>
    <definedName name="롤로" localSheetId="0">Dlog_Show</definedName>
    <definedName name="롤로">Dlog_Show</definedName>
    <definedName name="롤올ㅇㅎ" hidden="1">{#N/A,#N/A,FALSE,"운반시간"}</definedName>
    <definedName name="롤호로" hidden="1">{#N/A,#N/A,FALSE,"혼합골재"}</definedName>
    <definedName name="롯" hidden="1">{#N/A,#N/A,FALSE,"운반시간"}</definedName>
    <definedName name="롯ㄱ" hidden="1">{#N/A,#N/A,FALSE,"단가표지"}</definedName>
    <definedName name="롯ㅈ" hidden="1">{#N/A,#N/A,FALSE,"단가표지"}</definedName>
    <definedName name="롯홋" hidden="1">{#N/A,#N/A,FALSE,"운반시간"}</definedName>
    <definedName name="롱" hidden="1">{#N/A,#N/A,FALSE,"배수2"}</definedName>
    <definedName name="롱로" hidden="1">{#N/A,#N/A,FALSE,"기안지";#N/A,#N/A,FALSE,"통신지"}</definedName>
    <definedName name="롶ㅍㄹ" hidden="1">{#N/A,#N/A,FALSE,"단가표지"}</definedName>
    <definedName name="롷ㄱ" hidden="1">{#N/A,#N/A,FALSE,"운반시간"}</definedName>
    <definedName name="롷ㄱ너ㅗ">#REF!</definedName>
    <definedName name="롷굑" hidden="1">{#N/A,#N/A,FALSE,"운반시간"}</definedName>
    <definedName name="롷굫" hidden="1">{#N/A,#N/A,FALSE,"단가표지"}</definedName>
    <definedName name="롷뇯" hidden="1">{#N/A,#N/A,FALSE,"2~8번"}</definedName>
    <definedName name="롷럻" hidden="1">{#N/A,#N/A,FALSE,"이태원철근"}</definedName>
    <definedName name="롷쇽" hidden="1">{#N/A,#N/A,FALSE,"조골재"}</definedName>
    <definedName name="롷ㄺ" hidden="1">{#N/A,#N/A,FALSE,"조골재"}</definedName>
    <definedName name="롸">#N/A</definedName>
    <definedName name="롸롸">#N/A</definedName>
    <definedName name="롸ㅗㅎ" hidden="1">{#N/A,#N/A,FALSE,"혼합골재"}</definedName>
    <definedName name="롹소ㅓㅑㅗㅎ" hidden="1">{#N/A,#N/A,FALSE,"운반시간"}</definedName>
    <definedName name="뢔내" hidden="1">{#N/A,#N/A,FALSE,"조골재"}</definedName>
    <definedName name="료">{"'용역비'!$A$4:$C$8"}</definedName>
    <definedName name="료료" hidden="1">{#N/A,#N/A,FALSE,"이태원철근"}</definedName>
    <definedName name="료ㅏㅓ사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ㅕㄱ" hidden="1">{#N/A,#N/A,FALSE,"2~8번"}</definedName>
    <definedName name="료ㅕㅗ뮤ㅗ5곰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ㅕㅛㅎ" hidden="1">{#N/A,#N/A,FALSE,"조골재"}</definedName>
    <definedName name="료ㅗㅀㄱㄷ" hidden="1">{#N/A,#N/A,FALSE,"혼합골재"}</definedName>
    <definedName name="료ㅜ쇼" hidden="1">{#N/A,#N/A,FALSE,"2~8번"}</definedName>
    <definedName name="료ㅜㅇ교" hidden="1">{#N/A,#N/A,FALSE,"표지목차"}</definedName>
    <definedName name="료ㅝㅓ숗" hidden="1">{#N/A,#N/A,FALSE,"운반시간"}</definedName>
    <definedName name="룟쇼ㅗ" hidden="1">{#N/A,#N/A,FALSE,"조골재"}</definedName>
    <definedName name="루___핑___공">#N/A</definedName>
    <definedName name="루루루루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루루루루루루루루뤄" hidden="1">{#N/A,#N/A,FALSE,"골재소요량";#N/A,#N/A,FALSE,"골재소요량"}</definedName>
    <definedName name="루파ㅗㅠㅜㅎㄹ" hidden="1">{#N/A,#N/A,FALSE,"운반시간"}</definedName>
    <definedName name="루펗" hidden="1">{#N/A,#N/A,FALSE,"단가표지"}</definedName>
    <definedName name="루프드레인">#REF!</definedName>
    <definedName name="루훓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루ㅕ렿" hidden="1">{#N/A,#N/A,FALSE,"조골재"}</definedName>
    <definedName name="루ㅕㅑㅕㅑㅅ" hidden="1">{#N/A,#N/A,FALSE,"단가표지"}</definedName>
    <definedName name="룸" hidden="1">{#N/A,#N/A,FALSE,"사업총괄";#N/A,#N/A,FALSE,"장비사업";#N/A,#N/A,FALSE,"철구사업";#N/A,#N/A,FALSE,"준설사업"}</definedName>
    <definedName name="룻우ㅕㄴ" hidden="1">{#N/A,#N/A,FALSE,"골재소요량";#N/A,#N/A,FALSE,"골재소요량"}</definedName>
    <definedName name="뤂렆ㄱ" hidden="1">{#N/A,#N/A,FALSE,"운반시간"}</definedName>
    <definedName name="뤃푫" hidden="1">{#N/A,#N/A,FALSE,"단가표지"}</definedName>
    <definedName name="뤄ㅗㄱㅎ" hidden="1">{#N/A,#N/A,FALSE,"운반시간"}</definedName>
    <definedName name="류" hidden="1">{#N/A,#N/A,FALSE,"부대2"}</definedName>
    <definedName name="류류" hidden="1">{#N/A,#N/A,FALSE,"골재소요량";#N/A,#N/A,FALSE,"골재소요량"}</definedName>
    <definedName name="류슈" hidden="1">{#N/A,#N/A,FALSE,"조골재"}</definedName>
    <definedName name="ㄹㅠㅍㄴㄱ" hidden="1">{"'공사부문'!$A$6:$A$32"}</definedName>
    <definedName name="ㄹㅠㅎㄹㅠ휴">#REF!</definedName>
    <definedName name="류햐ㅓㅠ샤" hidden="1">{#N/A,#N/A,FALSE,"표지목차"}</definedName>
    <definedName name="류헗" hidden="1">{#N/A,#N/A,FALSE,"조골재"}</definedName>
    <definedName name="류홋ㄱ" hidden="1">{#N/A,#N/A,FALSE,"표지목차"}</definedName>
    <definedName name="류효정" hidden="1">{"'Firr(선)'!$AS$1:$AY$62","'Firr(사)'!$AS$1:$AY$62","'Firr(회)'!$AS$1:$AY$62","'Firr(선)'!$L$1:$V$62","'Firr(사)'!$L$1:$V$62","'Firr(회)'!$L$1:$V$62"}</definedName>
    <definedName name="류ㅗㄹ홇" hidden="1">{#N/A,#N/A,FALSE,"2~8번"}</definedName>
    <definedName name="류ㅗ휴ㅗ" hidden="1">{#N/A,#N/A,FALSE,"혼합골재"}</definedName>
    <definedName name="류ㅜㅕㅓㅅ허" hidden="1">{#N/A,#N/A,FALSE,"운반시간"}</definedName>
    <definedName name="륜근">#REF!</definedName>
    <definedName name="률류" hidden="1">{#N/A,#N/A,FALSE,"혼합골재"}</definedName>
    <definedName name="률ㅇ">#REF!</definedName>
    <definedName name="륡ㄹ" hidden="1">{#N/A,#N/A,FALSE,"혼합골재"}</definedName>
    <definedName name="륫류ㅗ" hidden="1">{#N/A,#N/A,FALSE,"혼합골재"}</definedName>
    <definedName name="륳" hidden="1">{#N/A,#N/A,FALSE,"조골재"}</definedName>
    <definedName name="륳ㄺ" hidden="1">{#N/A,#N/A,FALSE,"단가표지"}</definedName>
    <definedName name="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르헐ㅇ" hidden="1">{#N/A,#N/A,FALSE,"2~8번"}</definedName>
    <definedName name="르호겨" hidden="1">{#N/A,#N/A,FALSE,"운반시간"}</definedName>
    <definedName name="르횩ㄹ" hidden="1">{#N/A,#N/A,FALSE,"단가표지"}</definedName>
    <definedName name="르ㅓㅕㅑㄱ" hidden="1">{#N/A,#N/A,FALSE,"운반시간"}</definedName>
    <definedName name="르ㅓㅡㅡ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르ㅕ호련" hidden="1">{#N/A,#N/A,FALSE,"단가표지"}</definedName>
    <definedName name="르ㅗㅎ겯" hidden="1">{#N/A,#N/A,FALSE,"운반시간"}</definedName>
    <definedName name="르ㅗㅗㄹ오ㅛ" hidden="1">{#N/A,#N/A,FALSE,"단가표지"}</definedName>
    <definedName name="리">#REF!</definedName>
    <definedName name="리___벳___공">#N/A</definedName>
    <definedName name="리겋" hidden="1">{#N/A,#N/A,FALSE,"단가표지"}</definedName>
    <definedName name="리리리">#REF!,#REF!,#REF!</definedName>
    <definedName name="리바트">#REF!</definedName>
    <definedName name="리비" hidden="1">#REF!</definedName>
    <definedName name="리프트경">#REF!</definedName>
    <definedName name="리프트노">#REF!</definedName>
    <definedName name="리프트재">#REF!</definedName>
    <definedName name="리핑0_3">#REF!</definedName>
    <definedName name="리핑12_15">#REF!</definedName>
    <definedName name="리핑15_18">#REF!</definedName>
    <definedName name="리핑3_6">#REF!</definedName>
    <definedName name="리핑6_9">#REF!</definedName>
    <definedName name="리핑9_12">#REF!</definedName>
    <definedName name="리핑합">#REF!</definedName>
    <definedName name="리하갸ㅐㅎㅇ" hidden="1">{#N/A,#N/A,FALSE,"운반시간"}</definedName>
    <definedName name="리혓" hidden="1">{#N/A,#N/A,FALSE,"혼합골재"}</definedName>
    <definedName name="리ㅓㅇ라ㅓ" hidden="1">{#N/A,#N/A,FALSE,"운반시간"}</definedName>
    <definedName name="리ㅓㅇ롣" hidden="1">{#N/A,#N/A,FALSE,"단가표지"}</definedName>
    <definedName name="리ㅓㅏ퍅ㅎ" hidden="1">{#N/A,#N/A,FALSE,"혼합골재"}</definedName>
    <definedName name="리ㅓㅕㄳ호" hidden="1">{#N/A,#N/A,FALSE,"혼합골재"}</definedName>
    <definedName name="리ㅔㄹ" hidden="1">{"'Sheet1'!$L$16"}</definedName>
    <definedName name="ㄹㄶ">#REF!</definedName>
    <definedName name="ㅁ">#REF!</definedName>
    <definedName name="ㅁ_1" hidden="1">{#N/A,#N/A,FALSE,"조골재"}</definedName>
    <definedName name="ㅁ0">#REF!</definedName>
    <definedName name="ㅁ1">#REF!</definedName>
    <definedName name="ㅁ100">#REF!</definedName>
    <definedName name="ㅁ1000">#REF!</definedName>
    <definedName name="ㅁ1090">#REF!</definedName>
    <definedName name="ㅁ1100">#REF!</definedName>
    <definedName name="ㅁ1110">#REF!</definedName>
    <definedName name="ㅁ1120">#REF!</definedName>
    <definedName name="ㅁ1140">#REF!</definedName>
    <definedName name="ㅁ1180">#REF!</definedName>
    <definedName name="ㅁ122">{0,0,0,0}</definedName>
    <definedName name="ㅁ123" hidden="1">{#N/A,#N/A,FALSE,"운반시간"}</definedName>
    <definedName name="ㅁ1382">#REF!</definedName>
    <definedName name="ㅁ139">#REF!</definedName>
    <definedName name="ㅁ142">#N/A</definedName>
    <definedName name="ㅁ170">#REF!</definedName>
    <definedName name="ㅁ1700">#REF!</definedName>
    <definedName name="ㅁ1800">#REF!</definedName>
    <definedName name="ㅁ1882">#REF!</definedName>
    <definedName name="ㅁ191">#REF!</definedName>
    <definedName name="ㅁ2">#REF!</definedName>
    <definedName name="ㅁ2000">#REF!</definedName>
    <definedName name="ㅁ202">#REF!</definedName>
    <definedName name="ㅁ2200">#REF!</definedName>
    <definedName name="ㅁ222">#N/A</definedName>
    <definedName name="ㅁ2400">#REF!</definedName>
    <definedName name="ㅁ2444">#REF!</definedName>
    <definedName name="ㅁ2500">#REF!</definedName>
    <definedName name="ㅁ270">#REF!</definedName>
    <definedName name="ㅁ278">#REF!</definedName>
    <definedName name="ㅁ30">#REF!</definedName>
    <definedName name="ㅁ300">#REF!</definedName>
    <definedName name="ㅁ3000">#N/A</definedName>
    <definedName name="ㅁ309">#REF!</definedName>
    <definedName name="ㅁ331">#REF!</definedName>
    <definedName name="ㅁ332">#REF!</definedName>
    <definedName name="ㅁ3878">#REF!</definedName>
    <definedName name="ㅁ480">#REF!</definedName>
    <definedName name="ㅁ482">#REF!</definedName>
    <definedName name="ㅁ497">#REF!</definedName>
    <definedName name="ㅁ4ㅍㄷㅇㄳㅎ" hidden="1">{#N/A,#N/A,FALSE,"단가표지"}</definedName>
    <definedName name="ㅁ5">{"서울냉천 3차( 5. 6-7).xls","Sheet1"}</definedName>
    <definedName name="ㅁ50">#REF!</definedName>
    <definedName name="ㅁ500">#REF!</definedName>
    <definedName name="ㅁ54">#REF!</definedName>
    <definedName name="ㅁ540">#REF!</definedName>
    <definedName name="ㅁ545">#REF!</definedName>
    <definedName name="ㅁ565">#REF!</definedName>
    <definedName name="ㅁ60">#REF!</definedName>
    <definedName name="ㅁ600">#REF!</definedName>
    <definedName name="ㅁ62">#REF!</definedName>
    <definedName name="ㅁ63">#REF!</definedName>
    <definedName name="ㅁ636">#REF!</definedName>
    <definedName name="ㅁ700">#REF!</definedName>
    <definedName name="ㅁ750">#REF!</definedName>
    <definedName name="ㅁ76">#REF!</definedName>
    <definedName name="ㅁ835">#REF!</definedName>
    <definedName name="ㅁ8529">#REF!</definedName>
    <definedName name="ㅁ886">#REF!</definedName>
    <definedName name="ㅁ89">#REF!</definedName>
    <definedName name="ㅁ986">#REF!</definedName>
    <definedName name="ㅁㄱ31">#REF!</definedName>
    <definedName name="ㅁㄱㄷㅎ">#N/A</definedName>
    <definedName name="ㅁㄱㅂ" hidden="1">{#N/A,#N/A,FALSE,"단가표지"}</definedName>
    <definedName name="ㅁㄱ솢ㅁ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욕ㄴㅁㅇㄹㄹㅇ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ㄴ" hidden="1">{#N/A,#N/A,FALSE,"견적조건";#N/A,#N/A,FALSE,"산출근거"}</definedName>
    <definedName name="ㅁㄴ_1" hidden="1">{#N/A,#N/A,FALSE,"2~8번"}</definedName>
    <definedName name="ㅁㄴㄱ">#REF!</definedName>
    <definedName name="ㅁㄴㄱㅌㄷ" hidden="1">{#N/A,#N/A,FALSE,"조골재"}</definedName>
    <definedName name="ㅁㄴㄴ" hidden="1">{#N/A,#N/A,FALSE,"골재소요량";#N/A,#N/A,FALSE,"골재소요량"}</definedName>
    <definedName name="ㅁㄴㄴㅁㄴ" hidden="1">{#N/A,#N/A,FALSE,"지침";#N/A,#N/A,FALSE,"환경분석";#N/A,#N/A,FALSE,"Sheet16"}</definedName>
    <definedName name="ㅁㄴㄴㅇ" hidden="1">{#N/A,#N/A,FALSE,"조골재"}</definedName>
    <definedName name="ㅁㄴㄷㄱ" hidden="1">{#N/A,#N/A,FALSE,"기안지";#N/A,#N/A,FALSE,"통신지"}</definedName>
    <definedName name="ㅁㄴㄷㄱㄱ" hidden="1">{#N/A,#N/A,FALSE,"현장 NCR 분석";#N/A,#N/A,FALSE,"현장품질감사";#N/A,#N/A,FALSE,"현장품질감사"}</definedName>
    <definedName name="ㅁㄴㄷㄱㄱ_1" hidden="1">{#N/A,#N/A,FALSE,"현장 NCR 분석";#N/A,#N/A,FALSE,"현장품질감사";#N/A,#N/A,FALSE,"현장품질감사"}</definedName>
    <definedName name="ㅁㄴㄹ" hidden="1">{#N/A,#N/A,FALSE,"견적조건";#N/A,#N/A,FALSE,"산출근거"}</definedName>
    <definedName name="ㅁㄴㄹㄴ" hidden="1">{#N/A,#N/A,FALSE,"운반시간"}</definedName>
    <definedName name="ㅁㄴㄹㅇㄷ" hidden="1">{#N/A,#N/A,FALSE,"혼합골재"}</definedName>
    <definedName name="ㅁㄴㄹㅇㄹ">#REF!</definedName>
    <definedName name="ㅁㄴㄹㅇㅁ" hidden="1">{#N/A,#N/A,FALSE,"단가표지"}</definedName>
    <definedName name="ㅁㄴㄹㅈㄷ" hidden="1">{#N/A,#N/A,FALSE,"손익표지";#N/A,#N/A,FALSE,"손익계산";#N/A,#N/A,FALSE,"일반관리비";#N/A,#N/A,FALSE,"영업외수익";#N/A,#N/A,FALSE,"영업외비용";#N/A,#N/A,FALSE,"매출액";#N/A,#N/A,FALSE,"요약손익";#N/A,#N/A,FALSE,"요약대차";#N/A,#N/A,FALSE,"매출채권현황";#N/A,#N/A,FALSE,"매출채권명세"}</definedName>
    <definedName name="ㅁㄴㄹ홈ㄴㅇㄹ혼ㅇㅎ" hidden="1">{#N/A,#N/A,FALSE,"지침";#N/A,#N/A,FALSE,"환경분석";#N/A,#N/A,FALSE,"Sheet16"}</definedName>
    <definedName name="ㅁㄴㅁ" hidden="1">#REF!</definedName>
    <definedName name="ㅁㄴㅁㄴ" hidden="1">#REF!</definedName>
    <definedName name="ㅁㄴㅁㄴㅁ" hidden="1">{#N/A,#N/A,FALSE,"골재소요량";#N/A,#N/A,FALSE,"골재소요량"}</definedName>
    <definedName name="ㅁㄴㅁㅁ">#N/A</definedName>
    <definedName name="ㅁㄴㅁㅇ" hidden="1">#REF!</definedName>
    <definedName name="ㅁㄴㅁㅇㄴㅁㄴㅇ" hidden="1">{#N/A,#N/A,FALSE,"조골재"}</definedName>
    <definedName name="ㅁㄴㅇ">#REF!</definedName>
    <definedName name="ㅁㄴㅇ_1" hidden="1">{#N/A,#N/A,FALSE,"운반시간"}</definedName>
    <definedName name="ㅁㄴㅇㄴ" hidden="1">{#N/A,#N/A,TRUE,"토적및재료집계";#N/A,#N/A,TRUE,"토적및재료집계";#N/A,#N/A,TRUE,"단위량"}</definedName>
    <definedName name="ㅁㄴㅇㄴㅁㅇㄴ">#REF!</definedName>
    <definedName name="ㅁㄴㅇㄴㅁㅇㄴㅁ">#REF!</definedName>
    <definedName name="ㅁㄴㅇㄷㅂㅈㄷㅇㅂㅈㄷ" hidden="1">{#N/A,#N/A,FALSE,"이태원철근"}</definedName>
    <definedName name="ㅁㄴㅇㄹ" hidden="1">{#N/A,#N/A,FALSE,"기안지";#N/A,#N/A,FALSE,"통신지"}</definedName>
    <definedName name="ㅁㄴㅇㄹㄴ" hidden="1">{"'터널공'!$A$177:$A$186"}</definedName>
    <definedName name="ㅁㄴㅇㄹㄴㄹ" hidden="1">{#N/A,"수불부",FALSE,"사급자재수불서";#N/A,"수불부",FALSE,"사급자재수불서"}</definedName>
    <definedName name="ㅁㄴㅇㄹㄴㅇㄹ" hidden="1">{#N/A,#N/A,FALSE,"이태원철근"}</definedName>
    <definedName name="ㅁㄴㅇㄹㄴㅇㅁㄹㄴㅇㅁㄻ누" hidden="1">{#N/A,#N/A,FALSE,"이태원철근"}</definedName>
    <definedName name="ㅁㄴㅇㄹㄴㅇㅁㅎㄷㅈㅅㅎㄻㄴ" hidden="1">{#N/A,#N/A,FALSE,"이태원철근"}</definedName>
    <definedName name="ㅁㄴㅇㄹㄴㅇㅁㄻㄴㅇㄻ" hidden="1">{#N/A,#N/A,FALSE,"이태원철근"}</definedName>
    <definedName name="ㅁㄴㅇㄹㄴㅇㄻㄴㅇㄹㄴ" hidden="1">{#N/A,#N/A,FALSE,"이태원철근"}</definedName>
    <definedName name="ㅁㄴㅇㄹㅇㄴㄹ" hidden="1">#REF!</definedName>
    <definedName name="ㅁㄴㅇ라ㅓ" localSheetId="0">BlankMacro1</definedName>
    <definedName name="ㅁㄴㅇ라ㅓ">BlankMacro1</definedName>
    <definedName name="ㅁㄴㅇ러ㅣ" localSheetId="0">BlankMacro1</definedName>
    <definedName name="ㅁㄴㅇ러ㅣ">BlankMacro1</definedName>
    <definedName name="ㅁㄴㅇ류" hidden="1">#REF!</definedName>
    <definedName name="ㅁㄴㅇㄹㄻㄴ" hidden="1">{#N/A,#N/A,FALSE,"이태원철근"}</definedName>
    <definedName name="ㅁㄴㅇㄹㄻㅇ">#REF!</definedName>
    <definedName name="ㅁㄴㅇㅁ" hidden="1">{#N/A,#N/A,FALSE,"배수1"}</definedName>
    <definedName name="ㅁㄴㅇㅁㄴ">#REF!</definedName>
    <definedName name="ㅁㄴㅇㅁㄴㅇ" hidden="1">#REF!</definedName>
    <definedName name="ㅁㄴㅇㅁㄴㅇㄴ">#REF!</definedName>
    <definedName name="ㅁㄴㅇㅁㄴㅇㅁ" localSheetId="0">BlankMacro1</definedName>
    <definedName name="ㅁㄴㅇㅁㄴㅇㅁ">BlankMacro1</definedName>
    <definedName name="ㅁㄴㅇㅁㄴㅇㅁㄴㅇ" hidden="1">{"'용역비'!$A$4:$C$8"}</definedName>
    <definedName name="ㅁㄴㅇㅁㄴㅇㅁㅇ" hidden="1">{#N/A,#N/A,FALSE,"2~8번"}</definedName>
    <definedName name="ㅁㄴㅇㅁㄴㅇㅎ" hidden="1">#REF!</definedName>
    <definedName name="ㅁㄴㅇㅁㄶㅇㄶㅇㄶㅇㅁㅎㅇ" hidden="1">{#N/A,#N/A,FALSE,"이태원철근"}</definedName>
    <definedName name="ㅁㄴㅇㅂㅈㄷㅁㄴㄷㅇㅁㄴ" hidden="1">{#N/A,#N/A,FALSE,"이태원철근"}</definedName>
    <definedName name="ㅁㄴㅇㅂㅈㄷㅁㄴㅇㅂㅈ" hidden="1">{#N/A,#N/A,FALSE,"이태원철근"}</definedName>
    <definedName name="ㅁㄴㅇㅇ">[0]!_4A_7</definedName>
    <definedName name="ㅁㄴㅇㅈㄷ123" hidden="1">{#N/A,#N/A,FALSE,"기안지";#N/A,#N/A,FALSE,"통신지"}</definedName>
    <definedName name="ㅁㄴㅇㅊㅇㄴㅁ">#REF!</definedName>
    <definedName name="ㅁㄴㅇㅍㄴㅇㄴ" hidden="1">#REF!</definedName>
    <definedName name="ㅁㄴㅇㅎ4ㄷ" hidden="1">{#N/A,#N/A,FALSE,"생산성";#N/A,#N/A,FALSE,"인력1";#N/A,#N/A,FALSE,"인력2";#N/A,#N/A,FALSE,"인력3";#N/A,#N/A,FALSE,"인건1";#N/A,#N/A,FALSE,"인건2";#N/A,#N/A,FALSE,"인건3";#N/A,#N/A,FALSE,"인원증감";#N/A,#N/A,FALSE,"인건증감";#N/A,#N/A,FALSE,"표지등"}</definedName>
    <definedName name="ㅁㄴㅇㅎㄴㅇㅁㄹㄷㅈㄹㄴㅇ" hidden="1">{#N/A,#N/A,FALSE,"이태원철근"}</definedName>
    <definedName name="ㅁㄴㅇㅎㄴㅇㅁㄹㄷㅈㄹㄴㅇㄹ" hidden="1">{#N/A,#N/A,FALSE,"이태원철근"}</definedName>
    <definedName name="ㅁㄴㅇㅎㄴㅇㅁㅎㅁㄴㅇㅎㅁㄴㅇㄹ" hidden="1">{#N/A,#N/A,FALSE,"이태원철근"}</definedName>
    <definedName name="ㅁㄴㅇㅎㄴㅇㅁㅎㅁㄴㅇㄻㄴㅇ" hidden="1">{#N/A,#N/A,FALSE,"이태원철근"}</definedName>
    <definedName name="ㅁㄴㅇㅎㄴㅇㅎㄶㅇㄶㅇㅁ" hidden="1">{#N/A,#N/A,FALSE,"이태원철근"}</definedName>
    <definedName name="ㅁㄴㅇㅎㅁ">{"'자리배치도'!$AG$1:$CI$28"}</definedName>
    <definedName name="ㅁㄴㅇㅎㅁㄴㄷㅇㅎㄴㅇㅁㅎㅁㄴ" hidden="1">{#N/A,#N/A,FALSE,"이태원철근"}</definedName>
    <definedName name="ㅁㄴㅇㅎㅁㄴㄷㅈㅎㄻㄴㅇㄻㄴㅇ" hidden="1">{#N/A,#N/A,FALSE,"이태원철근"}</definedName>
    <definedName name="ㅁㄴㅇㅎㅁㄴㅇ" localSheetId="0">BlankMacro1</definedName>
    <definedName name="ㅁㄴㅇㅎㅁㄴㅇ">BlankMacro1</definedName>
    <definedName name="ㅁㄴㅇㅎㅁㄴㅇㅅㄷㅈㅁㄻㄴㅇㄹ" hidden="1">{#N/A,#N/A,FALSE,"이태원철근"}</definedName>
    <definedName name="ㅁㄴㅇㅎㅁㄴㅇㅎㅁㄴㅇㅎ" hidden="1">{#N/A,#N/A,FALSE,"지침";#N/A,#N/A,FALSE,"환경분석";#N/A,#N/A,FALSE,"Sheet16"}</definedName>
    <definedName name="ㅁㄴㅇㅎㅁㄴㅇㅎㅁㄴㅇㅎㄴㅇㅁㅎ" hidden="1">{#N/A,#N/A,FALSE,"이태원철근"}</definedName>
    <definedName name="ㅁㄴㅇㅎㅁㄴㅇㅎㅁㄴㅇㅎㄹㄴㅇㅁㅎㄴ" hidden="1">{#N/A,#N/A,FALSE,"이태원철근"}</definedName>
    <definedName name="ㅁㄴㅇㅎㅁㄴㅇㅎㅁㄴㅇㅎㅁ" hidden="1">{#N/A,#N/A,FALSE,"이태원철근"}</definedName>
    <definedName name="ㅁㄴㅇㅎㅁㄴㅇㅎㅁㄴㅇㅎㅁㄴ" hidden="1">{#N/A,#N/A,FALSE,"이태원철근"}</definedName>
    <definedName name="ㅁㄴㅇㅎㅁㄴㅇㅎㅁㄴㅇㄻㄴㅇㄹ" hidden="1">{#N/A,#N/A,FALSE,"이태원철근"}</definedName>
    <definedName name="ㅁㄴㅇㅎㅁㄴㅇㅎㅁㄶㅇㅁㄶㅇ" hidden="1">{#N/A,#N/A,FALSE,"이태원철근"}</definedName>
    <definedName name="ㅁㄴㅇㅎㅁㄴㅇㅎㅇ롤오" hidden="1">{#N/A,#N/A,FALSE,"지침";#N/A,#N/A,FALSE,"환경분석";#N/A,#N/A,FALSE,"Sheet16"}</definedName>
    <definedName name="ㅁㄴㅇㅎㅁㄴㅇㅎㄻㄴㅇㄱㄹㄴㅇ" hidden="1">{#N/A,#N/A,FALSE,"이태원철근"}</definedName>
    <definedName name="ㅁㄴㅇㅎㅁㄴㅇㅎㄻㄴㅇㅎㅁㄴㅇ" hidden="1">{#N/A,#N/A,FALSE,"이태원철근"}</definedName>
    <definedName name="ㅁㄴㅇㅎㅁㄷㄱㅎㅅ" hidden="1">{#N/A,#N/A,FALSE,"BS";#N/A,#N/A,FALSE,"PL";#N/A,#N/A,FALSE,"처분";#N/A,#N/A,FALSE,"현금";#N/A,#N/A,FALSE,"매출";#N/A,#N/A,FALSE,"원가";#N/A,#N/A,FALSE,"경영"}</definedName>
    <definedName name="ㅁㄴㅇㅎㅁㄷㅈㅎㅁㄴㄷㄱㄻㄴㅇ" hidden="1">{#N/A,#N/A,FALSE,"이태원철근"}</definedName>
    <definedName name="ㅁㄴㅇㅎㅁㄹㄴㅇㅎㅇㄴ로" hidden="1">{#N/A,#N/A,FALSE,"지침";#N/A,#N/A,FALSE,"환경분석";#N/A,#N/A,FALSE,"Sheet16"}</definedName>
    <definedName name="ㅁㄴㅇㅎㅁㅎㅇㅁㅎㅇ" hidden="1">{#N/A,#N/A,FALSE,"이태원철근"}</definedName>
    <definedName name="ㅁㄴㅇㅎㅁㄶㅇㅁㄶㅇㄶㅇㅁ" hidden="1">{#N/A,#N/A,FALSE,"이태원철근"}</definedName>
    <definedName name="ㅁㄴㅇㅎㅁㄶㅇㅇㅁㄶ" hidden="1">{#N/A,#N/A,FALSE,"이태원철근"}</definedName>
    <definedName name="ㅁㄴㅇㅎㅎ" hidden="1">#REF!</definedName>
    <definedName name="ㅁㄴㅇㅀ">#N/A</definedName>
    <definedName name="ㅁㄴㅇㅀㅁ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아" localSheetId="0">BlankMacro1</definedName>
    <definedName name="ㅁㄴ아">BlankMacro1</definedName>
    <definedName name="ㅁㄴ아러" localSheetId="0">BlankMacro1</definedName>
    <definedName name="ㅁㄴ아러">BlankMacro1</definedName>
    <definedName name="ㅁㄴ아럼" localSheetId="0">BlankMacro1</definedName>
    <definedName name="ㅁㄴ아럼">BlankMacro1</definedName>
    <definedName name="ㅁㄴ아럼ㄴ" localSheetId="0">BlankMacro1</definedName>
    <definedName name="ㅁㄴ아럼ㄴ">BlankMacro1</definedName>
    <definedName name="ㅁㄴ어롬ㄹ" hidden="1">{#N/A,#N/A,FALSE,"이태원철근"}</definedName>
    <definedName name="ㅁㄴ읾ㄴㅇ러" localSheetId="0">BlankMacro1</definedName>
    <definedName name="ㅁㄴ읾ㄴㅇ러">BlankMacro1</definedName>
    <definedName name="ㅁㄴㅇㄻ" hidden="1">{#N/A,#N/A,FALSE,"생산성";#N/A,#N/A,FALSE,"인력1";#N/A,#N/A,FALSE,"인력2";#N/A,#N/A,FALSE,"인력3";#N/A,#N/A,FALSE,"인건1";#N/A,#N/A,FALSE,"인건2";#N/A,#N/A,FALSE,"인건3";#N/A,#N/A,FALSE,"인원증감";#N/A,#N/A,FALSE,"인건증감";#N/A,#N/A,FALSE,"표지등"}</definedName>
    <definedName name="ㅁㄴㅇㄻㄴ" hidden="1">{#N/A,#N/A,FALSE,"BS";#N/A,#N/A,FALSE,"PL";#N/A,#N/A,FALSE,"처분";#N/A,#N/A,FALSE,"현금";#N/A,#N/A,FALSE,"매출";#N/A,#N/A,FALSE,"원가";#N/A,#N/A,FALSE,"경영"}</definedName>
    <definedName name="ㅁㄴㅇㄻㄴㄹㄴㅁㅇ" hidden="1">{#N/A,#N/A,FALSE,"이태원철근"}</definedName>
    <definedName name="ㅁㄴㅇㄻㄴㅇㄹ">#REF!</definedName>
    <definedName name="ㅁㄴㅇㄻㄴㅇㄹㄴ" hidden="1">#REF!</definedName>
    <definedName name="ㅁㄴㅇㄻㄴㅇㄹㄴㅁㅇㄹ" hidden="1">{#N/A,#N/A,FALSE,"이태원철근"}</definedName>
    <definedName name="ㅁㄴㅇㄻㄴㅇㄹㄴㅁㅎㄴㅇㅎ">{"'용역비'!$A$4:$C$8"}</definedName>
    <definedName name="ㅁㄴㅇㄻㄴㅇㄻㄴㄹ" hidden="1">{#N/A,#N/A,FALSE,"명세표"}</definedName>
    <definedName name="ㅁㄴㅇㄻㄴㅇㄻㄴㅇ" hidden="1">{#N/A,#N/A,FALSE,"이태원철근"}</definedName>
    <definedName name="ㅁㄴㅇㄻㄴㅇㄻㄴㅇㄹ" hidden="1">{#N/A,#N/A,FALSE,"기안지";#N/A,#N/A,FALSE,"통신지"}</definedName>
    <definedName name="ㅁㄴㅇㄻㄹ" hidden="1">{#N/A,#N/A,FALSE,"이태원철근"}</definedName>
    <definedName name="ㅁㄴㅇㄻㅇ" localSheetId="0">BlankMacro1</definedName>
    <definedName name="ㅁㄴㅇㄻㅇ">BlankMacro1</definedName>
    <definedName name="ㅁㄴㅇㄻㅇㄴ" hidden="1">#REF!</definedName>
    <definedName name="ㅁㄴㅇㄻㅇㄴㄻ" localSheetId="0">BlankMacro1</definedName>
    <definedName name="ㅁㄴㅇㄻㅇㄴㄻ">BlankMacro1</definedName>
    <definedName name="ㅁㄴㅇㄻㅇㄹ" localSheetId="0">BlankMacro1</definedName>
    <definedName name="ㅁㄴㅇㄻㅇㄹ">BlankMacro1</definedName>
    <definedName name="ㅁㄴㅊㅇ">#REF!</definedName>
    <definedName name="ㅁㄴㅊㅍㅁㅌㅊ펌ㄴㅇㄹ" hidden="1">#REF!</definedName>
    <definedName name="ㅁㄴ커ㅡㅏ" hidden="1">{#N/A,#N/A,FALSE,"교리2"}</definedName>
    <definedName name="ㅁㄴㅌㄴ">{"'자리배치도'!$AG$1:$CI$28"}</definedName>
    <definedName name="ㅁㄴㅍㅁㄴ" hidden="1">{#N/A,#N/A,FALSE,"생산성";#N/A,#N/A,FALSE,"인력1";#N/A,#N/A,FALSE,"인력2";#N/A,#N/A,FALSE,"인력3";#N/A,#N/A,FALSE,"인건1";#N/A,#N/A,FALSE,"인건2";#N/A,#N/A,FALSE,"인건3";#N/A,#N/A,FALSE,"인원증감";#N/A,#N/A,FALSE,"인건증감";#N/A,#N/A,FALSE,"표지등"}</definedName>
    <definedName name="ㅁㄴㅀㅁㅀ">#REF!</definedName>
    <definedName name="ㅁ뇬ㄱ쇿ㄴ" hidden="1">{#N/A,#N/A,FALSE,"이태원철근"}</definedName>
    <definedName name="ㅁ늎ㅁㄴㅇ">#REF!</definedName>
    <definedName name="ㅁ니럴" hidden="1">{#N/A,#N/A,FALSE,"혼합골재"}</definedName>
    <definedName name="ㅁ니아민ㅇㅁㄴㅇㅁㄴ" hidden="1">{#N/A,#N/A,FALSE,"지침";#N/A,#N/A,FALSE,"환경분석";#N/A,#N/A,FALSE,"Sheet16"}</definedName>
    <definedName name="ㅁㄴㄻㄴㄹ" hidden="1">#REF!</definedName>
    <definedName name="ㅁㄴㄻㄻㄴㅇ" hidden="1">#REF!</definedName>
    <definedName name="ㅁㄴㄿㅎㄹ" hidden="1">{#N/A,#N/A,FALSE,"2~8번"}</definedName>
    <definedName name="ㅁㄷㄱㅍㄱㅈㅁ" hidden="1">{#N/A,#N/A,FALSE,"골재소요량";#N/A,#N/A,FALSE,"골재소요량"}</definedName>
    <definedName name="ㅁㄷㄱㅎㄹ" localSheetId="0">BlankMacro1</definedName>
    <definedName name="ㅁㄷㄱㅎㄹ">BlankMacro1</definedName>
    <definedName name="ㅁㄷㄱㅎㄺㄷㅁ" localSheetId="0">BlankMacro1</definedName>
    <definedName name="ㅁㄷㄱㅎㄺㄷㅁ">BlankMacro1</definedName>
    <definedName name="ㅁㄷㄱㅎㄼㄱ" hidden="1">{#N/A,#N/A,FALSE,"생산성";#N/A,#N/A,FALSE,"인력1";#N/A,#N/A,FALSE,"인력2";#N/A,#N/A,FALSE,"인력3";#N/A,#N/A,FALSE,"인건1";#N/A,#N/A,FALSE,"인건2";#N/A,#N/A,FALSE,"인건3";#N/A,#N/A,FALSE,"인원증감";#N/A,#N/A,FALSE,"인건증감";#N/A,#N/A,FALSE,"표지등"}</definedName>
    <definedName name="ㅁㄷ고ㅠ모륟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ㄷ곻">#REF!</definedName>
    <definedName name="ㅁㄷㅎㄱㄷ">#REF!</definedName>
    <definedName name="ㅁㄷㅎㅁㅎㅁ" hidden="1">{#N/A,#N/A,FALSE,"조골재"}</definedName>
    <definedName name="ㅁㄷㅎㅎ" hidden="1">{#N/A,#N/A,FALSE,"전력간선"}</definedName>
    <definedName name="ㅁ도ㅗㄹㅇ">#N/A</definedName>
    <definedName name="ㅁㄷㄻㄹ">#REF!</definedName>
    <definedName name="ㅁㄹ" hidden="1">{#N/A,#N/A,FALSE,"2~8번"}</definedName>
    <definedName name="ㅁㄹㄴ">#REF!</definedName>
    <definedName name="ㅁㄹㄴㅇ" hidden="1">{#N/A,#N/A,FALSE,"단가표지"}</definedName>
    <definedName name="ㅁㄹㄴㅇㅁ" hidden="1">{#N/A,#N/A,FALSE,"표지목차"}</definedName>
    <definedName name="ㅁㄹㄴㅇㄻㄴㄹ" hidden="1">{#N/A,#N/A,FALSE,"골재소요량";#N/A,#N/A,FALSE,"골재소요량"}</definedName>
    <definedName name="ㅁㄹㄹ" hidden="1">{#N/A,#N/A,FALSE,"2~8번"}</definedName>
    <definedName name="ㅁㄹㄹㄴㅇㄹㅇㄴㄹㄴㅇ" hidden="1">{#N/A,#N/A,FALSE,"포장1";#N/A,#N/A,FALSE,"포장1"}</definedName>
    <definedName name="ㅁㄹㄹㄹㄹㅇ" hidden="1">{"'자리배치도'!$AG$1:$CI$28"}</definedName>
    <definedName name="ㅁㄹㄹㄹㅇㅁㄹㅇㄹㄹㅇㅁ">{"'자리배치도'!$AG$1:$CI$28"}</definedName>
    <definedName name="ㅁㄹㅇ" hidden="1">{#N/A,#N/A,FALSE,"혼합골재"}</definedName>
    <definedName name="ㅁㄹㅇㄴ" hidden="1">{#N/A,#N/A,FALSE,"단가표지"}</definedName>
    <definedName name="ㅁㄹㅇㄴㅇㄹ" hidden="1">{#N/A,"수불부",FALSE,"사급자재수불서";#N/A,"수불부",FALSE,"사급자재수불서"}</definedName>
    <definedName name="ㅁㄹㅇㄹ">#REF!,#REF!</definedName>
    <definedName name="ㅁㄹㅇㄹㅇㄹㅇㄹ" hidden="1">#REF!</definedName>
    <definedName name="ㅁㄹㅇㅁㄴ" hidden="1">{#N/A,#N/A,FALSE,"골재소요량";#N/A,#N/A,FALSE,"골재소요량"}</definedName>
    <definedName name="ㅁㄹㅇㅁㄴㅇㄹ" hidden="1">{#N/A,#N/A,FALSE,"현장 NCR 분석";#N/A,#N/A,FALSE,"현장품질감사";#N/A,#N/A,FALSE,"현장품질감사"}</definedName>
    <definedName name="ㅁ로ㅗㅗㅗㅗㅗㅗ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ㄹㄶㄶ" hidden="1">#REF!</definedName>
    <definedName name="ㅁㅁ" localSheetId="0">ErrorHandler_1</definedName>
    <definedName name="ㅁㅁ">ErrorHandler_1</definedName>
    <definedName name="ㅁㅁ_1" hidden="1">{#N/A,#N/A,FALSE,"조골재"}</definedName>
    <definedName name="ㅁㅁ158">#REF!</definedName>
    <definedName name="ㅁㅁ185">#REF!</definedName>
    <definedName name="ㅁㅁㄴ" hidden="1">{#N/A,#N/A,FALSE,"2~8번"}</definedName>
    <definedName name="ㅁㅁㄴ6">{"서울냉천 3차( 5. 6-7).xls","Sheet1"}</definedName>
    <definedName name="ㅁㅁㄴㅁ" hidden="1">{#N/A,#N/A,FALSE,"운반시간"}</definedName>
    <definedName name="ㅁㅁㅁ">#REF!</definedName>
    <definedName name="ㅁㅁㅁㅁ" hidden="1">{#N/A,#N/A,FALSE,"CCTV"}</definedName>
    <definedName name="ㅁㅁㅁㅁㅁ" hidden="1">{#N/A,#N/A,FALSE,"BS";#N/A,#N/A,FALSE,"PL";#N/A,#N/A,FALSE,"처분";#N/A,#N/A,FALSE,"현금";#N/A,#N/A,FALSE,"매출";#N/A,#N/A,FALSE,"원가";#N/A,#N/A,FALSE,"경영"}</definedName>
    <definedName name="ㅁㅁㅁㅁㅁㅁ" hidden="1">#REF!</definedName>
    <definedName name="ㅁㅁㅁㅁㅁㅁㅁ" hidden="1">{#N/A,#N/A,FALSE,"BS";#N/A,#N/A,FALSE,"PL";#N/A,#N/A,FALSE,"처분";#N/A,#N/A,FALSE,"현금";#N/A,#N/A,FALSE,"매출";#N/A,#N/A,FALSE,"원가";#N/A,#N/A,FALSE,"경영"}</definedName>
    <definedName name="ㅁㅁㅁㅁㅁㅁㅁㅁ" hidden="1">{#N/A,#N/A,FALSE,"배수1"}</definedName>
    <definedName name="ㅁㅁㅁㅁㅁㅁㅁㅁㅁㅁㅁ" hidden="1">{#N/A,#N/A,FALSE,"이태원철근"}</definedName>
    <definedName name="ㅁㅁㅁㅁㅁㅁㅁㅁㅁㅁㅁㅁ" hidden="1">{#N/A,#N/A,FALSE,"이태원철근"}</definedName>
    <definedName name="ㅁㅁㅁㅁㅁㅁㅁㅁㅁㅁㅁㅁㅁ" hidden="1">{#N/A,#N/A,FALSE,"이태원철근"}</definedName>
    <definedName name="ㅁㅁㅁㅁㅁㅁㅁㅁㅁㅁㅁㅁㅁㅁ" hidden="1">{#N/A,#N/A,FALSE,"이태원철근"}</definedName>
    <definedName name="ㅁㅁㅁㅁㅁㅁㅁㅁㅁㅁㅁㅁㅁㅁㅁㅁ">{"서울냉천 3차( 5. 6-7).xls","Sheet1"}</definedName>
    <definedName name="ㅁㅁㅁㅁㅁㅁㅁㅁㅁㅁㅁㅁㅁㅁㅁㅁㅁㅁㅁㅁㅁㅁㅁ" hidden="1">{#N/A,#N/A,FALSE,"전력간선"}</definedName>
    <definedName name="ㅁㅁㅁㅁㅁㅁㅁㅁㅁㅁㅁㅁㅁㅁㅁㅁㅁㅁㅁㅁㅁㅁㅁㅁㅁㅁㅁ" hidden="1">{#N/A,#N/A,FALSE,"전력간선"}</definedName>
    <definedName name="ㅁㅁㅁㅁㅁㅇㄹ" hidden="1">{#N/A,#N/A,FALSE,"구조2"}</definedName>
    <definedName name="ㅁㅁㅂㅂ" hidden="1">{#N/A,#N/A,FALSE,"골재소요량";#N/A,#N/A,FALSE,"골재소요량"}</definedName>
    <definedName name="ㅁㅂ">#REF!</definedName>
    <definedName name="ㅁㅂㅁㅂㅂㅁㅁㅂ"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ㅁㅂㅎ">#REF!</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 hidden="1">{#N/A,#N/A,FALSE,"전력간선"}</definedName>
    <definedName name="ㅁㅇㄴㄱ" hidden="1">{#N/A,#N/A,FALSE,"단가표지"}</definedName>
    <definedName name="ㅁㅇㄴ로" hidden="1">{#N/A,#N/A,FALSE,"Sheet1"}</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ㄴㅇㄱ류ㅗ">#REF!</definedName>
    <definedName name="ㅁㅇㄴㅁㄴㅇㅁ" hidden="1">#REF!</definedName>
    <definedName name="ㅁㅇㄴㅁㅁㄴㅇㄴ" hidden="1">{#N/A,#N/A,FALSE,"지침";#N/A,#N/A,FALSE,"환경분석";#N/A,#N/A,FALSE,"Sheet16"}</definedName>
    <definedName name="ㅁㅇㄴㅁㅇ" hidden="1">#REF!</definedName>
    <definedName name="ㅁㅇㄴㅁㅇㄴ" hidden="1">#REF!</definedName>
    <definedName name="ㅁㅇㄴㅁㅇㅁ" hidden="1">{#N/A,#N/A,FALSE,"배수1"}</definedName>
    <definedName name="ㅁㅇㄴㅀㅁㄴㅇㅎ" hidden="1">{#N/A,#N/A,FALSE,"지침";#N/A,#N/A,FALSE,"환경분석";#N/A,#N/A,FALSE,"Sheet16"}</definedName>
    <definedName name="ㅁㅇ니ㅏ">#REF!</definedName>
    <definedName name="ㅁㅇ니ㅏㄹ">#REF!</definedName>
    <definedName name="ㅁㅇㄴㄻㄴㅇㄻㄴㅇㄹ" hidden="1">{#N/A,#N/A,FALSE,"이태원철근"}</definedName>
    <definedName name="ㅁㅇㄹ" hidden="1">{#N/A,#N/A,FALSE,"전력간선"}</definedName>
    <definedName name="ㅁㅇㄹㄴㅁㅇㄹㄴ" hidden="1">{#N/A,"수불부",FALSE,"사급자재수불서";#N/A,"수불부",FALSE,"사급자재수불서"}</definedName>
    <definedName name="ㅁㅇㄹㄴㅇㄹㄴㅇㄹ" hidden="1">{#N/A,"수불부",FALSE,"사급자재수불서";#N/A,"수불부",FALSE,"사급자재수불서"}</definedName>
    <definedName name="ㅁㅇㄹㄴㅇㅁㄹ" hidden="1">{#N/A,#N/A,FALSE,"운반시간"}</definedName>
    <definedName name="ㅁㅇㄹㄴㄻ">{"'Sheet1'!$D$19","'Sheet1'!$B$22:$E$22"}</definedName>
    <definedName name="ㅁㅇㄹㄷ고ㅛㅏㅏㅏ" hidden="1">#REF!</definedName>
    <definedName name="ㅁㅇㄹㅁㅇㄹㅇㅁㄴ" hidden="1">{#N/A,#N/A,FALSE,"Sheet1"}</definedName>
    <definedName name="ㅁㅇ라멍" localSheetId="0">BlankMacro1</definedName>
    <definedName name="ㅁㅇ라멍">BlankMacro1</definedName>
    <definedName name="ㅁㅇ로호ㅗㅗㅗㅗㅗㅗㅗㅗ" hidden="1">{#N/A,#N/A,FALSE,"Sheet1"}</definedName>
    <definedName name="ㅁㅇ링ㅁㄴ" hidden="1">{#N/A,#N/A,FALSE,"BS";#N/A,#N/A,FALSE,"PL";#N/A,#N/A,FALSE,"처분";#N/A,#N/A,FALSE,"현금";#N/A,#N/A,FALSE,"매출";#N/A,#N/A,FALSE,"원가";#N/A,#N/A,FALSE,"경영"}</definedName>
    <definedName name="ㅁㅇㅁㄹ"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ㅁㅇㅁㅇ">#REF!</definedName>
    <definedName name="ㅁㅇㅂㅈㄷㅇㅂㅈㄷㅁㄴ" hidden="1">{#N/A,#N/A,FALSE,"이태원철근"}</definedName>
    <definedName name="ㅁㅇㅇ" hidden="1">{#N/A,#N/A,FALSE,"Sheet1"}</definedName>
    <definedName name="ㅁㅇㅇㅁㅇ" hidden="1">#REF!</definedName>
    <definedName name="ㅁㅇㅎ">#N/A</definedName>
    <definedName name="ㅁㅇㅎㅁㄴㅇㅎㅇㅁㄶㄻㅇㄴ" hidden="1">{#N/A,#N/A,FALSE,"이태원철근"}</definedName>
    <definedName name="ㅁㅇㅎㅁㄹㅇㅎㅎㅀㄹㄶㄹ" hidden="1">{"'자리배치도'!$AG$1:$CI$28"}</definedName>
    <definedName name="ㅁㅇㅎㅁㅇㅎㅁㅇ">#REF!</definedName>
    <definedName name="ㅁㅇㅎㅁㅎ">#N/A</definedName>
    <definedName name="ㅁㅇㅎㅁㄶㅇㅁㅎㅇㄶㅇ" hidden="1">{#N/A,#N/A,FALSE,"이태원철근"}</definedName>
    <definedName name="ㅁㅇㅎㅎㄹㅇㅎㅎ" hidden="1">{"'자리배치도'!$AG$1:$CI$28"}</definedName>
    <definedName name="ㅁㅇㅀ">#N/A</definedName>
    <definedName name="ㅁㅇㅀㅁㅇ" hidden="1">{#N/A,#N/A,FALSE,"단가표지"}</definedName>
    <definedName name="ㅁㅇㅀㅂ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아러" localSheetId="0">BlankMacro1</definedName>
    <definedName name="ㅁ아러">BlankMacro1</definedName>
    <definedName name="ㅁ알" localSheetId="0">BlankMacro1</definedName>
    <definedName name="ㅁ알">BlankMacro1</definedName>
    <definedName name="ㅁ인ㅍㅁ닟ㅍㅁㄴㅇㄹ" hidden="1">#REF!</definedName>
    <definedName name="ㅁ읾ㄴㅇㄻ" hidden="1">#REF!</definedName>
    <definedName name="ㅁㅇㄻ" hidden="1">{#N/A,#N/A,FALSE,"조골재"}</definedName>
    <definedName name="ㅁㅇㄻㄴ" hidden="1">{#N/A,#N/A,FALSE,"기안지";#N/A,#N/A,FALSE,"통신지"}</definedName>
    <definedName name="ㅁㅇㄻㄴㄹ" hidden="1">{#N/A,#N/A,FALSE,"혼합골재"}</definedName>
    <definedName name="ㅁㅇㄻㄴㅇㄹ">#REF!</definedName>
    <definedName name="ㅁㅇㄻㄴㅇㄻㅇㄹ" localSheetId="0">BlankMacro1</definedName>
    <definedName name="ㅁㅇㄻㄴㅇㄻㅇㄹ">BlankMacro1</definedName>
    <definedName name="ㅁㅇㄻㄴㄻ" hidden="1">{#N/A,#N/A,FALSE,"이태원철근"}</definedName>
    <definedName name="ㅁㅇㄻㅇㄴㄹ" localSheetId="0">BlankMacro1</definedName>
    <definedName name="ㅁㅇㄻㅇㄴㄹ">BlankMacro1</definedName>
    <definedName name="ㅁㅇㄻㅇㄴㄻㅇㄴ" hidden="1">{#N/A,#N/A,FALSE,"이정표"}</definedName>
    <definedName name="ㅁㅇㄻㅇㄹ" hidden="1">#REF!</definedName>
    <definedName name="ㅁㅇㄻㅇㅎ" hidden="1">{#N/A,#N/A,FALSE,"조골재"}</definedName>
    <definedName name="ㅁㅈㄴㅇ" hidden="1">{#N/A,#N/A,FALSE,"전력간선"}</definedName>
    <definedName name="ㅁㅈㄴㅇ_1" hidden="1">{#N/A,#N/A,FALSE,"전력간선"}</definedName>
    <definedName name="ㅁㅈㄷ" hidden="1">{#N/A,#N/A,FALSE,"배수1"}</definedName>
    <definedName name="ㅁㅈㄷ321" hidden="1">{#N/A,#N/A,FALSE,"기안지";#N/A,#N/A,FALSE,"통신지"}</definedName>
    <definedName name="ㅁㅈㄷㅅㅂㄱ흎ㅊ퓨" hidden="1">#REF!</definedName>
    <definedName name="ㅁㅈㄷㅎ">#REF!</definedName>
    <definedName name="ㅁㅊ">{"'Sheet1'!$A$4","'Sheet1'!$A$9:$G$28"}</definedName>
    <definedName name="ㅁㅊㅇㅍㅁㄴㅇㄻㄴㅇㄹ" hidden="1">#REF!</definedName>
    <definedName name="ㅁㅊㅊ">{"'Sheet1'!$A$4","'Sheet1'!$A$9:$G$28"}</definedName>
    <definedName name="ㅁㅊㅊ123">{"'Sheet1'!$A$4","'Sheet1'!$A$9:$G$28"}</definedName>
    <definedName name="ㅁㅍㅊ" hidden="1">{#N/A,#N/A,FALSE,"속도"}</definedName>
    <definedName name="ㅁㅎ" hidden="1">{#N/A,#N/A,FALSE,"부대2"}</definedName>
    <definedName name="ㅁㅎㄱㄷㄹ" localSheetId="0">BlankMacro1</definedName>
    <definedName name="ㅁㅎㄱㄷㄹ">BlankMacro1</definedName>
    <definedName name="ㅁㅎㄴㅇ혼ㅇ" hidden="1">#REF!</definedName>
    <definedName name="ㅁㅎㅁㄷㄱ">#N/A</definedName>
    <definedName name="ㅁㅎㅁㅁㄶ">#N/A</definedName>
    <definedName name="ㅁㅎㅇㅀㅁㅇ" hidden="1">{#N/A,#N/A,FALSE,"2~8번"}</definedName>
    <definedName name="ㅁㅎㅇㅀㅁㅎ" hidden="1">{#N/A,#N/A,FALSE,"단가표지"}</definedName>
    <definedName name="ㅁㅎㅎ" hidden="1">#REF!</definedName>
    <definedName name="ㅁㅎㄻㅇㄻ" hidden="1">{#N/A,#N/A,FALSE,"운반시간"}</definedName>
    <definedName name="ㅁ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ㅀㅎ" hidden="1">{#N/A,#N/A,FALSE,"골재소요량";#N/A,#N/A,FALSE,"골재소요량"}</definedName>
    <definedName name="마">[0]!_6__0_0_F</definedName>
    <definedName name="마가목">#REF!</definedName>
    <definedName name="마가목3노무">#REF!</definedName>
    <definedName name="마가목3재료">#REF!</definedName>
    <definedName name="마가목5노무">#REF!</definedName>
    <definedName name="마가목5재료">#REF!</definedName>
    <definedName name="마가목R3">#REF!</definedName>
    <definedName name="마가목R5">#REF!</definedName>
    <definedName name="마가목R7">#REF!</definedName>
    <definedName name="마감" hidden="1">{#N/A,#N/A,FALSE,"견적조건";#N/A,#N/A,FALSE,"산출근거"}</definedName>
    <definedName name="마감공사비A3" hidden="1">#REF!</definedName>
    <definedName name="마감선">#REF!</definedName>
    <definedName name="마감수준24">#REF!</definedName>
    <definedName name="마감수준32">#REF!</definedName>
    <definedName name="마감수준43">#REF!</definedName>
    <definedName name="마감수준48">#REF!</definedName>
    <definedName name="마감수준62">#REF!</definedName>
    <definedName name="마감수준80">#REF!</definedName>
    <definedName name="마감일란" hidden="1">#REF!</definedName>
    <definedName name="마감재리스트" hidden="1">#REF!</definedName>
    <definedName name="마감재리스트40" hidden="1">#REF!</definedName>
    <definedName name="마감포">#N/A</definedName>
    <definedName name="마구리">{"Book1","토공.xls"}</definedName>
    <definedName name="마님" hidden="1">{#N/A,#N/A,FALSE,"운반시간"}</definedName>
    <definedName name="마대">#REF!</definedName>
    <definedName name="마라니임" hidden="1">{#N/A,#N/A,FALSE,"혼합골재"}</definedName>
    <definedName name="마루" hidden="1">{#N/A,#N/A,FALSE,"현장 NCR 분석";#N/A,#N/A,FALSE,"현장품질감사";#N/A,#N/A,FALSE,"현장품질감사"}</definedName>
    <definedName name="마루판" hidden="1">{#N/A,#N/A,FALSE,"현장 NCR 분석";#N/A,#N/A,FALSE,"현장품질감사";#N/A,#N/A,FALSE,"현장품질감사"}</definedName>
    <definedName name="마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마부_우마차포함">#N/A</definedName>
    <definedName name="마블세면대_설치">#REF!</definedName>
    <definedName name="마블세면대노">#REF!</definedName>
    <definedName name="마사이">#REF!</definedName>
    <definedName name="마사토">#REF!</definedName>
    <definedName name="마스콘수량">#REF!</definedName>
    <definedName name="마원1교">#REF!</definedName>
    <definedName name="마원1상">#REF!</definedName>
    <definedName name="마원1수">#REF!</definedName>
    <definedName name="마을" hidden="1">{#N/A,#N/A,FALSE,"혼합골재"}</definedName>
    <definedName name="마음">#REF!,#REF!</definedName>
    <definedName name="마일" hidden="1">{#N/A,#N/A,FALSE,"생산성";#N/A,#N/A,FALSE,"인력1";#N/A,#N/A,FALSE,"인력2";#N/A,#N/A,FALSE,"인력3";#N/A,#N/A,FALSE,"인건1";#N/A,#N/A,FALSE,"인건2";#N/A,#N/A,FALSE,"인건3";#N/A,#N/A,FALSE,"인원증감";#N/A,#N/A,FALSE,"인건증감";#N/A,#N/A,FALSE,"표지등"}</definedName>
    <definedName name="마지막">#REF!</definedName>
    <definedName name="마직막" hidden="1">#REF!</definedName>
    <definedName name="마진">#REF!</definedName>
    <definedName name="마찰각">#REF!</definedName>
    <definedName name="마카담로라">250000</definedName>
    <definedName name="마케담경">#REF!</definedName>
    <definedName name="마케담노무">#REF!</definedName>
    <definedName name="마케담재료">#REF!</definedName>
    <definedName name="마포" hidden="1">{#N/A,#N/A,FALSE,"이태원철근"}</definedName>
    <definedName name="마하11_40">#REF!</definedName>
    <definedName name="마하12_25">#REF!</definedName>
    <definedName name="마하12_40">#REF!</definedName>
    <definedName name="마하13_25">#REF!</definedName>
    <definedName name="마하21_40">#REF!</definedName>
    <definedName name="마하22_25">#REF!</definedName>
    <definedName name="마하22_40">#REF!</definedName>
    <definedName name="마하23_25">#REF!</definedName>
    <definedName name="마하31_40">#REF!</definedName>
    <definedName name="마하32_25">#REF!</definedName>
    <definedName name="마하32_40">#REF!</definedName>
    <definedName name="마하33_25">#REF!</definedName>
    <definedName name="마ㅏ미ㅏ머ㅣㅏㄹ" localSheetId="0">BlankMacro1</definedName>
    <definedName name="마ㅏ미ㅏ머ㅣㅏㄹ">BlankMacro1</definedName>
    <definedName name="마ㅓㅑㄷ" hidden="1">{#N/A,#N/A,FALSE,"표지목차"}</definedName>
    <definedName name="만" hidden="1">{#N/A,#N/A,FALSE,"2~8번"}</definedName>
    <definedName name="만111" hidden="1">{#N/A,#N/A,FALSE,"2~8번"}</definedName>
    <definedName name="만두" hidden="1">{#N/A,#N/A,FALSE,"혼합골재"}</definedName>
    <definedName name="만득2" hidden="1">{#N/A,#N/A,FALSE,"단가표지"}</definedName>
    <definedName name="만득이" hidden="1">{#N/A,#N/A,FALSE,"2~8번"}</definedName>
    <definedName name="만수" hidden="1">{#N/A,#N/A,FALSE,"현장 NCR 분석";#N/A,#N/A,FALSE,"현장품질감사";#N/A,#N/A,FALSE,"현장품질감사"}</definedName>
    <definedName name="만순이" hidden="1">{#N/A,#N/A,FALSE,"2~8번"}</definedName>
    <definedName name="만스배">#REF!</definedName>
    <definedName name="많깃" hidden="1">{#N/A,#N/A,FALSE,"단가표지"}</definedName>
    <definedName name="말" localSheetId="0">BlankMacro1</definedName>
    <definedName name="말">BlankMacro1</definedName>
    <definedName name="말뚝길이">#REF!</definedName>
    <definedName name="말뚝두께">#REF!</definedName>
    <definedName name="말뚝박기노">#REF!</definedName>
    <definedName name="말뚝박기재">#REF!</definedName>
    <definedName name="말뚝속채움">#REF!</definedName>
    <definedName name="말뚝시험비">#REF!</definedName>
    <definedName name="말뚝이음">#REF!</definedName>
    <definedName name="말뚝직경">#REF!</definedName>
    <definedName name="말발도리1003">#REF!</definedName>
    <definedName name="말발도리1204">#REF!</definedName>
    <definedName name="말발도리1506">#REF!</definedName>
    <definedName name="말발도리3노무">#REF!</definedName>
    <definedName name="말발도리3재료">#REF!</definedName>
    <definedName name="말발도리4노무">#REF!</definedName>
    <definedName name="말발도리4재료">#REF!</definedName>
    <definedName name="말발도리6노무">#REF!</definedName>
    <definedName name="말발도리6재료">#REF!</definedName>
    <definedName name="맑은물임대테이블">#REF!</definedName>
    <definedName name="망">#REF!</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#REF!</definedName>
    <definedName name="매끈한마감">#REF!</definedName>
    <definedName name="매리">#N/A</definedName>
    <definedName name="매매일">#REF!</definedName>
    <definedName name="매매주식수">#REF!</definedName>
    <definedName name="매입">#REF!</definedName>
    <definedName name="매입개방">#REF!</definedName>
    <definedName name="매입세액" hidden="1">{#N/A,#N/A,FALSE,"예상손익";#N/A,#N/A,FALSE,"관리분석";#N/A,#N/A,FALSE,"장비분석";#N/A,#N/A,FALSE,"준설분석";#N/A,#N/A,FALSE,"철구분석"}</definedName>
    <definedName name="매자0804">#REF!</definedName>
    <definedName name="매자1005">#REF!</definedName>
    <definedName name="매자4노무">#REF!</definedName>
    <definedName name="매자4재료">#REF!</definedName>
    <definedName name="매축1" hidden="1">{#N/A,#N/A,FALSE,"보고";#N/A,#N/A,FALSE,"유첨"}</definedName>
    <definedName name="매출" hidden="1">{#N/A,#N/A,FALSE,"지침";#N/A,#N/A,FALSE,"환경분석";#N/A,#N/A,FALSE,"Sheet16"}</definedName>
    <definedName name="매출3" hidden="1">{#N/A,#N/A,FALSE,"지침";#N/A,#N/A,FALSE,"환경분석";#N/A,#N/A,FALSE,"Sheet16"}</definedName>
    <definedName name="매출단가율">#REF!</definedName>
    <definedName name="매출순이익">#REF!</definedName>
    <definedName name="매출액" hidden="1">#REF!</definedName>
    <definedName name="매출우너가율산정식" hidden="1">{#N/A,#N/A,FALSE,"지침";#N/A,#N/A,FALSE,"환경분석";#N/A,#N/A,FALSE,"Sheet16"}</definedName>
    <definedName name="매출원가율" hidden="1">{#N/A,#N/A,FALSE,"지침";#N/A,#N/A,FALSE,"환경분석";#N/A,#N/A,FALSE,"Sheet16"}</definedName>
    <definedName name="매출조정">#REF!</definedName>
    <definedName name="매크로1">#REF!</definedName>
    <definedName name="매크로10">#N/A</definedName>
    <definedName name="매크로11">#REF!</definedName>
    <definedName name="매크로12">#N/A</definedName>
    <definedName name="매크로13">#N/A</definedName>
    <definedName name="매크로14">#N/A</definedName>
    <definedName name="매크로15">#N/A</definedName>
    <definedName name="매크로16">#N/A</definedName>
    <definedName name="매크로17">#N/A</definedName>
    <definedName name="매크로19">#N/A</definedName>
    <definedName name="매크로2">#REF!</definedName>
    <definedName name="매크로3">#REF!</definedName>
    <definedName name="매크로4">#REF!</definedName>
    <definedName name="매크로9">#N/A</definedName>
    <definedName name="매화4노무">#REF!</definedName>
    <definedName name="매화4재료">#REF!</definedName>
    <definedName name="매화6노무">#REF!</definedName>
    <definedName name="매화6재료">#REF!</definedName>
    <definedName name="매화8노무">#REF!</definedName>
    <definedName name="매화8재료">#REF!</definedName>
    <definedName name="매화R10">#REF!</definedName>
    <definedName name="매화R4">#REF!</definedName>
    <definedName name="매화R6">#REF!</definedName>
    <definedName name="매화R8">#REF!</definedName>
    <definedName name="맥3노무">#REF!</definedName>
    <definedName name="맥3재료">#REF!</definedName>
    <definedName name="맥문동">#REF!</definedName>
    <definedName name="맥문동1">#REF!</definedName>
    <definedName name="맥주주하이" hidden="1">{#N/A,#N/A,FALSE,"생산성";#N/A,#N/A,FALSE,"인력1";#N/A,#N/A,FALSE,"인력2";#N/A,#N/A,FALSE,"인력3";#N/A,#N/A,FALSE,"인건1";#N/A,#N/A,FALSE,"인건2";#N/A,#N/A,FALSE,"인건3";#N/A,#N/A,FALSE,"인원증감";#N/A,#N/A,FALSE,"인건증감";#N/A,#N/A,FALSE,"표지등"}</definedName>
    <definedName name="맨" hidden="1">{#N/A,#N/A,FALSE,"혼합골재"}</definedName>
    <definedName name="맨홀">#REF!</definedName>
    <definedName name="맨홀규격">#REF!</definedName>
    <definedName name="맨홀뚜껑">#REF!</definedName>
    <definedName name="맨홀모래">#REF!</definedName>
    <definedName name="맨홀보도복구">#REF!</definedName>
    <definedName name="맨홀보도잔재처리">#REF!</definedName>
    <definedName name="맨홀보조기층">#REF!</definedName>
    <definedName name="맨홀위치조서" localSheetId="0">BlankMacro1</definedName>
    <definedName name="맨홀위치조서">BlankMacro1</definedName>
    <definedName name="맨홀집계표" hidden="1">{#N/A,#N/A,FALSE,"포장단가"}</definedName>
    <definedName name="맨홀터파기">#REF!</definedName>
    <definedName name="맨홀토공단위수량">#REF!</definedName>
    <definedName name="맨홀토사">#REF!</definedName>
    <definedName name="맨홀평균높이산출">#REF!</definedName>
    <definedName name="맨홀호수">#REF!</definedName>
    <definedName name="맨홀ASP복구">#REF!</definedName>
    <definedName name="맨홀ASP잔재처리">#REF!</definedName>
    <definedName name="맨홀ASP컷트">#REF!</definedName>
    <definedName name="맨홀CON복구">#REF!</definedName>
    <definedName name="맨홀CON잔재처리">#REF!</definedName>
    <definedName name="맨홀CON컷트">#REF!</definedName>
    <definedName name="맨홀DATA">#REF!</definedName>
    <definedName name="맹암거" hidden="1">{#N/A,#N/A,FALSE,"현장 NCR 분석";#N/A,#N/A,FALSE,"현장품질감사";#N/A,#N/A,FALSE,"현장품질감사"}</definedName>
    <definedName name="맹암거요" hidden="1">{#N/A,#N/A,FALSE,"포장단가"}</definedName>
    <definedName name="맹암거집계" localSheetId="0">BlankMacro1</definedName>
    <definedName name="맹암거집계">BlankMacro1</definedName>
    <definedName name="머" hidden="1">{#N/A,#N/A,FALSE,"명세표"}</definedName>
    <definedName name="머154">#REF!</definedName>
    <definedName name="머16">#REF!</definedName>
    <definedName name="머냐.." hidden="1">{#N/A,#N/A,FALSE,"운반시간"}</definedName>
    <definedName name="머로ㅕㄴㄹ" hidden="1">{#N/A,#N/A,FALSE,"단가표지"}</definedName>
    <definedName name="머릿말">#REF!</definedName>
    <definedName name="머신">#REF!</definedName>
    <definedName name="먹매김경">#REF!</definedName>
    <definedName name="먹매김노">#REF!</definedName>
    <definedName name="먹매김재료">#REF!</definedName>
    <definedName name="먼동" hidden="1">{#N/A,#N/A,FALSE,"현장 NCR 분석";#N/A,#N/A,FALSE,"현장품질감사";#N/A,#N/A,FALSE,"현장품질감사"}</definedName>
    <definedName name="먼득이" hidden="1">{#N/A,#N/A,FALSE,"골재소요량";#N/A,#N/A,FALSE,"골재소요량"}</definedName>
    <definedName name="메1">#REF!</definedName>
    <definedName name="메롱" hidden="1">#REF!</definedName>
    <definedName name="메타">#REF!</definedName>
    <definedName name="메타10노무">#REF!</definedName>
    <definedName name="메타10재료">#REF!</definedName>
    <definedName name="메타5노무">#REF!</definedName>
    <definedName name="메타5재료">#REF!</definedName>
    <definedName name="메타6노무">#REF!</definedName>
    <definedName name="메타6재료">#REF!</definedName>
    <definedName name="메타8노무">#REF!</definedName>
    <definedName name="메타8재료">#REF!</definedName>
    <definedName name="메탈라스">#REF!</definedName>
    <definedName name="메탈라스깔기">#REF!</definedName>
    <definedName name="메타B10">#REF!</definedName>
    <definedName name="메타B12">#REF!</definedName>
    <definedName name="메타B15">#REF!</definedName>
    <definedName name="메타B18">#REF!</definedName>
    <definedName name="메타B4">#REF!</definedName>
    <definedName name="메타B5">#REF!</definedName>
    <definedName name="메타B6">#REF!</definedName>
    <definedName name="메타B8">#REF!</definedName>
    <definedName name="멘트">#REF!</definedName>
    <definedName name="멘트2">#REF!</definedName>
    <definedName name="며"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면고르기">#REF!</definedName>
    <definedName name="면벽높이">#REF!</definedName>
    <definedName name="면벽두께">#REF!</definedName>
    <definedName name="면ㅇ간" hidden="1">{#N/A,#N/A,FALSE,"기안지";#N/A,#N/A,FALSE,"통신지"}</definedName>
    <definedName name="면적">#REF!</definedName>
    <definedName name="면적산출">#REF!</definedName>
    <definedName name="면적총괄">#REF!</definedName>
    <definedName name="명_칭">#REF!</definedName>
    <definedName name="명단" hidden="1">{#N/A,"수불부",FALSE,"사급자재수불서";#N/A,"수불부",FALSE,"사급자재수불서"}</definedName>
    <definedName name="명동공통가설" hidden="1">{#N/A,#N/A,FALSE,"현장 NCR 분석";#N/A,#N/A,FALSE,"현장품질감사";#N/A,#N/A,FALSE,"현장품질감사"}</definedName>
    <definedName name="명동공통가설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명부범위">#N/A</definedName>
    <definedName name="명성">#REF!</definedName>
    <definedName name="명성조경">#REF!</definedName>
    <definedName name="명세">#REF!</definedName>
    <definedName name="명세서" hidden="1">#REF!</definedName>
    <definedName name="명신" hidden="1">{#N/A,#N/A,FALSE,"전력간선"}</definedName>
    <definedName name="명암">#N/A</definedName>
    <definedName name="명암2">#N/A</definedName>
    <definedName name="명일" hidden="1">{#N/A,#N/A,FALSE,"속도"}</definedName>
    <definedName name="명자0604">#REF!</definedName>
    <definedName name="명자0805">#REF!</definedName>
    <definedName name="명자1006">#REF!</definedName>
    <definedName name="명자1208">#REF!</definedName>
    <definedName name="명자4노무">#REF!</definedName>
    <definedName name="명자4재료">#REF!</definedName>
    <definedName name="명자5노무">#REF!</definedName>
    <definedName name="명자5재료">#REF!</definedName>
    <definedName name="명자6노무">#REF!</definedName>
    <definedName name="명자6재료">#REF!</definedName>
    <definedName name="명진대비내역서">#REF!</definedName>
    <definedName name="명칭">#REF!</definedName>
    <definedName name="ㅁㅗ">#REF!</definedName>
    <definedName name="모21">#REF!</definedName>
    <definedName name="모감주">#REF!</definedName>
    <definedName name="모감주나무H3.0xR10">#REF!</definedName>
    <definedName name="모감주R10">#REF!</definedName>
    <definedName name="모감주R4">#REF!</definedName>
    <definedName name="모감주R6">#REF!</definedName>
    <definedName name="모감주R8">#REF!</definedName>
    <definedName name="모과10">#REF!</definedName>
    <definedName name="모과15">#REF!</definedName>
    <definedName name="모과2005">#REF!</definedName>
    <definedName name="모과2507">#REF!</definedName>
    <definedName name="모과나무">#REF!</definedName>
    <definedName name="모과나무H2.5">#REF!</definedName>
    <definedName name="모과나무H3.5">#REF!</definedName>
    <definedName name="모과R10">#REF!</definedName>
    <definedName name="모과R12">#REF!</definedName>
    <definedName name="모과R15">#REF!</definedName>
    <definedName name="모과R20">#REF!</definedName>
    <definedName name="모과R25">#REF!</definedName>
    <definedName name="모과R5">#REF!</definedName>
    <definedName name="모과R8">#REF!</definedName>
    <definedName name="모냐" hidden="1">#REF!</definedName>
    <definedName name="모데ㅎ하우스건립비">#N/A</definedName>
    <definedName name="모델" hidden="1">{#N/A,#N/A,FALSE,"Sheet1"}</definedName>
    <definedName name="모델링높이">#REF!</definedName>
    <definedName name="모델폭">#REF!</definedName>
    <definedName name="모델하우스" hidden="1">{#N/A,#N/A,FALSE,"Sheet1"}</definedName>
    <definedName name="모델하우스건립비">#N/A</definedName>
    <definedName name="모듈출하">#REF!</definedName>
    <definedName name="모란5가지">#REF!</definedName>
    <definedName name="모란6가지">#REF!</definedName>
    <definedName name="모랑">#REF!</definedName>
    <definedName name="모래">#REF!</definedName>
    <definedName name="모래__분사공">#N/A</definedName>
    <definedName name="모래1">#REF!</definedName>
    <definedName name="모래2">#REF!</definedName>
    <definedName name="모래3">#REF!</definedName>
    <definedName name="모래관상단">#REF!</definedName>
    <definedName name="모래관주변">#REF!</definedName>
    <definedName name="모래깔기경">#REF!</definedName>
    <definedName name="모래깔기노">#REF!</definedName>
    <definedName name="모래깔기재">#REF!</definedName>
    <definedName name="모래노">#REF!</definedName>
    <definedName name="모래막이노">#REF!</definedName>
    <definedName name="모래막이재">#REF!</definedName>
    <definedName name="모래보도용">#REF!</definedName>
    <definedName name="모래사장노">#REF!</definedName>
    <definedName name="모래사장재">#REF!</definedName>
    <definedName name="모래운반">#REF!</definedName>
    <definedName name="모래운반경비">#REF!</definedName>
    <definedName name="모래운반계">#REF!</definedName>
    <definedName name="모래운반노무비">#REF!</definedName>
    <definedName name="모래운반재료비">#REF!</definedName>
    <definedName name="모래운반톤경비">#REF!</definedName>
    <definedName name="모래운반톤계">#REF!</definedName>
    <definedName name="모래운반톤노무비">#REF!</definedName>
    <definedName name="모래운반톤재료비">#REF!</definedName>
    <definedName name="모래재">#REF!</definedName>
    <definedName name="모래층산출근거"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모래필터층경비">#REF!</definedName>
    <definedName name="모래필터층노무비">#REF!</definedName>
    <definedName name="모래필터층재료비">#REF!</definedName>
    <definedName name="모르타르내벽노">#REF!</definedName>
    <definedName name="모르타르바닥노">#REF!</definedName>
    <definedName name="모르타르바르기내벽">#REF!</definedName>
    <definedName name="모르타르바르기바닥">#REF!</definedName>
    <definedName name="모르타르바르기외벽">#REF!</definedName>
    <definedName name="모르타르외벽노">#REF!</definedName>
    <definedName name="모메존알로에180소병" hidden="1">{#N/A,#N/A,FALSE,"생산성";#N/A,#N/A,FALSE,"인력1";#N/A,#N/A,FALSE,"인력2";#N/A,#N/A,FALSE,"인력3";#N/A,#N/A,FALSE,"인건1";#N/A,#N/A,FALSE,"인건2";#N/A,#N/A,FALSE,"인건3";#N/A,#N/A,FALSE,"인원증감";#N/A,#N/A,FALSE,"인건증감";#N/A,#N/A,FALSE,"표지등"}</definedName>
    <definedName name="모메존알로에2L" hidden="1">{#N/A,#N/A,FALSE,"생산성";#N/A,#N/A,FALSE,"인력1";#N/A,#N/A,FALSE,"인력2";#N/A,#N/A,FALSE,"인력3";#N/A,#N/A,FALSE,"인건1";#N/A,#N/A,FALSE,"인건2";#N/A,#N/A,FALSE,"인건3";#N/A,#N/A,FALSE,"인원증감";#N/A,#N/A,FALSE,"인건증감";#N/A,#N/A,FALSE,"표지등"}</definedName>
    <definedName name="모산가도교">#REF!</definedName>
    <definedName name="모야">{"Book1","많다.xls"}</definedName>
    <definedName name="모터경">#REF!</definedName>
    <definedName name="모터노무비">#REF!</definedName>
    <definedName name="모터재료">#REF!</definedName>
    <definedName name="모형">{"'용역비'!$A$4:$C$8"}</definedName>
    <definedName name="모형원가">#REF!</definedName>
    <definedName name="모ㅗㅗ" hidden="1">#REF!</definedName>
    <definedName name="목">#REF!</definedName>
    <definedName name="목________도">#REF!</definedName>
    <definedName name="목__조_각_공">#REF!</definedName>
    <definedName name="목견적" localSheetId="0">BlankMacro1</definedName>
    <definedName name="목견적">BlankMacro1</definedName>
    <definedName name="목공">#REF!</definedName>
    <definedName name="목공가공장"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목공경비">#REF!</definedName>
    <definedName name="목공노무">#REF!</definedName>
    <definedName name="목공사">#REF!</definedName>
    <definedName name="목공사소계">#REF!</definedName>
    <definedName name="목공재료">#REF!</definedName>
    <definedName name="목도">#REF!</definedName>
    <definedName name="목도001">#REF!</definedName>
    <definedName name="목도002">#REF!</definedName>
    <definedName name="목도011">#REF!</definedName>
    <definedName name="목도982">#REF!</definedName>
    <definedName name="목도991">#REF!</definedName>
    <definedName name="목도992">#REF!</definedName>
    <definedName name="목도공">#REF!</definedName>
    <definedName name="목련R10">#REF!</definedName>
    <definedName name="목련R12">#REF!</definedName>
    <definedName name="목련R15">#REF!</definedName>
    <definedName name="목련R20">#REF!</definedName>
    <definedName name="목련R4">#REF!</definedName>
    <definedName name="목련R5">#REF!</definedName>
    <definedName name="목련R6">#REF!</definedName>
    <definedName name="목련R8">#REF!</definedName>
    <definedName name="목록">#REF!</definedName>
    <definedName name="목록1">#REF!</definedName>
    <definedName name="목록2">#REF!</definedName>
    <definedName name="목록표">#REF!</definedName>
    <definedName name="목백합">#REF!</definedName>
    <definedName name="목서1506">#REF!</definedName>
    <definedName name="목서2012">#REF!</definedName>
    <definedName name="목서2515">#REF!</definedName>
    <definedName name="목수국1006">#REF!</definedName>
    <definedName name="목수국1208">#REF!</definedName>
    <definedName name="목수국1510">#REF!</definedName>
    <definedName name="목재가공">#REF!</definedName>
    <definedName name="목재료1">#REF!</definedName>
    <definedName name="목재료2">#REF!</definedName>
    <definedName name="목재보양경">#REF!</definedName>
    <definedName name="목재보양노">#REF!</definedName>
    <definedName name="목재보양재">#REF!</definedName>
    <definedName name="목조각공001">#REF!</definedName>
    <definedName name="목조각공002">#REF!</definedName>
    <definedName name="목조각공011">#REF!</definedName>
    <definedName name="목조각공982">#REF!</definedName>
    <definedName name="목조각공991">#REF!</definedName>
    <definedName name="목조각공992">#REF!</definedName>
    <definedName name="목조천정틀경사노">#REF!</definedName>
    <definedName name="목조천정틀무노">#REF!</definedName>
    <definedName name="목조천정틀설치경사">#REF!</definedName>
    <definedName name="목조천정틀설치무">#REF!</definedName>
    <definedName name="목조천정틀설치유">#REF!</definedName>
    <definedName name="목조천정틀유노">#REF!</definedName>
    <definedName name="목차" localSheetId="0">ErrorHandler_1</definedName>
    <definedName name="목차">ErrorHandler_1</definedName>
    <definedName name="목차_1" hidden="1">{#N/A,#N/A,TRUE,"대외공문"}</definedName>
    <definedName name="목차_2" hidden="1">{#N/A,#N/A,TRUE,"대외공문"}</definedName>
    <definedName name="목차_3" hidden="1">{#N/A,#N/A,TRUE,"대외공문"}</definedName>
    <definedName name="목차2" hidden="1">{#N/A,#N/A,TRUE,"대외공문"}</definedName>
    <definedName name="목차9" hidden="1">{#N/A,#N/A,FALSE,"이태원철근"}</definedName>
    <definedName name="목포">#REF!,#REF!</definedName>
    <definedName name="목포공항">#N/A</definedName>
    <definedName name="목표1" hidden="1">{#N/A,#N/A,FALSE,"현장 NCR 분석";#N/A,#N/A,FALSE,"현장품질감사";#N/A,#N/A,FALSE,"현장품질감사"}</definedName>
    <definedName name="목표실행">#REF!</definedName>
    <definedName name="목표원가율품의서">#REF!</definedName>
    <definedName name="몬" hidden="1">{#N/A,#N/A,FALSE,"표지목차"}</definedName>
    <definedName name="몬_1" hidden="1">{#N/A,#N/A,FALSE,"표지목차"}</definedName>
    <definedName name="몬_2" hidden="1">{#N/A,#N/A,FALSE,"표지목차"}</definedName>
    <definedName name="몬_3" hidden="1">{#N/A,#N/A,FALSE,"표지목차"}</definedName>
    <definedName name="몬난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1" localSheetId="0">BlankMacro1</definedName>
    <definedName name="몰1">BlankMacro1</definedName>
    <definedName name="몰2" localSheetId="0">BlankMacro1</definedName>
    <definedName name="몰2">BlankMacro1</definedName>
    <definedName name="몰3" localSheetId="0">BlankMacro1</definedName>
    <definedName name="몰3">BlankMacro1</definedName>
    <definedName name="몰4" localSheetId="0">BlankMacro1</definedName>
    <definedName name="몰4">BlankMacro1</definedName>
    <definedName name="몰5" localSheetId="0">BlankMacro1</definedName>
    <definedName name="몰5">BlankMacro1</definedName>
    <definedName name="몰6" localSheetId="0">BlankMacro1</definedName>
    <definedName name="몰6">BlankMacro1</definedName>
    <definedName name="몰딩">#REF!</definedName>
    <definedName name="몰라" hidden="1">0</definedName>
    <definedName name="몰라_1" hidden="1">{#N/A,#N/A,FALSE,"단가표지"}</definedName>
    <definedName name="몰라_2" hidden="1">{#N/A,#N/A,FALSE,"단가표지"}</definedName>
    <definedName name="몰라_3" hidden="1">{#N/A,#N/A,FALSE,"단가표지"}</definedName>
    <definedName name="몰라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라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라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라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라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라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리ㅏ" hidden="1">{#N/A,#N/A,TRUE,"Y생산";#N/A,#N/A,TRUE,"Y판매";#N/A,#N/A,TRUE,"Y총물량";#N/A,#N/A,TRUE,"Y능력";#N/A,#N/A,TRUE,"YKD"}</definedName>
    <definedName name="몰탈">#REF!</definedName>
    <definedName name="몰탈1노무">#REF!</definedName>
    <definedName name="몰탈1재료">#REF!</definedName>
    <definedName name="몰탈3노무">#REF!</definedName>
    <definedName name="몰탈3재료">#REF!</definedName>
    <definedName name="몰탈노">#REF!</definedName>
    <definedName name="몰탈재">#REF!</definedName>
    <definedName name="못">#REF!</definedName>
    <definedName name="뫃ㄹ놓ㄴ오" hidden="1">{#N/A,#N/A,FALSE,"이태원철근"}</definedName>
    <definedName name="무">#REF!</definedName>
    <definedName name="무궁화">#REF!</definedName>
    <definedName name="무궁화1003">#REF!</definedName>
    <definedName name="무궁화1203">#REF!</definedName>
    <definedName name="무궁화1504">#REF!</definedName>
    <definedName name="무궁화1805">#REF!</definedName>
    <definedName name="무궁화2006">#REF!</definedName>
    <definedName name="무궁화4노무">#REF!</definedName>
    <definedName name="무궁화4재료">#REF!</definedName>
    <definedName name="무궁화5노무">#REF!</definedName>
    <definedName name="무궁화5재료">#REF!</definedName>
    <definedName name="무궁화6노무">#REF!</definedName>
    <definedName name="무궁화6재료">#REF!</definedName>
    <definedName name="무근">#REF!</definedName>
    <definedName name="무기질노">#REF!</definedName>
    <definedName name="무기질재">#REF!</definedName>
    <definedName name="무깨">#REF!</definedName>
    <definedName name="무농1호">#REF!</definedName>
    <definedName name="무농2호">#REF!</definedName>
    <definedName name="무늬">#REF!</definedName>
    <definedName name="무늬거푸집">#REF!</definedName>
    <definedName name="무늬석산출" localSheetId="0">BlankMacro1</definedName>
    <definedName name="무늬석산출">BlankMacro1</definedName>
    <definedName name="무늬코트">#REF!</definedName>
    <definedName name="무늬코트노">#REF!</definedName>
    <definedName name="무단가내역" hidden="1">{#N/A,#N/A,FALSE,"CCTV"}</definedName>
    <definedName name="무대조명" hidden="1">#REF!</definedName>
    <definedName name="무동력흡출기">#REF!</definedName>
    <definedName name="무선_케이블">#N/A</definedName>
    <definedName name="무선안테나">#REF!</definedName>
    <definedName name="무선안테나공">#REF!</definedName>
    <definedName name="무선안테나공001">#REF!</definedName>
    <definedName name="무선안테나공002">#REF!</definedName>
    <definedName name="무선안테나공011">#REF!</definedName>
    <definedName name="무선안테나공982">#REF!</definedName>
    <definedName name="무선안테나공991">#REF!</definedName>
    <definedName name="무선안테나공992">#REF!</definedName>
    <definedName name="무수축.J">#REF!</definedName>
    <definedName name="무수축콘크리트">#REF!</definedName>
    <definedName name="무안">#REF!</definedName>
    <definedName name="무이주비">#REF!</definedName>
    <definedName name="무학고가수축줄눈">#REF!</definedName>
    <definedName name="무학고가스치로폴">#REF!</definedName>
    <definedName name="무학고가실링재">#REF!</definedName>
    <definedName name="문">#REF!</definedName>
    <definedName name="문대진">#REF!</definedName>
    <definedName name="문서" hidden="1">{#N/A,#N/A,FALSE,"현장 NCR 분석";#N/A,#N/A,FALSE,"현장품질감사";#N/A,#N/A,FALSE,"현장품질감사"}</definedName>
    <definedName name="문서2" hidden="1">{#N/A,#N/A,FALSE,"현장 NCR 분석";#N/A,#N/A,FALSE,"현장품질감사";#N/A,#N/A,FALSE,"현장품질감사"}</definedName>
    <definedName name="문서의_처음">#REF!</definedName>
    <definedName name="문재홍">#REF!</definedName>
    <definedName name="문정하" hidden="1">{#N/A,#N/A,FALSE,"이태원철근"}</definedName>
    <definedName name="문제점">#REF!</definedName>
    <definedName name="문종현" hidden="1">{#N/A,#N/A,FALSE,"골재소요량";#N/A,#N/A,FALSE,"골재소요량"}</definedName>
    <definedName name="문주">#REF!</definedName>
    <definedName name="문주비고">#REF!</definedName>
    <definedName name="문진식">{"'Firr(선)'!$AS$1:$AY$62","'Firr(사)'!$AS$1:$AY$62","'Firr(회)'!$AS$1:$AY$62","'Firr(선)'!$L$1:$V$62","'Firr(사)'!$L$1:$V$62","'Firr(회)'!$L$1:$V$62"}</definedName>
    <definedName name="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문화재">#REF!</definedName>
    <definedName name="물" hidden="1">{#N/A,#N/A,FALSE,"이태원철근"}</definedName>
    <definedName name="물_1" hidden="1">{#N/A,#N/A,FALSE,"이태원철근"}</definedName>
    <definedName name="물_2" hidden="1">{#N/A,#N/A,FALSE,"이태원철근"}</definedName>
    <definedName name="물_3" hidden="1">{#N/A,#N/A,FALSE,"이태원철근"}</definedName>
    <definedName name="물_4" hidden="1">{#N/A,#N/A,FALSE,"이태원철근"}</definedName>
    <definedName name="물_량">#REF!</definedName>
    <definedName name="물가">#REF!</definedName>
    <definedName name="물가_1" hidden="1">{#N/A,#N/A,FALSE,"이태원철근"}</definedName>
    <definedName name="물가_2" hidden="1">{#N/A,#N/A,FALSE,"이태원철근"}</definedName>
    <definedName name="물가_3" hidden="1">{#N/A,#N/A,FALSE,"이태원철근"}</definedName>
    <definedName name="물가_4" hidden="1">{#N/A,#N/A,FALSE,"이태원철근"}</definedName>
    <definedName name="물가01">#REF!</definedName>
    <definedName name="물가2">#REF!</definedName>
    <definedName name="물가3">#REF!</definedName>
    <definedName name="물가대비표" hidden="1">{#N/A,#N/A,FALSE,"CCTV"}</definedName>
    <definedName name="물가변동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자료">#REF!</definedName>
    <definedName name="물가정보">#REF!</definedName>
    <definedName name="물가정보단가">#REF!</definedName>
    <definedName name="물가정보단가적용율">#REF!</definedName>
    <definedName name="물경">#REF!</definedName>
    <definedName name="물끊기홈">#REF!</definedName>
    <definedName name="물끊기홈노">#REF!</definedName>
    <definedName name="물노무">#REF!</definedName>
    <definedName name="물랴자" hidden="1">{#N/A,#N/A,TRUE,"Y생산";#N/A,#N/A,TRUE,"Y판매";#N/A,#N/A,TRUE,"Y총물량";#N/A,#N/A,TRUE,"Y능력";#N/A,#N/A,TRUE,"YKD"}</definedName>
    <definedName name="물량2">#N/A</definedName>
    <definedName name="물량산출근거" hidden="1">{"'PROFORMA'!$A$1:$H$120"}</definedName>
    <definedName name="물량산출근거조서"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물량산출랍" hidden="1">{#N/A,#N/A,FALSE,"Sheet1"}</definedName>
    <definedName name="물량산출안" hidden="1">{"'PROFORMA'!$A$1:$H$120"}</definedName>
    <definedName name="물량산출양식"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물량산출조서">#N/A</definedName>
    <definedName name="물량수"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연습">#N/A</definedName>
    <definedName name="물량정" hidden="1">{#N/A,#N/A,TRUE,"Y생산";#N/A,#N/A,TRUE,"Y판매";#N/A,#N/A,TRUE,"Y총물량";#N/A,#N/A,TRUE,"Y능력";#N/A,#N/A,TRUE,"YKD"}</definedName>
    <definedName name="물량조정" hidden="1">{#N/A,#N/A,TRUE,"Y생산";#N/A,#N/A,TRUE,"Y판매";#N/A,#N/A,TRUE,"Y총물량";#N/A,#N/A,TRUE,"Y능력";#N/A,#N/A,TRUE,"YKD"}</definedName>
    <definedName name="물량집계">{"Book1","예술의전당.xls"}</definedName>
    <definedName name="물량집계1">#REF!</definedName>
    <definedName name="물량집계표" hidden="1">{#N/A,#N/A,FALSE,"제목"}</definedName>
    <definedName name="물수" hidden="1">{#N/A,#N/A,TRUE,"Y생산";#N/A,#N/A,TRUE,"Y판매";#N/A,#N/A,TRUE,"Y총물량";#N/A,#N/A,TRUE,"Y능력";#N/A,#N/A,TRUE,"YKD"}</definedName>
    <definedName name="물싸리노">#REF!</definedName>
    <definedName name="물싸리재">#REF!</definedName>
    <definedName name="물억새노">#REF!</definedName>
    <definedName name="물억새재">#REF!</definedName>
    <definedName name="물재료">#REF!</definedName>
    <definedName name="물탱크">#REF!</definedName>
    <definedName name="물푸">#REF!</definedName>
    <definedName name="물푸기">#REF!</definedName>
    <definedName name="물푸레R5">#REF!</definedName>
    <definedName name="물푸레R6">#REF!</definedName>
    <definedName name="물푸레R8">#REF!</definedName>
    <definedName name="뭄ㅇ">#REF!</definedName>
    <definedName name="뭐" hidden="1">{#N/A,#N/A,FALSE,"이태원철근"}</definedName>
    <definedName name="뭐가이태원이야" hidden="1">{#N/A,#N/A,FALSE,"이태원철근"}</definedName>
    <definedName name="뭐가이태원이야_1" hidden="1">{#N/A,#N/A,FALSE,"이태원철근"}</definedName>
    <definedName name="뭐가이태원이야_2" hidden="1">{#N/A,#N/A,FALSE,"이태원철근"}</definedName>
    <definedName name="뭐가이태원이야_3" hidden="1">{#N/A,#N/A,FALSE,"이태원철근"}</definedName>
    <definedName name="뭐가이태원이야_4" hidden="1">{#N/A,#N/A,FALSE,"이태원철근"}</definedName>
    <definedName name="뭐냐">#N/A</definedName>
    <definedName name="뭐야" hidden="1">{#N/A,#N/A,FALSE,"손익표지";#N/A,#N/A,FALSE,"손익계산";#N/A,#N/A,FALSE,"일반관리비";#N/A,#N/A,FALSE,"영업외수익";#N/A,#N/A,FALSE,"영업외비용";#N/A,#N/A,FALSE,"매출액";#N/A,#N/A,FALSE,"요약손익";#N/A,#N/A,FALSE,"요약대차";#N/A,#N/A,FALSE,"매출채권현황";#N/A,#N/A,FALSE,"매출채권명세"}</definedName>
    <definedName name="뭐야이거"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뭐어야.." hidden="1">{#N/A,#N/A,FALSE,"지침";#N/A,#N/A,FALSE,"환경분석";#N/A,#N/A,FALSE,"Sheet16"}</definedName>
    <definedName name="뭐지" hidden="1">{#N/A,#N/A,FALSE,"CCTV"}</definedName>
    <definedName name="뭔데" localSheetId="0">Dlog_Show</definedName>
    <definedName name="뭔데">Dlog_Show</definedName>
    <definedName name="뭔지모르겠다">#REF!</definedName>
    <definedName name="뮤">#REF!</definedName>
    <definedName name="뮤2">#REF!</definedName>
    <definedName name="뮤라" hidden="1">{#N/A,#N/A,FALSE,"조골재"}</definedName>
    <definedName name="뮤직" hidden="1">{#N/A,#N/A,FALSE,"이태원철근"}</definedName>
    <definedName name="미">#REF!</definedName>
    <definedName name="미___장___공">#REF!</definedName>
    <definedName name="미_장_공">#REF!</definedName>
    <definedName name="미곡"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미기표" hidden="1">{#N/A,#N/A,FALSE,"지침";#N/A,#N/A,FALSE,"환경분석";#N/A,#N/A,FALSE,"Sheet16"}</definedName>
    <definedName name="미꾸라지" hidden="1">{#N/A,#N/A,FALSE,"혼합골재"}</definedName>
    <definedName name="미끄럼방지1">#REF!</definedName>
    <definedName name="미끄럼방지수량">#REF!</definedName>
    <definedName name="미끄럼수량">#REF!</definedName>
    <definedName name="미나">#REF!</definedName>
    <definedName name="미나리" hidden="1">{#N/A,#N/A,FALSE,"혼합골재"}</definedName>
    <definedName name="미동의" hidden="1">{#N/A,#N/A,FALSE,"이태원철근"}</definedName>
    <definedName name="미동의이주" hidden="1">#N/A</definedName>
    <definedName name="미러ㅑㄷ" hidden="1">{#N/A,#N/A,FALSE,"운반시간"}</definedName>
    <definedName name="미로" hidden="1">{#N/A,#N/A,FALSE,"현장 NCR 분석";#N/A,#N/A,FALSE,"현장품질감사";#N/A,#N/A,FALSE,"현장품질감사"}</definedName>
    <definedName name="미르"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미리보기">#REF!</definedName>
    <definedName name="미미" hidden="1">{#N/A,#N/A,FALSE,"현장 NCR 분석";#N/A,#N/A,FALSE,"현장품질감사";#N/A,#N/A,FALSE,"현장품질감사"}</definedName>
    <definedName name="미미미장">#REF!</definedName>
    <definedName name="미선0804">#REF!</definedName>
    <definedName name="미선1206">#REF!</definedName>
    <definedName name="미송">#REF!</definedName>
    <definedName name="미송원목">#REF!</definedName>
    <definedName name="미송판재">#REF!</definedName>
    <definedName name="미수4" hidden="1">{#N/A,#N/A,FALSE,"생산성";#N/A,#N/A,FALSE,"인력1";#N/A,#N/A,FALSE,"인력2";#N/A,#N/A,FALSE,"인력3";#N/A,#N/A,FALSE,"인건1";#N/A,#N/A,FALSE,"인건2";#N/A,#N/A,FALSE,"인건3";#N/A,#N/A,FALSE,"인원증감";#N/A,#N/A,FALSE,"인건증감";#N/A,#N/A,FALSE,"표지등"}</definedName>
    <definedName name="미수5" hidden="1">{#N/A,#N/A,FALSE,"생산성";#N/A,#N/A,FALSE,"인력1";#N/A,#N/A,FALSE,"인력2";#N/A,#N/A,FALSE,"인력3";#N/A,#N/A,FALSE,"인건1";#N/A,#N/A,FALSE,"인건2";#N/A,#N/A,FALSE,"인건3";#N/A,#N/A,FALSE,"인원증감";#N/A,#N/A,FALSE,"인건증감";#N/A,#N/A,FALSE,"표지등"}</definedName>
    <definedName name="미수7" hidden="1">{#N/A,#N/A,FALSE,"생산성";#N/A,#N/A,FALSE,"인력1";#N/A,#N/A,FALSE,"인력2";#N/A,#N/A,FALSE,"인력3";#N/A,#N/A,FALSE,"인건1";#N/A,#N/A,FALSE,"인건2";#N/A,#N/A,FALSE,"인건3";#N/A,#N/A,FALSE,"인원증감";#N/A,#N/A,FALSE,"인건증감";#N/A,#N/A,FALSE,"표지등"}</definedName>
    <definedName name="미오">#REF!</definedName>
    <definedName name="미워">#REF!</definedName>
    <definedName name="미이주" hidden="1">{#N/A,#N/A,FALSE,"이태원철근"}</definedName>
    <definedName name="미일초등">#REF!</definedName>
    <definedName name="미장">#REF!</definedName>
    <definedName name="미장경비">#REF!</definedName>
    <definedName name="미장공">#REF!</definedName>
    <definedName name="미장공001">#REF!</definedName>
    <definedName name="미장공002">#REF!</definedName>
    <definedName name="미장공011">#REF!</definedName>
    <definedName name="미장공982">#REF!</definedName>
    <definedName name="미장공991">#REF!</definedName>
    <definedName name="미장공992">#REF!</definedName>
    <definedName name="미장공과잡비">#REF!</definedName>
    <definedName name="미장공사">#REF!</definedName>
    <definedName name="미장노무">#REF!</definedName>
    <definedName name="미장땜방">#REF!</definedName>
    <definedName name="미장땜방노">#REF!</definedName>
    <definedName name="미장물량" hidden="1">{#N/A,#N/A,FALSE,"Sheet1"}</definedName>
    <definedName name="미장부대">0.83</definedName>
    <definedName name="미장사정율">74%</definedName>
    <definedName name="미장소계">#REF!</definedName>
    <definedName name="미장재료">#REF!</definedName>
    <definedName name="미장B공과잡비">#REF!</definedName>
    <definedName name="미장B소계">#REF!</definedName>
    <definedName name="미장C소계">#REF!</definedName>
    <definedName name="미정">#REF!</definedName>
    <definedName name="미종">#REF!</definedName>
    <definedName name="미지">#REF!</definedName>
    <definedName name="미진">#REF!</definedName>
    <definedName name="미치겠다" hidden="1">{#N/A,#N/A,FALSE,"조골재"}</definedName>
    <definedName name="미친" hidden="1">{#N/A,#N/A,FALSE,"현장 NCR 분석";#N/A,#N/A,FALSE,"현장품질감사";#N/A,#N/A,FALSE,"현장품질감사"}</definedName>
    <definedName name="미친놈" hidden="1">{#N/A,#N/A,FALSE,"이태원철근"}</definedName>
    <definedName name="미ㅏㅓ">#REF!</definedName>
    <definedName name="민">#REF!,#REF!,#REF!,#REF!,#REF!,#REF!,#REF!,#REF!,#REF!,#REF!,#REF!,#REF!,#REF!,#REF!,#REF!,#REF!,#REF!,#REF!,#REF!</definedName>
    <definedName name="민감도범위">#REF!</definedName>
    <definedName name="민경일">#REF!,#REF!,#REF!,#REF!,#REF!,#REF!,#REF!,#REF!,#REF!,#REF!,#REF!,#REF!,#REF!,#REF!,#REF!,#REF!,#REF!,#REF!,#REF!</definedName>
    <definedName name="민속장판깔기">#REF!</definedName>
    <definedName name="민속장판깔기노">#REF!</definedName>
    <definedName name="민우">#REF!</definedName>
    <definedName name="민원2">#REF!</definedName>
    <definedName name="민원2.">#REF!</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단지2">#REF!</definedName>
    <definedName name="민원단지3">#REF!</definedName>
    <definedName name="민원사">#REF!</definedName>
    <definedName name="민원처리비" hidden="1">{#N/A,#N/A,FALSE,"지침";#N/A,#N/A,FALSE,"환경분석";#N/A,#N/A,FALSE,"Sheet16"}</definedName>
    <definedName name="민원품의" hidden="1">{#N/A,#N/A,FALSE,"변경관리예산";#N/A,#N/A,FALSE,"변경장비예산";#N/A,#N/A,FALSE,"변경준설예산";#N/A,#N/A,FALSE,"변경철구예산"}</definedName>
    <definedName name="민호" hidden="1">{#N/A,#N/A,FALSE,"생산성";#N/A,#N/A,FALSE,"인력1";#N/A,#N/A,FALSE,"인력2";#N/A,#N/A,FALSE,"인력3";#N/A,#N/A,FALSE,"인건1";#N/A,#N/A,FALSE,"인건2";#N/A,#N/A,FALSE,"인건3";#N/A,#N/A,FALSE,"인원증감";#N/A,#N/A,FALSE,"인건증감";#N/A,#N/A,FALSE,"표지등"}</definedName>
    <definedName name="밍누어">#REF!</definedName>
    <definedName name="밑변">#REF!</definedName>
    <definedName name="ㅁㄳ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ㄶㄱㅇ"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ㅁㄶㄴㅁㅇㅎㅁㅇㅎ">#REF!</definedName>
    <definedName name="ㅁㄶㅁㄹㅇㅎ" hidden="1">#REF!</definedName>
    <definedName name="ㅁㄶㅇㅁㄶㅇㄶㅇㄶㅇㄶㅇ" hidden="1">{#N/A,#N/A,FALSE,"이태원철근"}</definedName>
    <definedName name="ㅁㄶㅇㅎㅎㅇㄴㄶㅇㅁㄶㅇ" hidden="1">{#N/A,#N/A,FALSE,"이태원철근"}</definedName>
    <definedName name="ㅁㄶㅇㄶㅇㅁㄶㅇㅁㄶㅇㅁㄶㅇ" hidden="1">{#N/A,#N/A,FALSE,"이태원철근"}</definedName>
    <definedName name="ㅁㄶㅇㄶㅇㅁㄶㅇㅁㄶㅇㄶㅇㅁ" hidden="1">{#N/A,#N/A,FALSE,"이태원철근"}</definedName>
    <definedName name="ㅁㄶㅇㄶㅇㄶㅇㅁㅁㄶㅇㅎㅇ" hidden="1">{#N/A,#N/A,FALSE,"이태원철근"}</definedName>
    <definedName name="ㅁㄶㅇㄶㅇㄶㅇㄶㅇㅁ" hidden="1">{#N/A,#N/A,FALSE,"이태원철근"}</definedName>
    <definedName name="ㅁㄻㄴㄹ" hidden="1">{#N/A,#N/A,FALSE,"골재소요량";#N/A,#N/A,FALSE,"골재소요량"}</definedName>
    <definedName name="ㅁㄻㄴㅇㄹㄴㅇㄹㄴ" hidden="1">#REF!</definedName>
    <definedName name="ㅁㄻㄴㄻㄴ" hidden="1">#REF!</definedName>
    <definedName name="ㅁㄻㄹ" hidden="1">{#N/A,#N/A,FALSE,"Sheet1"}</definedName>
    <definedName name="ㅁㄻㅇㄴㄻㄴㅇㄹ" hidden="1">{#N/A,#N/A,FALSE,"부대2"}</definedName>
    <definedName name="ㅁㄻㅇㄹㄴ" hidden="1">{#N/A,"수불부",FALSE,"사급자재수불서";#N/A,"수불부",FALSE,"사급자재수불서"}</definedName>
    <definedName name="ㅁㄻㄻㄻㄻ" hidden="1">#REF!</definedName>
    <definedName name="ㅁa1140">#REF!</definedName>
    <definedName name="ㅂ" hidden="1">{#N/A,#N/A,FALSE,"견적조건";#N/A,#N/A,FALSE,"산출근거"}</definedName>
    <definedName name="ㅂ1100">#REF!</definedName>
    <definedName name="ㅂ232">#REF!</definedName>
    <definedName name="ㅂ2ㅂ2" hidden="1">{#N/A,#N/A,FALSE,"배수1"}</definedName>
    <definedName name="ㅂ34ㅅ" hidden="1">{#N/A,#N/A,FALSE,"운반시간"}</definedName>
    <definedName name="ㅂ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ㄱㄷㅂㄱㄷㅂ">#N/A</definedName>
    <definedName name="ㅂㄱㄷㅅㅂㄷ" hidden="1">{#N/A,#N/A,FALSE,"손익표지";#N/A,#N/A,FALSE,"손익계산";#N/A,#N/A,FALSE,"일반관리비";#N/A,#N/A,FALSE,"영업외수익";#N/A,#N/A,FALSE,"영업외비용";#N/A,#N/A,FALSE,"매출액";#N/A,#N/A,FALSE,"요약손익";#N/A,#N/A,FALSE,"요약대차";#N/A,#N/A,FALSE,"매출채권현황";#N/A,#N/A,FALSE,"매출채권명세"}</definedName>
    <definedName name="ㅂㄱㄷㅅㅅㅂㄷ">#REF!</definedName>
    <definedName name="ㅂㄱㄹㄷㄹ" hidden="1">{#N/A,#N/A,FALSE,"운반시간"}</definedName>
    <definedName name="ㅂㄴ" hidden="1">{#N/A,#N/A,FALSE,"기안지";#N/A,#N/A,FALSE,"통신지"}</definedName>
    <definedName name="ㅂㄴㅇㅁㄴㅇ" hidden="1">{#N/A,#N/A,FALSE,"배수1"}</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뵫"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곰ㄷ구">#REF!</definedName>
    <definedName name="ㅂㄷㅅ">#N/A</definedName>
    <definedName name="ㅂㄷㅅㅄ" hidden="1">#REF!</definedName>
    <definedName name="ㅂㄷㅇ" hidden="1">{#N/A,#N/A,FALSE,"표지목차"}</definedName>
    <definedName name="ㅂㄷ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ㄷㅂㄱ" hidden="1">#REF!</definedName>
    <definedName name="ㅂㄷㄳㄷㅂㄳ">#REF!</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 hidden="1">{#N/A,#N/A,FALSE,"표지"}</definedName>
    <definedName name="ㅂㅂ1" hidden="1">{#N/A,#N/A,FALSE,"2~8번"}</definedName>
    <definedName name="ㅂㅂㄱ" localSheetId="0">[0]!BlankMacro1</definedName>
    <definedName name="ㅂㅂㄱ">[0]!BlankMacro1</definedName>
    <definedName name="ㅂㅂㄷㄷ" hidden="1">{#N/A,#N/A,FALSE,"단가표지"}</definedName>
    <definedName name="ㅂㅂㅁㄴㅂ" hidden="1">{#N/A,#N/A,FALSE,"교리2"}</definedName>
    <definedName name="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_1" hidden="1">{#N/A,#N/A,FALSE,"조골재"}</definedName>
    <definedName name="ㅂㅂㅂㅂ_2" hidden="1">{#N/A,#N/A,FALSE,"조골재"}</definedName>
    <definedName name="ㅂㅂㅂㅂ_3" hidden="1">{#N/A,#N/A,FALSE,"조골재"}</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ㅂ" hidden="1">{"'용역비'!$A$4:$C$8"}</definedName>
    <definedName name="ㅂㅂㅂㅂㅂㅂㅂ" hidden="1">{#N/A,#N/A,FALSE,"명세표"}</definedName>
    <definedName name="ㅂㅂㅂㅂㅂㅂㅂㅂ" hidden="1">{#N/A,#N/A,FALSE,"명세표"}</definedName>
    <definedName name="ㅂㅂㅂㅂㅂㅂㅂㅂ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ㅂㅂㅂㅂㅂ" hidden="1">{#N/A,#N/A,FALSE,"이태원철근"}</definedName>
    <definedName name="ㅂㅂㅂㅂㅂㅂㅂㅂㅂㅂ">#REF!</definedName>
    <definedName name="ㅂㅂㅂㅂㅂㅂㅂㅂㅂㅂㅂ" hidden="1">{#N/A,#N/A,FALSE,"이태원철근"}</definedName>
    <definedName name="ㅂㅂㅂㅂㅂㅂㅂㅂㅂㅂㅂㅂ" hidden="1">{#N/A,#N/A,FALSE,"이태원철근"}</definedName>
    <definedName name="ㅂㅂㅂㅂㅂㅂㅂㅂㅂㅂㅂㅂㅂ" hidden="1">{#N/A,#N/A,FALSE,"이태원철근"}</definedName>
    <definedName name="ㅂㅂㅂㅂㅂㅂㅂㅂㅂㅂㅂㅂㅂㅂㅂㅂㅂ" hidden="1">{#N/A,#N/A,FALSE,"이태원철근"}</definedName>
    <definedName name="ㅂㅂㅂㅂㅂㅂㅂㅂㅂㅂㅂㅂㅂㅂㅂㅂㅂㅂ" hidden="1">{#N/A,#N/A,FALSE,"이태원철근"}</definedName>
    <definedName name="ㅂㅂㅂㅂㅂㅂㅂㅂㅂㅂㅂㅂㅂㅂㅂㅂㅂㅂㅂ" hidden="1">{#N/A,#N/A,FALSE,"이태원철근"}</definedName>
    <definedName name="ㅂㅂㅂㅂㅂㅂㅂㅂㅂㅂㅂㅂㅂㅂㅂㅂㅂㅂㅂㅂ" hidden="1">{#N/A,#N/A,FALSE,"이태원철근"}</definedName>
    <definedName name="ㅂㅂㅂㅂㅂㅂㅂㅂㅂㅂㅂㅂㅂㅂㅂㅂㅂㅂㅂㅂㅂㅂㅂㅂㅂㅂ" hidden="1">{#N/A,#N/A,FALSE,"이태원철근"}</definedName>
    <definedName name="ㅂㅂㅂㅂㅂㅂㅂㅂㅂㅂㅂㅂㅂㅂㅂㅂㅂㅂㅂㅂㅂㅂㅂㅂㅂㅂㅂㅂ" hidden="1">{#N/A,#N/A,FALSE,"이태원철근"}</definedName>
    <definedName name="ㅂㅂㅂㅂㅂㅂㅂㅂㅂㅂㅂㅂㅂㅂㅂㅂㅂㅂㅂㅂㅂㅂㅂㅂㅂㅂㅂㅂㅂㅂ" hidden="1">{#N/A,#N/A,FALSE,"이태원철근"}</definedName>
    <definedName name="ㅂㅂㅂㅂㅂㅂㅂㅂㅂㅂㅂㅂㅂㅂㅂㅂㅂㅂㅂㅂㅂㅂㅂㅂㅂㅂㅂㅂㅂㅂㅂㅂ" hidden="1">{#N/A,#N/A,FALSE,"이태원철근"}</definedName>
    <definedName name="ㅂㅂㅂㅂㅂㅂㅂㅂㅂㅂㅂㅂㅂㅂㅂㅂㅂㅂㅂㅂㅂㅂㅂㅂㅂㅂㅂㅂㅂㅂㅂㅂㅂㅂㅂㅂㅂ" hidden="1">{#N/A,#N/A,FALSE,"이태원철근"}</definedName>
    <definedName name="ㅂㅂㅂㅂㅂㅂㅂㅂㅂㅂㅂㅂㅂㅂㅂㅂ부" hidden="1">{#N/A,#N/A,FALSE,"이태원철근"}</definedName>
    <definedName name="ㅂㅂㅂㅂㅂㅂㅂㅂㅂㅂㅂ부" hidden="1">{#N/A,#N/A,FALSE,"이태원철근"}</definedName>
    <definedName name="ㅂㅂㅂㅂㅂㅂㅂㅂㅂㅂ붑ㅂ" hidden="1">{#N/A,#N/A,FALSE,"이태원철근"}</definedName>
    <definedName name="ㅂㅂㅂㅂㅂㅂㅂㅂㅂ부" hidden="1">{#N/A,#N/A,FALSE,"이태원철근"}</definedName>
    <definedName name="ㅂㅂㅂㅂㅂㅂㅂㅂ부" hidden="1">{#N/A,#N/A,FALSE,"이태원철근"}</definedName>
    <definedName name="ㅂㅂㅂㅂㅂㅂㅂ부" hidden="1">{#N/A,#N/A,FALSE,"이태원철근"}</definedName>
    <definedName name="ㅂㅂㅂㅂㅂ부" hidden="1">{#N/A,#N/A,FALSE,"이태원철근"}</definedName>
    <definedName name="ㅂㅂㅂㅂ붑ㅂㅂ" hidden="1">{#N/A,#N/A,FALSE,"이태원철근"}</definedName>
    <definedName name="ㅂㅂ붑ㅂㅂㅂㅂㅂㅂㅂㅂ" hidden="1">{#N/A,#N/A,FALSE,"이태원철근"}</definedName>
    <definedName name="ㅂㅇ" hidden="1">#REF!</definedName>
    <definedName name="ㅂㅇㄴㄴㄷㅈ" hidden="1">{#N/A,#N/A,FALSE,"운반시간"}</definedName>
    <definedName name="ㅂㅈ" hidden="1">{#N/A,#N/A,TRUE,"1";#N/A,#N/A,TRUE,"2";#N/A,#N/A,TRUE,"3";#N/A,#N/A,TRUE,"4";#N/A,#N/A,TRUE,"5";#N/A,#N/A,TRUE,"6";#N/A,#N/A,TRUE,"7"}</definedName>
    <definedName name="ㅂㅈ_1" hidden="1">{#N/A,#N/A,FALSE,"2~8번"}</definedName>
    <definedName name="ㅂㅈㄱㄷㅈㅂㄱㅈㄷㅂㄱ" hidden="1">{#N/A,#N/A,FALSE,"이정표"}</definedName>
    <definedName name="ㅂㅈㄱㅂㅈㄱ" hidden="1">{#N/A,#N/A,FALSE,"이태원철근"}</definedName>
    <definedName name="ㅂㅈㄱㅂㅈㄱㄷㅂ" hidden="1">{#N/A,#N/A,FALSE,"이태원철근"}</definedName>
    <definedName name="ㅂㅈㄱㅂㅈㄱㄷㅂㅈㄱ" hidden="1">{#N/A,#N/A,FALSE,"이태원철근"}</definedName>
    <definedName name="ㅂㅈㄱㅂㅈㄱㅇㅂㅈ" hidden="1">{#N/A,#N/A,FALSE,"이태원철근"}</definedName>
    <definedName name="ㅂㅈㄱㅂㅈㄱㅇㅂㅈㄱ" hidden="1">{#N/A,#N/A,FALSE,"이태원철근"}</definedName>
    <definedName name="ㅂㅈㄱㅂㅈㄷㄱㅂㅈㄷ" hidden="1">{#N/A,#N/A,FALSE,"이태원철근"}</definedName>
    <definedName name="ㅂㅈㄱㅂㅈㄷㅂㅈㄷ" hidden="1">{#N/A,#N/A,FALSE,"이태원철근"}</definedName>
    <definedName name="ㅂㅈㄱㅂㅈㅇㅂㅈㅇㄷㅂㅈ" hidden="1">{#N/A,#N/A,FALSE,"이태원철근"}</definedName>
    <definedName name="ㅂㅈㄴㅂ" hidden="1">{#N/A,#N/A,FALSE,"집계표"}</definedName>
    <definedName name="ㅂㅈㄷ">#REF!</definedName>
    <definedName name="ㅂㅈㄷㄱ" hidden="1">{#N/A,#N/A,FALSE,"현장 NCR 분석";#N/A,#N/A,FALSE,"현장품질감사";#N/A,#N/A,FALSE,"현장품질감사"}</definedName>
    <definedName name="ㅂㅈㄷㄱㅂ"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ㄷㄱㅂㅈㄱㅂㅈ" hidden="1">{#N/A,#N/A,FALSE,"이태원철근"}</definedName>
    <definedName name="ㅂㅈㄷㄴ" hidden="1">{#N/A,#N/A,FALSE,"혼합골재"}</definedName>
    <definedName name="ㅂㅈㄷㄴㅌ">#REF!</definedName>
    <definedName name="ㅂㅈㄷㄴH">#REF!</definedName>
    <definedName name="ㅂㅈㄷㄷㄷ">#N/A</definedName>
    <definedName name="ㅂㅈㄷㅂㅈㄱㅂㅈㅇ" hidden="1">{#N/A,#N/A,FALSE,"이태원철근"}</definedName>
    <definedName name="ㅂㅈㄷㅂㅈㅈㅇ부" hidden="1">{#N/A,#N/A,FALSE,"이태원철근"}</definedName>
    <definedName name="ㅂㅈㄷㅈㄷ" hidden="1">{#N/A,#N/A,FALSE,"이태원철근"}</definedName>
    <definedName name="ㅂㅈㄷㅈㄷㅈㄷ">#N/A</definedName>
    <definedName name="ㅂㅈㄹ" hidden="1">{#N/A,#N/A,FALSE,"포장2"}</definedName>
    <definedName name="ㅂㅈㅁ" hidden="1">#REF!</definedName>
    <definedName name="ㅂㅈㅂㅇㅈㅇㅂ" hidden="1">{#N/A,#N/A,FALSE,"배수2"}</definedName>
    <definedName name="ㅂㅈㅂ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ㅂㅈㅂㅈ">#REF!</definedName>
    <definedName name="ㅂㅈㅇ" hidden="1">{#N/A,#N/A,FALSE,"운반시간"}</definedName>
    <definedName name="ㅂㅈㅇㄹㅊ">#N/A</definedName>
    <definedName name="ㅂㅈㅇㅁㄴㅇㅂㅈㄷㅁㄴ" hidden="1">{#N/A,#N/A,FALSE,"이태원철근"}</definedName>
    <definedName name="ㅂㅈㅇㅁㅇㅂㅈㄷㅁㄴ" hidden="1">{#N/A,#N/A,FALSE,"이태원철근"}</definedName>
    <definedName name="ㅂㅈㅇㅂㄴㅇㄴㅂㅇㅂㅈ" hidden="1">{#N/A,#N/A,FALSE,"이태원철근"}</definedName>
    <definedName name="ㅂㅈㅇㅂㅈㅇㅂㅈㅇ" hidden="1">{#N/A,#N/A,FALSE,"이태원철근"}</definedName>
    <definedName name="ㅂㅈㅈ">#REF!</definedName>
    <definedName name="ㅂㅈㅈㄷㄱ" hidden="1">{#N/A,#N/A,FALSE,"기안지";#N/A,#N/A,FALSE,"통신지"}</definedName>
    <definedName name="ㅂㅈㅈ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ㅊ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쟈ㅕㅑㅂ1" hidden="1">{#N/A,#N/A,FALSE,"배수1"}</definedName>
    <definedName name="ㅂㅈㅕ" hidden="1">{#N/A,#N/A,FALSE,"전력간선"}</definedName>
    <definedName name="ㅂㅈㄵㅂ">#REF!</definedName>
    <definedName name="ㅂㅋㅂ" hidden="1">{#N/A,#N/A,FALSE,"생산성";#N/A,#N/A,FALSE,"인력1";#N/A,#N/A,FALSE,"인력2";#N/A,#N/A,FALSE,"인력3";#N/A,#N/A,FALSE,"인건1";#N/A,#N/A,FALSE,"인건2";#N/A,#N/A,FALSE,"인건3";#N/A,#N/A,FALSE,"인원증감";#N/A,#N/A,FALSE,"인건증감";#N/A,#N/A,FALSE,"표지등"}</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#REF!</definedName>
    <definedName name="바기서" hidden="1">{#N/A,#N/A,FALSE,"표지목차"}</definedName>
    <definedName name="바나다" hidden="1">{#N/A,#N/A,FALSE,"단가표지"}</definedName>
    <definedName name="바닥">#REF!</definedName>
    <definedName name="바닥드레인100">#REF!</definedName>
    <definedName name="바닥드레인50">#REF!</definedName>
    <definedName name="바닥면적">#REF!</definedName>
    <definedName name="바닥몰">#REF!</definedName>
    <definedName name="바닥재변경" hidden="1">{#N/A,#N/A,FALSE,"변경관리예산";#N/A,#N/A,FALSE,"변경장비예산";#N/A,#N/A,FALSE,"변경준설예산";#N/A,#N/A,FALSE,"변경철구예산"}</definedName>
    <definedName name="바닥재소계">#REF!</definedName>
    <definedName name="바로">#REF!</definedName>
    <definedName name="바바">#N/A</definedName>
    <definedName name="바바라" hidden="1">{#N/A,#N/A,TRUE,"Y생산";#N/A,#N/A,TRUE,"Y판매";#N/A,#N/A,TRUE,"Y총물량";#N/A,#N/A,TRUE,"Y능력";#N/A,#N/A,TRUE,"YKD"}</definedName>
    <definedName name="바보" hidden="1">{#N/A,#N/A,FALSE,"운반시간"}</definedName>
    <definedName name="바보2">#REF!</definedName>
    <definedName name="바보랑ㄴㄹ" hidden="1">{#N/A,#N/A,FALSE,"운반시간"}</definedName>
    <definedName name="바보자기" hidden="1">{#N/A,#N/A,FALSE,"단가표지"}</definedName>
    <definedName name="바부">{"'용역비'!$A$4:$C$8"}</definedName>
    <definedName name="바붕" hidden="1">{#N/A,#N/A,FALSE,"전력간선"}</definedName>
    <definedName name="바비" hidden="1">{#N/A,#N/A,FALSE,"사업총괄";#N/A,#N/A,FALSE,"장비사업";#N/A,#N/A,FALSE,"철구사업";#N/A,#N/A,FALSE,"준설사업"}</definedName>
    <definedName name="바사려" hidden="1">{#N/A,#N/A,FALSE,"2~8번"}</definedName>
    <definedName name="바엊ㅎ" hidden="1">{#N/A,#N/A,FALSE,"단가표지"}</definedName>
    <definedName name="바우리나" hidden="1">{#N/A,#N/A,FALSE,"표지목차"}</definedName>
    <definedName name="바울" hidden="1">{#N/A,#N/A,FALSE,"조골재"}</definedName>
    <definedName name="바울인샐ㅇ" hidden="1">{#N/A,#N/A,FALSE,"혼합골재"}</definedName>
    <definedName name="바위2노무">#REF!</definedName>
    <definedName name="바위2재료">#REF!</definedName>
    <definedName name="바이브레타공">#N/A</definedName>
    <definedName name="바이오">#REF!</definedName>
    <definedName name="바지" hidden="1">{#N/A,#N/A,FALSE,"골재소요량";#N/A,#N/A,FALSE,"골재소요량"}</definedName>
    <definedName name="바진다" hidden="1">{#N/A,#N/A,FALSE,"단가표지"}</definedName>
    <definedName name="바탕">#REF!</definedName>
    <definedName name="박">#REF!,#REF!,#REF!,#REF!,#REF!,#REF!,#REF!,#REF!,#REF!,#REF!,#REF!,#REF!,#REF!,#REF!,#REF!,#REF!,#REF!,#REF!,#REF!</definedName>
    <definedName name="박경희">#REF!</definedName>
    <definedName name="박광호">#REF!</definedName>
    <definedName name="박리제">#REF!</definedName>
    <definedName name="박보경" hidden="1">{#N/A,#N/A,FALSE,"2~8번"}</definedName>
    <definedName name="박사">#REF!</definedName>
    <definedName name="박상건" localSheetId="0">BlankMacro1</definedName>
    <definedName name="박상건">BlankMacro1</definedName>
    <definedName name="박승동원가보고" hidden="1">{#N/A,#N/A,FALSE,"지침";#N/A,#N/A,FALSE,"환경분석";#N/A,#N/A,FALSE,"Sheet16"}</definedName>
    <definedName name="박어쟈루" hidden="1">#REF!</definedName>
    <definedName name="박연수" hidden="1">#REF!</definedName>
    <definedName name="박원흠" hidden="1">{#N/A,#N/A,FALSE,"현장 NCR 분석";#N/A,#N/A,FALSE,"현장품질감사";#N/A,#N/A,FALSE,"현장품질감사"}</definedName>
    <definedName name="박은하" localSheetId="0">Dlog_Show</definedName>
    <definedName name="박은하">Dlog_Show</definedName>
    <definedName name="朴俊成_常務">#REF!</definedName>
    <definedName name="박쥐">#REF!</definedName>
    <definedName name="박찬호" hidden="1">{#N/A,#N/A,FALSE,"부대2"}</definedName>
    <definedName name="박창근" hidden="1">{#N/A,#N/A,FALSE,"단가표지"}</definedName>
    <definedName name="박창수" hidden="1">{#N/A,#N/A,FALSE,"표지"}</definedName>
    <definedName name="박태기">#REF!</definedName>
    <definedName name="박태기6노무">#REF!</definedName>
    <definedName name="박태기6재료">#REF!</definedName>
    <definedName name="박태기8노무">#REF!</definedName>
    <definedName name="박태기8재료">#REF!</definedName>
    <definedName name="박피">#REF!</definedName>
    <definedName name="반송1012">#REF!</definedName>
    <definedName name="반송1215">#REF!</definedName>
    <definedName name="반송1518">#REF!</definedName>
    <definedName name="반송1520">#REF!</definedName>
    <definedName name="반송2022">#REF!</definedName>
    <definedName name="반영">#REF!</definedName>
    <definedName name="반영근">#REF!</definedName>
    <definedName name="반영근1">#REF!</definedName>
    <definedName name="반올림">#N/A</definedName>
    <definedName name="반용내역">#N/A</definedName>
    <definedName name="반장">#REF!</definedName>
    <definedName name="반중력식옹벽_개소별명세">#REF!</definedName>
    <definedName name="반중력식옹벽_수량집계">#REF!</definedName>
    <definedName name="반중력식옹벽토공수량" localSheetId="0">ErrorHandler_1</definedName>
    <definedName name="반중력식옹벽토공수량">ErrorHandler_1</definedName>
    <definedName name="반중력옹벽">#N/A</definedName>
    <definedName name="반지" hidden="1">{#N/A,#N/A,FALSE,"지침";#N/A,#N/A,FALSE,"환경분석";#N/A,#N/A,FALSE,"Sheet16"}</definedName>
    <definedName name="반침장27재">#REF!</definedName>
    <definedName name="반침장노">#REF!</definedName>
    <definedName name="반토압도">#REF!</definedName>
    <definedName name="반토압콘">#REF!</definedName>
    <definedName name="발브수량산출">#REF!</definedName>
    <definedName name="발송" hidden="1">{#N/A,#N/A,FALSE,"현장 NCR 분석";#N/A,#N/A,FALSE,"현장품질감사";#N/A,#N/A,FALSE,"현장품질감사"}</definedName>
    <definedName name="발송문">#REF!</definedName>
    <definedName name="발주">#REF!</definedName>
    <definedName name="발주계획" hidden="1">{"'자리배치도'!$AG$1:$CI$28"}</definedName>
    <definedName name="발주구분">#REF!</definedName>
    <definedName name="발주금액">#N/A</definedName>
    <definedName name="발주내역서" hidden="1">{#N/A,#N/A,FALSE,"현장 NCR 분석";#N/A,#N/A,FALSE,"현장품질감사";#N/A,#N/A,FALSE,"현장품질감사"}</definedName>
    <definedName name="발주내역서1" hidden="1">{#N/A,#N/A,FALSE,"현장 NCR 분석";#N/A,#N/A,FALSE,"현장품질감사";#N/A,#N/A,FALSE,"현장품질감사"}</definedName>
    <definedName name="발주용공내역서" hidden="1">{#N/A,#N/A,FALSE,"사업총괄";#N/A,#N/A,FALSE,"장비사업";#N/A,#N/A,FALSE,"철구사업";#N/A,#N/A,FALSE,"준설사업"}</definedName>
    <definedName name="발주의뢰서1" hidden="1">{#N/A,#N/A,FALSE,"전력간선"}</definedName>
    <definedName name="발주집계" hidden="1">{#N/A,#N/A,FALSE,"속도"}</definedName>
    <definedName name="발주처">#REF!</definedName>
    <definedName name="발코니근거">#REF!</definedName>
    <definedName name="발코니난간" hidden="1">{#N/A,#N/A,FALSE,"물량산출"}</definedName>
    <definedName name="발코니난간27재">#REF!</definedName>
    <definedName name="발코니난간노">#REF!</definedName>
    <definedName name="발코니샷시">#N/A</definedName>
    <definedName name="발코니세대칸막이">#REF!</definedName>
    <definedName name="발코니알루미늄창호">#N/A</definedName>
    <definedName name="발코니턱미장">#REF!</definedName>
    <definedName name="발코니턱미장노">#REF!</definedName>
    <definedName name="발파노무">#REF!</definedName>
    <definedName name="발파암경">#REF!</definedName>
    <definedName name="발파암경비">#REF!</definedName>
    <definedName name="발파암노">#REF!</definedName>
    <definedName name="발파암노무">#REF!</definedName>
    <definedName name="발파암재">#REF!</definedName>
    <definedName name="발파암재료">#REF!</definedName>
    <definedName name="발표양식">#N/A</definedName>
    <definedName name="발행회사명">#REF!</definedName>
    <definedName name="밤나무10노무">#REF!</definedName>
    <definedName name="밤나무10재료">#REF!</definedName>
    <definedName name="밤나무6노무">#REF!</definedName>
    <definedName name="밤나무6재료">#REF!</definedName>
    <definedName name="밤나무8노무">#REF!</definedName>
    <definedName name="밤나무8재료">#REF!</definedName>
    <definedName name="밤라이트노">#REF!</definedName>
    <definedName name="밤라이트붙이기">#REF!</definedName>
    <definedName name="밥">#N/A</definedName>
    <definedName name="밥먹으러" hidden="1">{#N/A,#N/A,FALSE,"단가표지"}</definedName>
    <definedName name="방">#REF!</definedName>
    <definedName name="방___수___공">#REF!</definedName>
    <definedName name="방바닥미장">#REF!</definedName>
    <definedName name="방바닥미장노">#REF!</definedName>
    <definedName name="방발리" hidden="1">{#N/A,#N/A,TRUE,"1";#N/A,#N/A,TRUE,"2";#N/A,#N/A,TRUE,"3";#N/A,#N/A,TRUE,"4";#N/A,#N/A,TRUE,"5";#N/A,#N/A,TRUE,"6";#N/A,#N/A,TRUE,"7"}</definedName>
    <definedName name="방방">#N/A</definedName>
    <definedName name="방방호">#N/A</definedName>
    <definedName name="방배" hidden="1">{#N/A,#N/A,FALSE,"현장 NCR 분석";#N/A,#N/A,FALSE,"현장품질감사";#N/A,#N/A,FALSE,"현장품질감사"}</definedName>
    <definedName name="방부각재">931007</definedName>
    <definedName name="방부대형">#REF!</definedName>
    <definedName name="방부원주">1064010</definedName>
    <definedName name="방부판재">1037435</definedName>
    <definedName name="방송" localSheetId="0">BlankMacro1</definedName>
    <definedName name="방송">BlankMacro1</definedName>
    <definedName name="방송공량">#REF!</definedName>
    <definedName name="방송설비">#REF!</definedName>
    <definedName name="방수">#REF!</definedName>
    <definedName name="방수경비">#REF!</definedName>
    <definedName name="방수공">#REF!</definedName>
    <definedName name="방수공001">#REF!</definedName>
    <definedName name="방수공002">#REF!</definedName>
    <definedName name="방수공011">#REF!</definedName>
    <definedName name="방수공982">#REF!</definedName>
    <definedName name="방수공991">#REF!</definedName>
    <definedName name="방수공992">#REF!</definedName>
    <definedName name="방수공과잡비">#REF!</definedName>
    <definedName name="방수공사">#REF!</definedName>
    <definedName name="방수노무">#REF!</definedName>
    <definedName name="방수몰탈">#REF!</definedName>
    <definedName name="방수소계">#REF!</definedName>
    <definedName name="방수시방1" hidden="1">{#N/A,#N/A,FALSE,"현장 NCR 분석";#N/A,#N/A,FALSE,"현장품질감사";#N/A,#N/A,FALSE,"현장품질감사"}</definedName>
    <definedName name="방수시방3" hidden="1">{#N/A,#N/A,FALSE,"현장 NCR 분석";#N/A,#N/A,FALSE,"현장품질감사";#N/A,#N/A,FALSE,"현장품질감사"}</definedName>
    <definedName name="방수재료">#REF!</definedName>
    <definedName name="방식" hidden="1">{#N/A,#N/A,FALSE,"전력간선"}</definedName>
    <definedName name="방식1" hidden="1">{#N/A,#N/A,FALSE,"전력간선"}</definedName>
    <definedName name="방열기">#REF!</definedName>
    <definedName name="방음벽" hidden="1">{#N/A,#N/A,FALSE,"2~8번"}</definedName>
    <definedName name="방음벽1" hidden="1">{#N/A,#N/A,FALSE,"운반시간"}</definedName>
    <definedName name="방음벽2">{"Book1","부대-(표지판,데리,가드).xls","부대-(낙,차,중분대).xls"}</definedName>
    <definedName name="방음벽4.5">{"Book1","부대-(표지판,데리,가드).xls","부대-(낙,차,중분대).xls"}</definedName>
    <definedName name="방음벽번호">#REF!</definedName>
    <definedName name="방이오피공사" hidden="1">{#N/A,#N/A,FALSE,"변경관리예산";#N/A,#N/A,FALSE,"변경장비예산";#N/A,#N/A,FALSE,"변경준설예산";#N/A,#N/A,FALSE,"변경철구예산"}</definedName>
    <definedName name="방진.도금">#REF!</definedName>
    <definedName name="방진자">#REF!</definedName>
    <definedName name="방카경">#N/A</definedName>
    <definedName name="방카노">#N/A</definedName>
    <definedName name="방카재">#N/A</definedName>
    <definedName name="방호">#N/A</definedName>
    <definedName name="방호벽">#REF!</definedName>
    <definedName name="방호설비공사">#N/A</definedName>
    <definedName name="방호울타리중량">#REF!</definedName>
    <definedName name="방호하중">#REF!</definedName>
    <definedName name="방화" hidden="1">{#N/A,#N/A,FALSE,"CCTV"}</definedName>
    <definedName name="방화구획">#N/A</definedName>
    <definedName name="방화셔터물량산출" hidden="1">{#N/A,#N/A,FALSE,"현장 NCR 분석";#N/A,#N/A,FALSE,"현장품질감사";#N/A,#N/A,FALSE,"현장품질감사"}</definedName>
    <definedName name="방화셔터물량산출서" hidden="1">{#N/A,#N/A,FALSE,"현장 NCR 분석";#N/A,#N/A,FALSE,"현장품질감사";#N/A,#N/A,FALSE,"현장품질감사"}</definedName>
    <definedName name="배">#REF!</definedName>
    <definedName name="배_____수_____공">#REF!</definedName>
    <definedName name="배___관___공">#REF!</definedName>
    <definedName name="배_전__전_공">#REF!</definedName>
    <definedName name="배관">#REF!</definedName>
    <definedName name="배관1" hidden="1">{#N/A,#N/A,TRUE,"1";#N/A,#N/A,TRUE,"2";#N/A,#N/A,TRUE,"3";#N/A,#N/A,TRUE,"4";#N/A,#N/A,TRUE,"5";#N/A,#N/A,TRUE,"6";#N/A,#N/A,TRUE,"7"}</definedName>
    <definedName name="배관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공">#REF!</definedName>
    <definedName name="배관공001">#REF!</definedName>
    <definedName name="배관공002">#REF!</definedName>
    <definedName name="배관공011">#REF!</definedName>
    <definedName name="배관공982">#REF!</definedName>
    <definedName name="배관공991">#REF!</definedName>
    <definedName name="배관공992">#REF!</definedName>
    <definedName name="배관공계">#REF!</definedName>
    <definedName name="배관공노임">#REF!</definedName>
    <definedName name="배관공수율" hidden="1">#REF!</definedName>
    <definedName name="배관마찰1">#REF!</definedName>
    <definedName name="배관배선산출근거양식">#REF!</definedName>
    <definedName name="배관산출서">#N/A</definedName>
    <definedName name="배관이당" hidden="1">{#N/A,#N/A,FALSE,"기안지";#N/A,#N/A,FALSE,"통신지"}</definedName>
    <definedName name="배관자재중량">#REF!</definedName>
    <definedName name="배근된길이">#REF!</definedName>
    <definedName name="배기">#REF!</definedName>
    <definedName name="배기덕트공사" hidden="1">{#N/A,#N/A,FALSE,"CCTV"}</definedName>
    <definedName name="배당초">#REF!,#REF!</definedName>
    <definedName name="배롱">#REF!</definedName>
    <definedName name="배롱나무">#REF!</definedName>
    <definedName name="배롱나무H2.5xR7">#REF!</definedName>
    <definedName name="배롱나무H3.5xR20">#REF!</definedName>
    <definedName name="배면방수">#REF!</definedName>
    <definedName name="배민호" hidden="1">{#N/A,#N/A,FALSE,"생산성";#N/A,#N/A,FALSE,"인력1";#N/A,#N/A,FALSE,"인력2";#N/A,#N/A,FALSE,"인력3";#N/A,#N/A,FALSE,"인건1";#N/A,#N/A,FALSE,"인건2";#N/A,#N/A,FALSE,"인건3";#N/A,#N/A,FALSE,"인원증감";#N/A,#N/A,FALSE,"인건증감";#N/A,#N/A,FALSE,"표지등"}</definedName>
    <definedName name="배민호님" hidden="1">{#N/A,#N/A,FALSE,"생산성";#N/A,#N/A,FALSE,"인력1";#N/A,#N/A,FALSE,"인력2";#N/A,#N/A,FALSE,"인력3";#N/A,#N/A,FALSE,"인건1";#N/A,#N/A,FALSE,"인건2";#N/A,#N/A,FALSE,"인건3";#N/A,#N/A,FALSE,"인원증감";#N/A,#N/A,FALSE,"인건증감";#N/A,#N/A,FALSE,"표지등"}</definedName>
    <definedName name="배변경">#REF!,#REF!</definedName>
    <definedName name="배부" hidden="1">{#N/A,#N/A,FALSE,"지침";#N/A,#N/A,FALSE,"환경분석";#N/A,#N/A,FALSE,"Sheet16"}</definedName>
    <definedName name="배부영업자산" hidden="1">{#N/A,#N/A,FALSE,"지침";#N/A,#N/A,FALSE,"환경분석";#N/A,#N/A,FALSE,"Sheet16"}</definedName>
    <definedName name="배수" localSheetId="0">ErrorHandler_1</definedName>
    <definedName name="배수">ErrorHandler_1</definedName>
    <definedName name="배수1" hidden="1">{#N/A,#N/A,FALSE,"배수2"}</definedName>
    <definedName name="배수12" hidden="1">{#N/A,#N/A,FALSE,"2~8번"}</definedName>
    <definedName name="배수2" hidden="1">{#N/A,#N/A,FALSE,"배수1"}</definedName>
    <definedName name="배수경">#N/A</definedName>
    <definedName name="배수공">#REF!</definedName>
    <definedName name="배수공1">#REF!</definedName>
    <definedName name="배수공2">#REF!</definedName>
    <definedName name="배수공3">#REF!</definedName>
    <definedName name="배수공및터널공사">#REF!</definedName>
    <definedName name="배수공수">#REF!</definedName>
    <definedName name="배수공수량집계" hidden="1">{"'산출근거'!$B$4:$D$8"}</definedName>
    <definedName name="배수공집계_주요자재" hidden="1">{#N/A,#N/A,FALSE,"포장단가"}</definedName>
    <definedName name="배수공집계표">#REF!</definedName>
    <definedName name="배수공집계표제목">#REF!</definedName>
    <definedName name="배수공표지">#REF!</definedName>
    <definedName name="배수공하">#REF!</definedName>
    <definedName name="배수공A83">#REF!</definedName>
    <definedName name="배수관">{"'결과(하)'!$L$24"}</definedName>
    <definedName name="배수관단위">#REF!</definedName>
    <definedName name="배수관제작직관">#REF!</definedName>
    <definedName name="배수구">#REF!</definedName>
    <definedName name="배수노">#N/A</definedName>
    <definedName name="배수단위">#REF!</definedName>
    <definedName name="배수로">{"'중기작업1'!$A$1:$V$18"}</definedName>
    <definedName name="배수재">#N/A</definedName>
    <definedName name="배수토공2">#REF!</definedName>
    <definedName name="배연기기">#N/A</definedName>
    <definedName name="배전">#REF!</definedName>
    <definedName name="배전2004">#REF!</definedName>
    <definedName name="배전반">#REF!</definedName>
    <definedName name="배전반1">#REF!</definedName>
    <definedName name="배전반자재단가영">#REF!</definedName>
    <definedName name="배전전공">#REF!</definedName>
    <definedName name="배전전공001">#REF!</definedName>
    <definedName name="배전전공002">#REF!</definedName>
    <definedName name="배전전공011">#REF!</definedName>
    <definedName name="배전전공982">#REF!</definedName>
    <definedName name="배전전공991">#REF!</definedName>
    <definedName name="배전전공992">#REF!</definedName>
    <definedName name="배전활선전공">#REF!</definedName>
    <definedName name="배전활선전공001">#REF!</definedName>
    <definedName name="배전활선전공002">#REF!</definedName>
    <definedName name="배전활선전공011">#REF!</definedName>
    <definedName name="배전활선전공982">#REF!</definedName>
    <definedName name="배전활선전공991">#REF!</definedName>
    <definedName name="배전활선전공992">#REF!</definedName>
    <definedName name="배점">#REF!</definedName>
    <definedName name="배점한도">#REF!</definedName>
    <definedName name="배치계획">#REF!</definedName>
    <definedName name="배토판19ton">"Picture 11"</definedName>
    <definedName name="배토판32ton">"Picture 10"</definedName>
    <definedName name="배활2004">#REF!</definedName>
    <definedName name="백">#N/A</definedName>
    <definedName name="백02간재">#REF!</definedName>
    <definedName name="백02간재티스제외">#REF!</definedName>
    <definedName name="백02노무">#REF!</definedName>
    <definedName name="백02노무야간">#REF!</definedName>
    <definedName name="백02손료">#REF!</definedName>
    <definedName name="백04간재">#REF!</definedName>
    <definedName name="백04간재티스제외">#REF!</definedName>
    <definedName name="백04노무">#REF!</definedName>
    <definedName name="백04노무야간">#REF!</definedName>
    <definedName name="백04손료">#REF!</definedName>
    <definedName name="백07간재">#REF!</definedName>
    <definedName name="백07노무">#REF!</definedName>
    <definedName name="백07손료">#REF!</definedName>
    <definedName name="백광기업">#N/A</definedName>
    <definedName name="백남관광" hidden="1">{#N/A,#N/A,FALSE,"생산성";#N/A,#N/A,FALSE,"인력1";#N/A,#N/A,FALSE,"인력2";#N/A,#N/A,FALSE,"인력3";#N/A,#N/A,FALSE,"인건1";#N/A,#N/A,FALSE,"인건2";#N/A,#N/A,FALSE,"인건3";#N/A,#N/A,FALSE,"인원증감";#N/A,#N/A,FALSE,"인건증감";#N/A,#N/A,FALSE,"표지등"}</definedName>
    <definedName name="백만">#REF!</definedName>
    <definedName name="백만원">#REF!</definedName>
    <definedName name="백목련">#REF!</definedName>
    <definedName name="백분">{"Book1","동절기공사.xls"}</definedName>
    <definedName name="백분율">#REF!</definedName>
    <definedName name="백석동" hidden="1">{#N/A,#N/A,FALSE,"조골재"}</definedName>
    <definedName name="백세인거" hidden="1">{#N/A,#N/A,FALSE,"운반시간"}</definedName>
    <definedName name="백승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백시멘트">#REF!</definedName>
    <definedName name="백업제">#REF!</definedName>
    <definedName name="백자갈노무">#REF!</definedName>
    <definedName name="백자갈재료">#REF!</definedName>
    <definedName name="백종훈" hidden="1">#REF!</definedName>
    <definedName name="백철4노무">#REF!</definedName>
    <definedName name="백철4재료">#REF!</definedName>
    <definedName name="백철5노무">#REF!</definedName>
    <definedName name="백철5재료">#REF!</definedName>
    <definedName name="백철쭉H0.3">#REF!</definedName>
    <definedName name="백호02">230000</definedName>
    <definedName name="백호06">300000</definedName>
    <definedName name="백호10">250000</definedName>
    <definedName name="백호2경">#REF!</definedName>
    <definedName name="백호2노무">#REF!</definedName>
    <definedName name="백호2재료">#REF!</definedName>
    <definedName name="백호7경">#REF!</definedName>
    <definedName name="백호7노무">#REF!</definedName>
    <definedName name="백호7재료">#REF!</definedName>
    <definedName name="백호우0.4" hidden="1">{#N/A,#N/A,FALSE,"현장 NCR 분석";#N/A,#N/A,FALSE,"현장품질감사";#N/A,#N/A,FALSE,"현장품질감사"}</definedName>
    <definedName name="백호우작업효율">#REF!</definedName>
    <definedName name="밸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뱌">#REF!</definedName>
    <definedName name="버놀" hidden="1">{#N/A,#N/A,FALSE,"단가표지"}</definedName>
    <definedName name="버린다" hidden="1">{#N/A,#N/A,FALSE,"운반시간"}</definedName>
    <definedName name="버인서" hidden="1">{#N/A,#N/A,FALSE,"조골재"}</definedName>
    <definedName name="버전" hidden="1">{"'PROFORMA'!$A$1:$H$120"}</definedName>
    <definedName name="버즘">#REF!</definedName>
    <definedName name="버진다" hidden="1">{#N/A,#N/A,FALSE,"표지목차"}</definedName>
    <definedName name="버팀목">#REF!</definedName>
    <definedName name="버팀목EA">#REF!</definedName>
    <definedName name="버ㅏㅣ가ㅣ" hidden="1">{#N/A,#N/A,FALSE,"운반시간"}</definedName>
    <definedName name="버ㅗㅕㄷ" hidden="1">{#N/A,#N/A,FALSE,"단가표지"}</definedName>
    <definedName name="번동" hidden="1">{#N/A,#N/A,FALSE,"단가표지"}</definedName>
    <definedName name="번들1호">#REF!</definedName>
    <definedName name="번들2호">#REF!</definedName>
    <definedName name="번들3호">#REF!</definedName>
    <definedName name="번마을" hidden="1">{#N/A,#N/A,FALSE,"골재소요량";#N/A,#N/A,FALSE,"골재소요량"}</definedName>
    <definedName name="번호">#REF!</definedName>
    <definedName name="벌" hidden="1">{#N/A,#N/A,FALSE,"전력간선"}</definedName>
    <definedName name="벌___목___부">#REF!</definedName>
    <definedName name="벌개제근경">#N/A</definedName>
    <definedName name="벌개제근공" hidden="1">{#N/A,#N/A,FALSE,"현장 NCR 분석";#N/A,#N/A,FALSE,"현장품질감사";#N/A,#N/A,FALSE,"현장품질감사"}</definedName>
    <definedName name="벌개제근노">#N/A</definedName>
    <definedName name="벌개제근재">#N/A</definedName>
    <definedName name="벌목공011">#REF!</definedName>
    <definedName name="벌목단가산출">#REF!</definedName>
    <definedName name="벌목부001">#REF!</definedName>
    <definedName name="벌목부002">#REF!</definedName>
    <definedName name="벌목부982">#REF!</definedName>
    <definedName name="벌목부991">#REF!</definedName>
    <definedName name="벌목부992">#REF!</definedName>
    <definedName name="범례" hidden="1">{#N/A,#N/A,FALSE,"전력간선"}</definedName>
    <definedName name="범위">#REF!</definedName>
    <definedName name="범위2">#REF!</definedName>
    <definedName name="범위3">#REF!</definedName>
    <definedName name="법_인_명_상호">#REF!</definedName>
    <definedName name="법면보호블럭">#REF!</definedName>
    <definedName name="법원마크">#N/A</definedName>
    <definedName name="법인등록번호">#REF!</definedName>
    <definedName name="법인세">#REF!</definedName>
    <definedName name="법인세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주민세">#REF!</definedName>
    <definedName name="법정">#REF!</definedName>
    <definedName name="벙" hidden="1">{#N/A,#N/A,FALSE,"Sheet6"}</definedName>
    <definedName name="베로니카" hidden="1">{#N/A,#N/A,FALSE,"생산성";#N/A,#N/A,FALSE,"인력1";#N/A,#N/A,FALSE,"인력2";#N/A,#N/A,FALSE,"인력3";#N/A,#N/A,FALSE,"인건1";#N/A,#N/A,FALSE,"인건2";#N/A,#N/A,FALSE,"인건3";#N/A,#N/A,FALSE,"인원증감";#N/A,#N/A,FALSE,"인건증감";#N/A,#N/A,FALSE,"표지등"}</definedName>
    <definedName name="벨트컨베이어작업공">#N/A</definedName>
    <definedName name="벽_돌__블_럭__제_작_공">#REF!</definedName>
    <definedName name="벽높이">#REF!</definedName>
    <definedName name="벽돌">#REF!</definedName>
    <definedName name="벽돌_블럭_제작공">#REF!</definedName>
    <definedName name="벽돌_블럭_제작공011">#REF!</definedName>
    <definedName name="벽돌_블록_제작공001">#REF!</definedName>
    <definedName name="벽돌_블록_제작공002">#REF!</definedName>
    <definedName name="벽돌_블록_제작공982">#REF!</definedName>
    <definedName name="벽돌_블록_제작공991">#REF!</definedName>
    <definedName name="벽돌_블록_제작공992">#REF!</definedName>
    <definedName name="벽돌소운반">#REF!</definedName>
    <definedName name="벽돌소운반노">#REF!</definedName>
    <definedName name="벽두께">#REF!</definedName>
    <definedName name="벽운갑지" hidden="1">#REF!</definedName>
    <definedName name="벽재료분리대노">#REF!</definedName>
    <definedName name="벽재료분리대설치">#REF!</definedName>
    <definedName name="벽지" hidden="1">{#N/A,#N/A,FALSE,"이태원철근"}</definedName>
    <definedName name="벽지_1" hidden="1">{#N/A,#N/A,FALSE,"이태원철근"}</definedName>
    <definedName name="벽지_2" hidden="1">{#N/A,#N/A,FALSE,"이태원철근"}</definedName>
    <definedName name="벽지_3" hidden="1">{#N/A,#N/A,FALSE,"이태원철근"}</definedName>
    <definedName name="벽지거실노">#REF!</definedName>
    <definedName name="벽지붙이기거실">#REF!</definedName>
    <definedName name="벽지붙이기침실">#REF!</definedName>
    <definedName name="벽지침실노">#REF!</definedName>
    <definedName name="벽체" hidden="1">{#N/A,#N/A,FALSE,"혼합골재"}</definedName>
    <definedName name="벽체1" hidden="1">{#N/A,#N/A,FALSE,"혼합골재"}</definedName>
    <definedName name="벽체두께1">#REF!</definedName>
    <definedName name="벽체두께2">#REF!</definedName>
    <definedName name="벽체상부1단">#REF!</definedName>
    <definedName name="벽체상부1단간격">#REF!</definedName>
    <definedName name="벽체상부2단">#REF!</definedName>
    <definedName name="벽체상부2단간격">#REF!</definedName>
    <definedName name="벽체상부전단간격">#REF!</definedName>
    <definedName name="벽체상부전단갯수">#REF!</definedName>
    <definedName name="벽체상부전단철근">#REF!</definedName>
    <definedName name="벽체상부피복">#REF!</definedName>
    <definedName name="벽체상부d">#REF!</definedName>
    <definedName name="벽체상부h">#REF!</definedName>
    <definedName name="벽체상부M">#REF!</definedName>
    <definedName name="벽체상부S">#REF!</definedName>
    <definedName name="벽체자중">#REF!</definedName>
    <definedName name="벽체중앙1단간격">#REF!</definedName>
    <definedName name="벽체중앙2단간격">#REF!</definedName>
    <definedName name="벽체중앙부1단">#REF!</definedName>
    <definedName name="벽체중앙부2단">#REF!</definedName>
    <definedName name="벽체중앙피복">#REF!</definedName>
    <definedName name="벽체중앙d">#REF!</definedName>
    <definedName name="벽체중앙h">#REF!</definedName>
    <definedName name="벽체중앙M">#REF!</definedName>
    <definedName name="벽체중앙S">#REF!</definedName>
    <definedName name="벽체폭1">#REF!</definedName>
    <definedName name="벽체폭2">#REF!</definedName>
    <definedName name="벽체하부1단">#REF!</definedName>
    <definedName name="벽체하부1단간격">#REF!</definedName>
    <definedName name="벽체하부2단">#REF!</definedName>
    <definedName name="벽체하부2단간격">#REF!</definedName>
    <definedName name="벽체하부전단간격">#REF!</definedName>
    <definedName name="벽체하부전단갯수">#REF!</definedName>
    <definedName name="벽체하부전단철근">#REF!</definedName>
    <definedName name="벽체하부피복">#REF!</definedName>
    <definedName name="벽체하부d">#REF!</definedName>
    <definedName name="벽체하부h">#REF!</definedName>
    <definedName name="벽체하부M">#REF!</definedName>
    <definedName name="벽체하부S">#REF!</definedName>
    <definedName name="벽체하중">#REF!</definedName>
    <definedName name="변" hidden="1">{#N/A,#N/A,FALSE,"기안지";#N/A,#N/A,FALSE,"통신지"}</definedName>
    <definedName name="변경" hidden="1">{#N/A,#N/A,FALSE,"기안지";#N/A,#N/A,FALSE,"통신지"}</definedName>
    <definedName name="변경_1" hidden="1">{#N/A,#N/A,FALSE,"현장 NCR 분석";#N/A,#N/A,FALSE,"현장품질감사";#N/A,#N/A,FALSE,"현장품질감사"}</definedName>
    <definedName name="변경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변경갑" hidden="1">{#N/A,#N/A,FALSE,"CCTV"}</definedName>
    <definedName name="변경개요" hidden="1">#REF!</definedName>
    <definedName name="변경개요2" hidden="1">#REF!</definedName>
    <definedName name="변경공사비대비표" hidden="1">{#N/A,#N/A,FALSE,"기안지";#N/A,#N/A,FALSE,"통신지"}</definedName>
    <definedName name="변경내역">#REF!</definedName>
    <definedName name="변경내역서갑지">#REF!</definedName>
    <definedName name="변경낸역" hidden="1">#REF!</definedName>
    <definedName name="변경단가" hidden="1">{#N/A,#N/A,FALSE,"포장단가"}</definedName>
    <definedName name="변경단가1" hidden="1">{#N/A,#N/A,FALSE,"포장단가"}</definedName>
    <definedName name="변경단가2" hidden="1">{#N/A,#N/A,FALSE,"포장단가"}</definedName>
    <definedName name="변경단가3" hidden="1">{#N/A,#N/A,FALSE,"포장단가"}</definedName>
    <definedName name="변경목차" hidden="1">{#N/A,#N/A,FALSE,"단축1";#N/A,#N/A,FALSE,"단축2";#N/A,#N/A,FALSE,"단축3";#N/A,#N/A,FALSE,"장축";#N/A,#N/A,FALSE,"4WD"}</definedName>
    <definedName name="변경병" hidden="1">{#N/A,#N/A,FALSE,"CCTV"}</definedName>
    <definedName name="변경분" hidden="1">{#N/A,#N/A,FALSE,"CCTV"}</definedName>
    <definedName name="변경비교">#REF!</definedName>
    <definedName name="변경사유제출">{"Book1","작업일보.xls"}</definedName>
    <definedName name="변경수량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수주계획">#REF!</definedName>
    <definedName name="변경신청" hidden="1">#REF!</definedName>
    <definedName name="변경실행금액" hidden="1">{#N/A,#N/A,FALSE,"전력간선"}</definedName>
    <definedName name="변경예산1" hidden="1">{#N/A,#N/A,FALSE,"변경관리예산";#N/A,#N/A,FALSE,"변경장비예산";#N/A,#N/A,FALSE,"변경준설예산";#N/A,#N/A,FALSE,"변경철구예산"}</definedName>
    <definedName name="변경예산1_1" hidden="1">{#N/A,#N/A,FALSE,"변경관리예산";#N/A,#N/A,FALSE,"변경장비예산";#N/A,#N/A,FALSE,"변경준설예산";#N/A,#N/A,FALSE,"변경철구예산"}</definedName>
    <definedName name="변경예산1_2" hidden="1">{#N/A,#N/A,FALSE,"변경관리예산";#N/A,#N/A,FALSE,"변경장비예산";#N/A,#N/A,FALSE,"변경준설예산";#N/A,#N/A,FALSE,"변경철구예산"}</definedName>
    <definedName name="변경예산1_3" hidden="1">{#N/A,#N/A,FALSE,"변경관리예산";#N/A,#N/A,FALSE,"변경장비예산";#N/A,#N/A,FALSE,"변경준설예산";#N/A,#N/A,FALSE,"변경철구예산"}</definedName>
    <definedName name="변경을" hidden="1">{#N/A,#N/A,FALSE,"CCTV"}</definedName>
    <definedName name="변경전" hidden="1">{#N/A,#N/A,FALSE,"CCTV"}</definedName>
    <definedName name="변경후개요" hidden="1">#REF!</definedName>
    <definedName name="변동">#REF!</definedName>
    <definedName name="변동부재">#REF!</definedName>
    <definedName name="변실기초">0.35</definedName>
    <definedName name="변실포장공제" hidden="1">{#N/A,#N/A,FALSE,"골재소요량";#N/A,#N/A,FALSE,"골재소요량"}</definedName>
    <definedName name="변압기1">#REF!</definedName>
    <definedName name="변압기품"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변전전공001">#REF!</definedName>
    <definedName name="변전전공002">#REF!</definedName>
    <definedName name="변전전공011">#REF!</definedName>
    <definedName name="변전전공982">#REF!</definedName>
    <definedName name="변전전공991">#REF!</definedName>
    <definedName name="변전전공992">#REF!</definedName>
    <definedName name="변태">#N/A</definedName>
    <definedName name="변형">#REF!</definedName>
    <definedName name="변형1">#REF!</definedName>
    <definedName name="변형계수">#REF!</definedName>
    <definedName name="별">#REF!</definedName>
    <definedName name="별지">#REF!</definedName>
    <definedName name="별표총2" hidden="1">{#N/A,#N/A,FALSE,"현장 NCR 분석";#N/A,#N/A,FALSE,"현장품질감사";#N/A,#N/A,FALSE,"현장품질감사"}</definedName>
    <definedName name="병" hidden="1">#REF!</definedName>
    <definedName name="병꽃4노무">#REF!</definedName>
    <definedName name="병꽃4재료">#REF!</definedName>
    <definedName name="병꽃6노무">#REF!</definedName>
    <definedName name="병꽃6재료">#REF!</definedName>
    <definedName name="병지">#REF!,#REF!</definedName>
    <definedName name="ㅂㅗ" hidden="1">{#N/A,#N/A,FALSE,"3가";#N/A,#N/A,FALSE,"3나";#N/A,#N/A,FALSE,"3다"}</definedName>
    <definedName name="보___안___공">#REF!</definedName>
    <definedName name="보___온___공">#REF!</definedName>
    <definedName name="보_일_러__공">#REF!</definedName>
    <definedName name="보_통__선_원">#REF!</definedName>
    <definedName name="보_통__인_부">#REF!</definedName>
    <definedName name="보_통_인_부">#REF!</definedName>
    <definedName name="보고">#N/A</definedName>
    <definedName name="보고1">#REF!</definedName>
    <definedName name="보고서" hidden="1">{#N/A,#N/A,FALSE,"구조2"}</definedName>
    <definedName name="보고서전체출력">#REF!</definedName>
    <definedName name="보고양식1">#REF!</definedName>
    <definedName name="보고양식2">#REF!</definedName>
    <definedName name="보고양식3">#REF!</definedName>
    <definedName name="보고자료" hidden="1">{#N/A,#N/A,FALSE,"집계표"}</definedName>
    <definedName name="보고장표_현장그림_List">#REF!</definedName>
    <definedName name="보곡">#REF!</definedName>
    <definedName name="보급수급수">#REF!</definedName>
    <definedName name="보기" hidden="1">{#N/A,#N/A,FALSE,"속도"}</definedName>
    <definedName name="보도" hidden="1">{#N/A,#N/A,TRUE,"총괄"}</definedName>
    <definedName name="보도경계블럭수량">#REF!</definedName>
    <definedName name="보도경계석" hidden="1">{#N/A,#N/A,FALSE,"운반시간"}</definedName>
    <definedName name="보도노">#REF!</definedName>
    <definedName name="보도부수량집계">#REF!</definedName>
    <definedName name="보도비">#REF!</definedName>
    <definedName name="보도재">#REF!</definedName>
    <definedName name="보도파취">#REF!</definedName>
    <definedName name="보동가도교">#REF!</definedName>
    <definedName name="보동가독ㅅ">#REF!</definedName>
    <definedName name="보라" hidden="1">{#N/A,#N/A,FALSE,"갑지";#N/A,#N/A,FALSE,"개요";#N/A,#N/A,FALSE,"비목별";#N/A,#N/A,FALSE,"건물별";#N/A,#N/A,FALSE,"기구표";#N/A,#N/A,FALSE,"직원투입"}</definedName>
    <definedName name="보령" hidden="1">{#N/A,#N/A,FALSE,"현장 NCR 분석";#N/A,#N/A,FALSE,"현장품질감사";#N/A,#N/A,FALSE,"현장품질감사"}</definedName>
    <definedName name="보링" hidden="1">{#N/A,#N/A,FALSE,"포장2"}</definedName>
    <definedName name="보링공_지질조사">#REF!</definedName>
    <definedName name="보링공_지질조사001">#REF!</definedName>
    <definedName name="보링공_지질조사002">#REF!</definedName>
    <definedName name="보링공_지질조사011">#REF!</definedName>
    <definedName name="보링공_지질조사982">#REF!</definedName>
    <definedName name="보링공_지질조사991">#REF!</definedName>
    <definedName name="보링공_지질조사992">#REF!</definedName>
    <definedName name="보문">0</definedName>
    <definedName name="보보봅">#REF!</definedName>
    <definedName name="보성건">#REF!</definedName>
    <definedName name="보성기">#REF!</definedName>
    <definedName name="보성철">#REF!</definedName>
    <definedName name="보성토">#REF!</definedName>
    <definedName name="보성토공">#N/A</definedName>
    <definedName name="보습제">#REF!</definedName>
    <definedName name="보안공001">#REF!</definedName>
    <definedName name="보안공002">#REF!</definedName>
    <definedName name="보안공011">#REF!</definedName>
    <definedName name="보안공982">#REF!</definedName>
    <definedName name="보안공991">#REF!</definedName>
    <definedName name="보안공992">#REF!</definedName>
    <definedName name="보양비계" hidden="1">#REF!</definedName>
    <definedName name="보오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온">#REF!</definedName>
    <definedName name="보온공">#REF!</definedName>
    <definedName name="보온공001">#REF!</definedName>
    <definedName name="보온공002">#REF!</definedName>
    <definedName name="보온공011">#REF!</definedName>
    <definedName name="보온공982">#REF!</definedName>
    <definedName name="보온공991">#REF!</definedName>
    <definedName name="보온공992">#REF!</definedName>
    <definedName name="보온공계">#REF!</definedName>
    <definedName name="보완자료복사">#REF!</definedName>
    <definedName name="보인">#REF!</definedName>
    <definedName name="보일">#REF!</definedName>
    <definedName name="보일러" localSheetId="0">BlankMacro1</definedName>
    <definedName name="보일러">BlankMacro1</definedName>
    <definedName name="보일러2">#N/A</definedName>
    <definedName name="보일러공001">#REF!</definedName>
    <definedName name="보일러공002">#REF!</definedName>
    <definedName name="보일러공011">#REF!</definedName>
    <definedName name="보일러공982">#REF!</definedName>
    <definedName name="보일러공991">#REF!</definedName>
    <definedName name="보일러공992">#REF!</definedName>
    <definedName name="보전과">#N/A</definedName>
    <definedName name="보정리" hidden="1">{#N/A,#N/A,FALSE,"이태원철근"}</definedName>
    <definedName name="보조">#REF!</definedName>
    <definedName name="보조1">#REF!</definedName>
    <definedName name="보조2">#REF!</definedName>
    <definedName name="보조기층">#REF!</definedName>
    <definedName name="보조기층10경비">#REF!</definedName>
    <definedName name="보조기층10계">#REF!</definedName>
    <definedName name="보조기층10노무비">#REF!</definedName>
    <definedName name="보조기층10다짐경비">#REF!</definedName>
    <definedName name="보조기층10다짐계">#REF!</definedName>
    <definedName name="보조기층10다짐노무비">#REF!</definedName>
    <definedName name="보조기층10다짐재료비">#REF!</definedName>
    <definedName name="보조기층10부설경비">#REF!</definedName>
    <definedName name="보조기층10부설계">#REF!</definedName>
    <definedName name="보조기층10부설노무비">#REF!</definedName>
    <definedName name="보조기층10부설재료비">#REF!</definedName>
    <definedName name="보조기층10살수노무비">#REF!</definedName>
    <definedName name="보조기층10재료비">#REF!</definedName>
    <definedName name="보조기층2.5경비">#REF!</definedName>
    <definedName name="보조기층2.5계">#REF!</definedName>
    <definedName name="보조기층2.5노무비">#REF!</definedName>
    <definedName name="보조기층2.5다짐경비">#REF!</definedName>
    <definedName name="보조기층2.5다짐계">#REF!</definedName>
    <definedName name="보조기층2.5다짐노무비">#REF!</definedName>
    <definedName name="보조기층2.5다짐재료비">#REF!</definedName>
    <definedName name="보조기층2.5부설계">#REF!</definedName>
    <definedName name="보조기층2.5부설노무비">#REF!</definedName>
    <definedName name="보조기층2.5살수계">#REF!</definedName>
    <definedName name="보조기층2.5살수노무비">#REF!</definedName>
    <definedName name="보조기층2.5재료비">#REF!</definedName>
    <definedName name="보조기층기계경비">#REF!</definedName>
    <definedName name="보조기층기계계">#REF!</definedName>
    <definedName name="보조기층기계노무비">#REF!</definedName>
    <definedName name="보조기층기계부설기계경비">#REF!</definedName>
    <definedName name="보조기층기계부설기계계">#REF!</definedName>
    <definedName name="보조기층기계부설기계노무비">#REF!</definedName>
    <definedName name="보조기층기계부설기계재료비">#REF!</definedName>
    <definedName name="보조기층기계부설인력경비">#REF!</definedName>
    <definedName name="보조기층기계부설인력계">#REF!</definedName>
    <definedName name="보조기층기계부설인력노무비">#REF!</definedName>
    <definedName name="보조기층기계부설인력재료비">#REF!</definedName>
    <definedName name="보조기층기계살수경비">#REF!</definedName>
    <definedName name="보조기층기계살수계">#REF!</definedName>
    <definedName name="보조기층기계살수노무비">#REF!</definedName>
    <definedName name="보조기층기계살수재료비">#REF!</definedName>
    <definedName name="보조기층기계재료비">#REF!</definedName>
    <definedName name="보조기층기계전압진동경비">#REF!</definedName>
    <definedName name="보조기층기계전압진동계">#REF!</definedName>
    <definedName name="보조기층기계전압진동노무비">#REF!</definedName>
    <definedName name="보조기층기계전압진동재료비">#REF!</definedName>
    <definedName name="보조기층기계전압타이어경비">#REF!</definedName>
    <definedName name="보조기층기계전압타이어계">#REF!</definedName>
    <definedName name="보조기층기계전압타이어노무비">#REF!</definedName>
    <definedName name="보조기층기계전압타이어재료비">#REF!</definedName>
    <definedName name="보조기층두께">0.2</definedName>
    <definedName name="보조기층ㄹ">#REF!</definedName>
    <definedName name="보조기층부설">#REF!</definedName>
    <definedName name="보조기층운반경비">#REF!</definedName>
    <definedName name="보조기층운반계">#REF!</definedName>
    <definedName name="보조기층운반노무비">#REF!</definedName>
    <definedName name="보조기층운반재료비">#REF!</definedName>
    <definedName name="보조기층인력경비">#REF!</definedName>
    <definedName name="보조기층인력계">#REF!</definedName>
    <definedName name="보조기층인력노무비">#REF!</definedName>
    <definedName name="보조기층인력부설경비">#REF!</definedName>
    <definedName name="보조기층인력부설계">#REF!</definedName>
    <definedName name="보조기층인력부설노무비">#REF!</definedName>
    <definedName name="보조기층인력부설재료비">#REF!</definedName>
    <definedName name="보조기층인력살수경비">#REF!</definedName>
    <definedName name="보조기층인력살수계">#REF!</definedName>
    <definedName name="보조기층인력살수노무비">#REF!</definedName>
    <definedName name="보조기층인력살수재료비">#REF!</definedName>
    <definedName name="보조기층인력재료비">#REF!</definedName>
    <definedName name="보조기층인력전압진동경비">#REF!</definedName>
    <definedName name="보조기층인력전압진동계">#REF!</definedName>
    <definedName name="보조기층인력전압진동노무비">#REF!</definedName>
    <definedName name="보조기층인력전압진동재료비">#REF!</definedName>
    <definedName name="보조기층인력전압타이어경비">#REF!</definedName>
    <definedName name="보조기층인력전압타이어계">#REF!</definedName>
    <definedName name="보조기층인력전압타이어노무비">#REF!</definedName>
    <definedName name="보조기층인력전압타이어재료비">#REF!</definedName>
    <definedName name="보졸레누보수입품의건" hidden="1">{#N/A,#N/A,FALSE,"생산성";#N/A,#N/A,FALSE,"인력1";#N/A,#N/A,FALSE,"인력2";#N/A,#N/A,FALSE,"인력3";#N/A,#N/A,FALSE,"인건1";#N/A,#N/A,FALSE,"인건2";#N/A,#N/A,FALSE,"인건3";#N/A,#N/A,FALSE,"인원증감";#N/A,#N/A,FALSE,"인건증감";#N/A,#N/A,FALSE,"표지등"}</definedName>
    <definedName name="보증">#REF!</definedName>
    <definedName name="보증수수료" hidden="1">{#N/A,#N/A,FALSE,"지침";#N/A,#N/A,FALSE,"환경분석";#N/A,#N/A,FALSE,"Sheet16"}</definedName>
    <definedName name="보증일반환산" hidden="1">#REF!</definedName>
    <definedName name="보차도경계블럭수량">#REF!</definedName>
    <definedName name="보차도경계석">#REF!</definedName>
    <definedName name="보차도경계석재료집계" hidden="1">#REF!</definedName>
    <definedName name="보충" hidden="1">#REF!</definedName>
    <definedName name="보통">#REF!</definedName>
    <definedName name="보통_인부">#REF!</definedName>
    <definedName name="보통2004">#REF!</definedName>
    <definedName name="보통마감">#REF!</definedName>
    <definedName name="보통선원001">#REF!</definedName>
    <definedName name="보통선원002">#REF!</definedName>
    <definedName name="보통선원011">#REF!</definedName>
    <definedName name="보통선원982">#REF!</definedName>
    <definedName name="보통선원991">#REF!</definedName>
    <definedName name="보통선원992">#REF!</definedName>
    <definedName name="보통암1">#REF!</definedName>
    <definedName name="보통인부">#REF!</definedName>
    <definedName name="보통인부001">#REF!</definedName>
    <definedName name="보통인부002">#REF!</definedName>
    <definedName name="보통인부011">#REF!</definedName>
    <definedName name="보통인부1">#REF!</definedName>
    <definedName name="보통인부982">#REF!</definedName>
    <definedName name="보통인부991">#REF!</definedName>
    <definedName name="보통인부992">#REF!</definedName>
    <definedName name="보통인부계">#REF!</definedName>
    <definedName name="보통인부노">#REF!</definedName>
    <definedName name="보통인부노임">#REF!</definedName>
    <definedName name="보통인부B10">#REF!</definedName>
    <definedName name="보통인부B4이하">#REF!</definedName>
    <definedName name="보통인부B5">#REF!</definedName>
    <definedName name="보통인부B6">#REF!</definedName>
    <definedName name="보통인부B8">#REF!</definedName>
    <definedName name="보통인부R10">#REF!</definedName>
    <definedName name="보통인부R12">#REF!</definedName>
    <definedName name="보통인부R15">#REF!</definedName>
    <definedName name="보통인부R4이하">#REF!</definedName>
    <definedName name="보통인부R5">#REF!</definedName>
    <definedName name="보통인부R6">#REF!</definedName>
    <definedName name="보통인부R7">#REF!</definedName>
    <definedName name="보통인부R8">#REF!</definedName>
    <definedName name="보평" hidden="1">{#N/A,#N/A,FALSE,"전력간선"}</definedName>
    <definedName name="보평1" hidden="1">{#N/A,#N/A,FALSE,"전력간선"}</definedName>
    <definedName name="보할" hidden="1">{#N/A,#N/A,FALSE,"이태원철근"}</definedName>
    <definedName name="보할공정률매출투입취하" hidden="1">{#N/A,#N/A,FALSE,"이태원철근"}</definedName>
    <definedName name="보할공정표">#REF!</definedName>
    <definedName name="보할공종2차수정" hidden="1">{#N/A,#N/A,FALSE,"갑지";#N/A,#N/A,FALSE,"개요";#N/A,#N/A,FALSE,"비목별";#N/A,#N/A,FALSE,"건물별";#N/A,#N/A,FALSE,"기구표";#N/A,#N/A,FALSE,"직원투입"}</definedName>
    <definedName name="보할푬_2000년" hidden="1">{#N/A,#N/A,FALSE,"이태원철근"}</definedName>
    <definedName name="보험">#REF!</definedName>
    <definedName name="보험1" hidden="1">{#N/A,#N/A,FALSE,"사업총괄";#N/A,#N/A,FALSE,"장비사업";#N/A,#N/A,FALSE,"철구사업";#N/A,#N/A,FALSE,"준설사업"}</definedName>
    <definedName name="보험1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보험료범위">OFFSET(#REF!,,,COUNTA(#REF!)-2,7)</definedName>
    <definedName name="보험요율">MAX((INDEX(\t,,2)=#REF!)*(INDEX(\t,,1)&lt;=#REF!)*ROW(INDEX(\t,,1)))</definedName>
    <definedName name="보험율">#REF!</definedName>
    <definedName name="보험적용">#REF!</definedName>
    <definedName name="보현">#REF!</definedName>
    <definedName name="보호" hidden="1">{#N/A,#N/A,FALSE,"ENG'G(보호계전기)"}</definedName>
    <definedName name="보호막설치경비">#REF!</definedName>
    <definedName name="보호막설치노무비">#REF!</definedName>
    <definedName name="보호막설치재료">#REF!</definedName>
    <definedName name="보호몰탈">#REF!</definedName>
    <definedName name="보호몰탈1">#REF!</definedName>
    <definedName name="보호몰탈2">#REF!</definedName>
    <definedName name="보호몰탈3">#REF!</definedName>
    <definedName name="보호상">#REF!</definedName>
    <definedName name="보호측">#REF!</definedName>
    <definedName name="보호하">#REF!</definedName>
    <definedName name="보활공정" hidden="1">{#N/A,#N/A,FALSE,"이태원철근"}</definedName>
    <definedName name="복구">#REF!</definedName>
    <definedName name="복구계획도2" hidden="1">{#N/A,#N/A,FALSE,"현장 NCR 분석";#N/A,#N/A,FALSE,"현장품질감사";#N/A,#N/A,FALSE,"현장품질감사"}</definedName>
    <definedName name="복리">#REF!</definedName>
    <definedName name="복부간격">#REF!</definedName>
    <definedName name="복사">#REF!</definedName>
    <definedName name="복사2" localSheetId="0">ErrorHandler_1</definedName>
    <definedName name="복사2">ErrorHandler_1</definedName>
    <definedName name="복사본" hidden="1">{#N/A,#N/A,FALSE,"BS";#N/A,#N/A,FALSE,"PL";#N/A,#N/A,FALSE,"처분";#N/A,#N/A,FALSE,"현금";#N/A,#N/A,FALSE,"매출";#N/A,#N/A,FALSE,"원가";#N/A,#N/A,FALSE,"경영"}</definedName>
    <definedName name="복ㅇ" hidden="1">{#N/A,#N/A,FALSE,"부대2"}</definedName>
    <definedName name="복ㅇㅅ">#N/A</definedName>
    <definedName name="복지" hidden="1">#REF!</definedName>
    <definedName name="복토">#REF!</definedName>
    <definedName name="복합판넬__방수석고보드">#REF!</definedName>
    <definedName name="복합판넬39">#REF!</definedName>
    <definedName name="복합판넬39노">#REF!</definedName>
    <definedName name="복합판넬59">#REF!</definedName>
    <definedName name="복합판넬59노">#REF!</definedName>
    <definedName name="복합판넬79">#REF!</definedName>
    <definedName name="복합판넬79노">#REF!</definedName>
    <definedName name="복합판넬방수석고39노">#REF!</definedName>
    <definedName name="본" hidden="1">#REF!</definedName>
    <definedName name="본공사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동경비">#REF!</definedName>
    <definedName name="본동계">#REF!</definedName>
    <definedName name="본동노무">#REF!</definedName>
    <definedName name="본동재료">#REF!</definedName>
    <definedName name="본문">#REF!</definedName>
    <definedName name="본사" hidden="1">{#N/A,#N/A,FALSE,"기안지";#N/A,#N/A,FALSE,"통신지"}</definedName>
    <definedName name="본사견적" hidden="1">{#N/A,#N/A,FALSE,"기안지";#N/A,#N/A,FALSE,"통신지"}</definedName>
    <definedName name="본사관리비율">#REF!</definedName>
    <definedName name="본사기준" localSheetId="0">BlankMacro1</definedName>
    <definedName name="본사기준">BlankMacro1</definedName>
    <definedName name="본사설계안분석" hidden="1">{"'PROFORMA'!$A$1:$H$120"}</definedName>
    <definedName name="본사자료">#REF!,#REF!,#REF!,#REF!,#REF!,#REF!,#REF!,#REF!,#REF!,#REF!,#REF!,#REF!,#REF!,#REF!</definedName>
    <definedName name="본사품의서">#REF!</definedName>
    <definedName name="본선" hidden="1">#REF!</definedName>
    <definedName name="본선개착">#REF!</definedName>
    <definedName name="본선부속">#REF!</definedName>
    <definedName name="본선환기구">#REF!</definedName>
    <definedName name="본실행갑지" hidden="1">{#N/A,#N/A,FALSE,"사업총괄";#N/A,#N/A,FALSE,"장비사업";#N/A,#N/A,FALSE,"철구사업";#N/A,#N/A,FALSE,"준설사업"}</definedName>
    <definedName name="본인이다" hidden="1">{#N/A,#N/A,FALSE,"조골재"}</definedName>
    <definedName name="본점소재지">#REF!</definedName>
    <definedName name="본체">#N/A</definedName>
    <definedName name="본체토공수량집계표" localSheetId="0">ErrorHandler_1</definedName>
    <definedName name="본체토공수량집계표">ErrorHandler_1</definedName>
    <definedName name="볼트">#REF!</definedName>
    <definedName name="봉규" hidden="1">{#N/A,#N/A,FALSE,"CCTV"}</definedName>
    <definedName name="봉등비교" hidden="1">{#N/A,#N/A,FALSE,"CCTV"}</definedName>
    <definedName name="봉선화노무">#REF!</definedName>
    <definedName name="봉선화재료">#REF!</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봉일천">{"'광피스표'!$A$3:$N$54"}</definedName>
    <definedName name="봉일천2">{"'광피스표'!$A$3:$N$54"}</definedName>
    <definedName name="봉천동주택2" localSheetId="0">BlankMacro1</definedName>
    <definedName name="봉천동주택2">BlankMacro1</definedName>
    <definedName name="뵤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뵵됴">#N/A</definedName>
    <definedName name="뵹" hidden="1">{#N/A,#N/A,FALSE,"구조1"}</definedName>
    <definedName name="부" hidden="1">{#N/A,#N/A,FALSE,"현장 NCR 분석";#N/A,#N/A,FALSE,"현장품질감사";#N/A,#N/A,FALSE,"현장품질감사"}</definedName>
    <definedName name="부____대____공">#REF!</definedName>
    <definedName name="부__가___가__치__세">#N/A</definedName>
    <definedName name="부_1" hidden="1">{#N/A,#N/A,FALSE,"현장 NCR 분석";#N/A,#N/A,FALSE,"현장품질감사";#N/A,#N/A,FALSE,"현장품질감사"}</definedName>
    <definedName name="부15">#REF!</definedName>
    <definedName name="부가">#REF!</definedName>
    <definedName name="부가가치세">#REF!</definedName>
    <definedName name="부가가치세_산식">#N/A</definedName>
    <definedName name="부가가치세요율">#REF!</definedName>
    <definedName name="부가가치표">#REF!</definedName>
    <definedName name="부가율">#REF!</definedName>
    <definedName name="부담비율">#REF!</definedName>
    <definedName name="부당초">#REF!,#REF!</definedName>
    <definedName name="부대" hidden="1">{#N/A,#N/A,FALSE,"골재소요량";#N/A,#N/A,FALSE,"골재소요량"}</definedName>
    <definedName name="부대_1" hidden="1">{#N/A,#N/A,FALSE,"골재소요량";#N/A,#N/A,FALSE,"골재소요량"}</definedName>
    <definedName name="부대_2" hidden="1">{#N/A,#N/A,FALSE,"골재소요량";#N/A,#N/A,FALSE,"골재소요량"}</definedName>
    <definedName name="부대_3" hidden="1">{#N/A,#N/A,FALSE,"골재소요량";#N/A,#N/A,FALSE,"골재소요량"}</definedName>
    <definedName name="부대1" hidden="1">{#N/A,#N/A,FALSE,"운반시간"}</definedName>
    <definedName name="부대1_1" hidden="1">{#N/A,#N/A,FALSE,"운반시간"}</definedName>
    <definedName name="부대1_2" hidden="1">{#N/A,#N/A,FALSE,"운반시간"}</definedName>
    <definedName name="부대1_3" hidden="1">{#N/A,#N/A,FALSE,"운반시간"}</definedName>
    <definedName name="부대2" hidden="1">{#N/A,#N/A,FALSE,"부대1"}</definedName>
    <definedName name="부대3" hidden="1">{#N/A,#N/A,FALSE,"부대2"}</definedName>
    <definedName name="부대갑">#REF!</definedName>
    <definedName name="부대건축2" hidden="1">#REF!</definedName>
    <definedName name="부대건축공사비">#N/A</definedName>
    <definedName name="부대공">#REF!</definedName>
    <definedName name="부대공_집계표_제목">#REF!</definedName>
    <definedName name="부대공1">#REF!</definedName>
    <definedName name="부대공2">#REF!</definedName>
    <definedName name="부대공3">#REF!</definedName>
    <definedName name="부대공경">#N/A</definedName>
    <definedName name="부대공노">#N/A</definedName>
    <definedName name="부대공명세서" hidden="1">#REF!</definedName>
    <definedName name="부대공사" hidden="1">#REF!</definedName>
    <definedName name="부대공사외" hidden="1">{#N/A,#N/A,FALSE,"단가표지"}</definedName>
    <definedName name="부대공사집계표">#REF!</definedName>
    <definedName name="부대공자재집게표">#REF!</definedName>
    <definedName name="부대공재">#N/A</definedName>
    <definedName name="부대공종">#REF!</definedName>
    <definedName name="부대공집계표">#REF!</definedName>
    <definedName name="부대공총괄수량집계" hidden="1">{#N/A,#N/A,FALSE,"2~8번"}</definedName>
    <definedName name="부대공A1078">#REF!</definedName>
    <definedName name="부대구조" hidden="1">{#N/A,#N/A,FALSE,"골재소요량";#N/A,#N/A,FALSE,"골재소요량"}</definedName>
    <definedName name="부대구조_1" hidden="1">{#N/A,#N/A,FALSE,"골재소요량";#N/A,#N/A,FALSE,"골재소요량"}</definedName>
    <definedName name="부대구조_2" hidden="1">{#N/A,#N/A,FALSE,"골재소요량";#N/A,#N/A,FALSE,"골재소요량"}</definedName>
    <definedName name="부대구조_3" hidden="1">{#N/A,#N/A,FALSE,"골재소요량";#N/A,#N/A,FALSE,"골재소요량"}</definedName>
    <definedName name="부대내역">#N/A</definedName>
    <definedName name="부대내역비교">#REF!</definedName>
    <definedName name="부대방안" hidden="1">{#N/A,#N/A,FALSE,"단가표지"}</definedName>
    <definedName name="부대방안_1" hidden="1">{#N/A,#N/A,FALSE,"단가표지"}</definedName>
    <definedName name="부대방안_2" hidden="1">{#N/A,#N/A,FALSE,"단가표지"}</definedName>
    <definedName name="부대방안_3" hidden="1">{#N/A,#N/A,FALSE,"단가표지"}</definedName>
    <definedName name="부대사항">#REF!</definedName>
    <definedName name="부대세부1" hidden="1">#REF!</definedName>
    <definedName name="부대수량">#N/A</definedName>
    <definedName name="부대시설" hidden="1">{#N/A,#N/A,FALSE,"전력간선"}</definedName>
    <definedName name="부대시설공사">#REF!</definedName>
    <definedName name="부대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hidden="1">{#N/A,#N/A,FALSE,"배수2"}</definedName>
    <definedName name="부대원본" hidden="1">{#N/A,#N/A,FALSE,"토공2"}</definedName>
    <definedName name="부대원본1" hidden="1">{#N/A,#N/A,FALSE,"토공2"}</definedName>
    <definedName name="부대일반">#N/A</definedName>
    <definedName name="부대일위대가">#REF!</definedName>
    <definedName name="부대입찰">#REF!</definedName>
    <definedName name="부대입찰갑지">#REF!</definedName>
    <definedName name="부대입찰갑지3">#REF!</definedName>
    <definedName name="부대입찰서류작성" hidden="1">#REF!</definedName>
    <definedName name="부대입찰잡비" localSheetId="0">Dlog_Show</definedName>
    <definedName name="부대입찰잡비">Dlog_Show</definedName>
    <definedName name="부대입찰품의서">#REF!</definedName>
    <definedName name="부대입찰현황">#N/A</definedName>
    <definedName name="부대집" localSheetId="0">BlankMacro1</definedName>
    <definedName name="부대집">BlankMacro1</definedName>
    <definedName name="부대찰">#REF!</definedName>
    <definedName name="부대토공" hidden="1">{#N/A,#N/A,FALSE,"구조2"}</definedName>
    <definedName name="부대토공2" hidden="1">{#N/A,#N/A,FALSE,"구조2"}</definedName>
    <definedName name="부대토공대비">#N/A</definedName>
    <definedName name="부대토목">#REF!</definedName>
    <definedName name="부대a" hidden="1">{#N/A,#N/A,FALSE,"골재소요량";#N/A,#N/A,FALSE,"골재소요량"}</definedName>
    <definedName name="부대GROSS">#N/A</definedName>
    <definedName name="부동산">#N/A</definedName>
    <definedName name="부동산중계수수료">#REF!</definedName>
    <definedName name="부들노">#REF!</definedName>
    <definedName name="부들재">#REF!</definedName>
    <definedName name="부변경">#REF!,#REF!</definedName>
    <definedName name="부분" hidden="1">{#N/A,#N/A,FALSE,"CCTV"}</definedName>
    <definedName name="부분검토의견" hidden="1">{#N/A,#N/A,FALSE,"기안지";#N/A,#N/A,FALSE,"통신지"}</definedName>
    <definedName name="부분내역" hidden="1">{#N/A,#N/A,FALSE,"CCTV"}</definedName>
    <definedName name="부분내역2" hidden="1">{#N/A,#N/A,FALSE,"CCTV"}</definedName>
    <definedName name="부산" hidden="1">{#N/A,#N/A,FALSE,"3가";#N/A,#N/A,FALSE,"3나";#N/A,#N/A,FALSE,"3다"}</definedName>
    <definedName name="부산2">#REF!</definedName>
    <definedName name="부산사상">#REF!</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학생교육문화회관">#REF!</definedName>
    <definedName name="부서">#REF!</definedName>
    <definedName name="부손익" hidden="1">{#N/A,#N/A,FALSE,"현장 NCR 분석";#N/A,#N/A,FALSE,"현장품질감사";#N/A,#N/A,FALSE,"현장품질감사"}</definedName>
    <definedName name="부손익_1" hidden="1">{#N/A,#N/A,FALSE,"현장 NCR 분석";#N/A,#N/A,FALSE,"현장품질감사";#N/A,#N/A,FALSE,"현장품질감사"}</definedName>
    <definedName name="부손익_2" hidden="1">{#N/A,#N/A,FALSE,"현장 NCR 분석";#N/A,#N/A,FALSE,"현장품질감사";#N/A,#N/A,FALSE,"현장품질감사"}</definedName>
    <definedName name="부손익_3" hidden="1">{#N/A,#N/A,FALSE,"현장 NCR 분석";#N/A,#N/A,FALSE,"현장품질감사";#N/A,#N/A,FALSE,"현장품질감사"}</definedName>
    <definedName name="부손익1" hidden="1">{#N/A,#N/A,FALSE,"현장 NCR 분석";#N/A,#N/A,FALSE,"현장품질감사";#N/A,#N/A,FALSE,"현장품질감사"}</definedName>
    <definedName name="부식기타">#REF!</definedName>
    <definedName name="부실">#REF!</definedName>
    <definedName name="부실채권">#REF!</definedName>
    <definedName name="부실확정자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여변전소" hidden="1">{"'당진'!$A$1:$P$34","'당진'!$N$13"}</definedName>
    <definedName name="부연터널A1217">#REF!</definedName>
    <definedName name="부연터널A1221">#REF!</definedName>
    <definedName name="부엽도" localSheetId="0">BlankMacro1</definedName>
    <definedName name="부엽도">BlankMacro1</definedName>
    <definedName name="부위">#REF!</definedName>
    <definedName name="부위공종">#REF!</definedName>
    <definedName name="부위공종소공종">#REF!</definedName>
    <definedName name="부유물질">#REF!</definedName>
    <definedName name="部長">#REF!</definedName>
    <definedName name="부장급_인당복리후생비">#REF!</definedName>
    <definedName name="부장GROSS">#N/A</definedName>
    <definedName name="부재사">#REF!</definedName>
    <definedName name="부재오">#REF!</definedName>
    <definedName name="부재육">#REF!</definedName>
    <definedName name="부전지" hidden="1">#N/A</definedName>
    <definedName name="부지매입비">#N/A</definedName>
    <definedName name="부지복구논" hidden="1">{#N/A,#N/A,FALSE,"현장 NCR 분석";#N/A,#N/A,FALSE,"현장품질감사";#N/A,#N/A,FALSE,"현장품질감사"}</definedName>
    <definedName name="부지조성및옹벽">#REF!</definedName>
    <definedName name="부직포">#REF!</definedName>
    <definedName name="부직포노">#REF!</definedName>
    <definedName name="부직포재">#REF!</definedName>
    <definedName name="부채비율">#REF!</definedName>
    <definedName name="부채탕감">#REF!</definedName>
    <definedName name="부채탕감액">#REF!</definedName>
    <definedName name="부천1">#REF!</definedName>
    <definedName name="부천상동조경" hidden="1">{#N/A,#N/A,FALSE,"표지"}</definedName>
    <definedName name="부천상동조경_1" hidden="1">{#N/A,#N/A,FALSE,"표지"}</definedName>
    <definedName name="부체도로" hidden="1">{#N/A,#N/A,FALSE,"2~8번"}</definedName>
    <definedName name="부체도로공" hidden="1">{#N/A,#N/A,FALSE,"배수1"}</definedName>
    <definedName name="부토" localSheetId="0">Dlog_Show</definedName>
    <definedName name="부토">Dlog_Show</definedName>
    <definedName name="부표목록" localSheetId="0">BlankMacro1</definedName>
    <definedName name="부표목록">BlankMacro1</definedName>
    <definedName name="부하">#N/A</definedName>
    <definedName name="부하_부하명">#N/A</definedName>
    <definedName name="부하리스트">#REF!</definedName>
    <definedName name="북측도로유동표" hidden="1">{#N/A,#N/A,FALSE,"표지목차"}</definedName>
    <definedName name="분" hidden="1">{#N/A,#N/A,FALSE,"이태원철근"}</definedName>
    <definedName name="분_1" hidden="1">{#N/A,#N/A,FALSE,"이태원철근"}</definedName>
    <definedName name="분_2" hidden="1">{#N/A,#N/A,FALSE,"이태원철근"}</definedName>
    <definedName name="분_3" hidden="1">{#N/A,#N/A,FALSE,"이태원철근"}</definedName>
    <definedName name="분_4" hidden="1">{#N/A,#N/A,FALSE,"이태원철근"}</definedName>
    <definedName name="분개표">{"서울냉천 3차( 5. 6-7).xls","Sheet1"}</definedName>
    <definedName name="분개표1">{"서울냉천 3차( 5. 6-7).xls","Sheet1"}</definedName>
    <definedName name="분개표9">{"서울냉천 3차( 5. 6-7).xls","Sheet1"}</definedName>
    <definedName name="분계">#REF!</definedName>
    <definedName name="분고">#REF!</definedName>
    <definedName name="분기" hidden="1">{#N/A,#N/A,FALSE,"BS";#N/A,#N/A,FALSE,"PL";#N/A,#N/A,FALSE,"처분";#N/A,#N/A,FALSE,"현금";#N/A,#N/A,FALSE,"매출";#N/A,#N/A,FALSE,"원가";#N/A,#N/A,FALSE,"경영"}</definedName>
    <definedName name="분기별" hidden="1">{#N/A,#N/A,TRUE,"Y생산";#N/A,#N/A,TRUE,"Y판매";#N/A,#N/A,TRUE,"Y총물량";#N/A,#N/A,TRUE,"Y능력";#N/A,#N/A,TRUE,"YKD"}</definedName>
    <definedName name="분당">#REF!</definedName>
    <definedName name="분당공" hidden="1">#REF!</definedName>
    <definedName name="분당공통">#REF!</definedName>
    <definedName name="분당공통0">#REF!</definedName>
    <definedName name="분당내역" hidden="1">#REF!</definedName>
    <definedName name="분당내역서" hidden="1">#REF!</definedName>
    <definedName name="분당대비">#REF!</definedName>
    <definedName name="분당물가" hidden="1">#REF!</definedName>
    <definedName name="분당보고">#REF!</definedName>
    <definedName name="분당시">#REF!</definedName>
    <definedName name="분당시행">#REF!</definedName>
    <definedName name="분당시행대비표">#REF!</definedName>
    <definedName name="분당시행문">#REF!</definedName>
    <definedName name="분당코">#REF!</definedName>
    <definedName name="분당코아" hidden="1">#REF!</definedName>
    <definedName name="분당코아공통비">#REF!</definedName>
    <definedName name="분당코아공통비다">#REF!</definedName>
    <definedName name="분당코아시행">#REF!</definedName>
    <definedName name="분당코아시행대비">#REF!</definedName>
    <definedName name="분당코아시행대비표">#REF!</definedName>
    <definedName name="분당코아시행표">#REF!</definedName>
    <definedName name="분당코아협조">#REF!</definedName>
    <definedName name="분당코아협조문">#REF!</definedName>
    <definedName name="분당협조" hidden="1">{#N/A,#N/A,FALSE,"이태원철근"}</definedName>
    <definedName name="분당협조_1" hidden="1">{#N/A,#N/A,FALSE,"이태원철근"}</definedName>
    <definedName name="분당협조_2" hidden="1">{#N/A,#N/A,FALSE,"이태원철근"}</definedName>
    <definedName name="분당협조_3" hidden="1">{#N/A,#N/A,FALSE,"이태원철근"}</definedName>
    <definedName name="분당협조_4" hidden="1">{#N/A,#N/A,FALSE,"이태원철근"}</definedName>
    <definedName name="분둘레">#REF!</definedName>
    <definedName name="분류">#N/A</definedName>
    <definedName name="분류버전" hidden="1">{"'PROFORMA'!$A$1:$H$120"}</definedName>
    <definedName name="분리">#REF!</definedName>
    <definedName name="분반경">#REF!</definedName>
    <definedName name="분배기">#REF!</definedName>
    <definedName name="분상부체적">#REF!</definedName>
    <definedName name="분석">#REF!</definedName>
    <definedName name="분석3" hidden="1">{#N/A,#N/A,FALSE,"현장 NCR 분석";#N/A,#N/A,FALSE,"현장품질감사";#N/A,#N/A,FALSE,"현장품질감사"}</definedName>
    <definedName name="분석4" hidden="1">{#N/A,#N/A,FALSE,"현장 NCR 분석";#N/A,#N/A,FALSE,"현장품질감사";#N/A,#N/A,FALSE,"현장품질감사"}</definedName>
    <definedName name="분석55" localSheetId="0">BlankMacro1</definedName>
    <definedName name="분석55">BlankMacro1</definedName>
    <definedName name="분석변경" hidden="1">{#N/A,#N/A,FALSE,"변경관리예산";#N/A,#N/A,FALSE,"변경장비예산";#N/A,#N/A,FALSE,"변경준설예산";#N/A,#N/A,FALSE,"변경철구예산"}</definedName>
    <definedName name="분석변경_1" hidden="1">{#N/A,#N/A,FALSE,"변경관리예산";#N/A,#N/A,FALSE,"변경장비예산";#N/A,#N/A,FALSE,"변경준설예산";#N/A,#N/A,FALSE,"변경철구예산"}</definedName>
    <definedName name="분석표" hidden="1">{#N/A,#N/A,FALSE,"사업총괄";#N/A,#N/A,FALSE,"장비사업";#N/A,#N/A,FALSE,"철구사업";#N/A,#N/A,FALSE,"준설사업"}</definedName>
    <definedName name="분수경">#REF!</definedName>
    <definedName name="분수고">#REF!</definedName>
    <definedName name="분수노">#REF!</definedName>
    <definedName name="분수재">#REF!</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 hidden="1">{#N/A,#N/A,FALSE,"이태원철근"}</definedName>
    <definedName name="분양금액">#REF!</definedName>
    <definedName name="분양내역" hidden="1">{#N/A,#N/A,FALSE,"현장 NCR 분석";#N/A,#N/A,FALSE,"현장품질감사";#N/A,#N/A,FALSE,"현장품질감사"}</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예측">#REF!</definedName>
    <definedName name="분전" localSheetId="0">BlankMacro1</definedName>
    <definedName name="분전">BlankMacro1</definedName>
    <definedName name="분전반" localSheetId="0">BlankMacro1</definedName>
    <definedName name="분전반">BlankMacro1</definedName>
    <definedName name="분전반1" localSheetId="0">BlankMacro1</definedName>
    <definedName name="분전반1">BlankMacro1</definedName>
    <definedName name="분전반제조총괄표" hidden="1">{"'건축내역'!$A$1:$L$413"}</definedName>
    <definedName name="분전함" localSheetId="0">BlankMacro1</definedName>
    <definedName name="분전함">BlankMacro1</definedName>
    <definedName name="분전함신설합계">#REF!</definedName>
    <definedName name="분종둘레">#REF!</definedName>
    <definedName name="분중량">#REF!</definedName>
    <definedName name="분체적">#REF!</definedName>
    <definedName name="분표면적">#REF!</definedName>
    <definedName name="분할">#REF!</definedName>
    <definedName name="분할개요1" hidden="1">#REF!</definedName>
    <definedName name="불광동" hidden="1">{#N/A,#N/A,FALSE,"포장2"}</definedName>
    <definedName name="불도자15경">#REF!</definedName>
    <definedName name="불도자15노무">#REF!</definedName>
    <definedName name="불도자15재료">#REF!</definedName>
    <definedName name="불두화10노무">#REF!</definedName>
    <definedName name="불두화10재료">#REF!</definedName>
    <definedName name="불두화12노무">#REF!</definedName>
    <definedName name="불두화12재료">#REF!</definedName>
    <definedName name="붉은병꽃">#REF!</definedName>
    <definedName name="붕" hidden="1">{#N/A,#N/A,FALSE,"현장 NCR 분석";#N/A,#N/A,FALSE,"현장품질감사";#N/A,#N/A,FALSE,"현장품질감사"}</definedName>
    <definedName name="붙임자료">{"'정산내역서'!$A$1:$I$35","'정산서(절.성토부)'!$A$1:$Q$17","'정산서(교량부)'!$A$1:$Q$84","'총괄표'!$A$1:$M$12","'시행현황'!$A$1:$G$12","'표지'!$A$1:$N$27","'정산서(절.성토부)'!$A$3:$Q$7"}</definedName>
    <definedName name="뷰" hidden="1">{#N/A,#N/A,FALSE,"단가표지"}</definedName>
    <definedName name="뷰_1" hidden="1">{#N/A,#N/A,FALSE,"단가표지"}</definedName>
    <definedName name="뷰_2" hidden="1">{#N/A,#N/A,FALSE,"단가표지"}</definedName>
    <definedName name="뷰_3" hidden="1">{#N/A,#N/A,FALSE,"단가표지"}</definedName>
    <definedName name="브02간재구조물">#REF!</definedName>
    <definedName name="브02노무">#REF!</definedName>
    <definedName name="브02노무야간">#REF!</definedName>
    <definedName name="브02손료">#REF!</definedName>
    <definedName name="브04간재구조물">#REF!</definedName>
    <definedName name="브04노무">#REF!</definedName>
    <definedName name="브04노무야간">#REF!</definedName>
    <definedName name="브04손료">#REF!</definedName>
    <definedName name="브라인펌프">#REF!/(#REF!-1)</definedName>
    <definedName name="브라켓길이1">#REF!</definedName>
    <definedName name="브라켓길이2">#REF!</definedName>
    <definedName name="브라켓높이1">#REF!</definedName>
    <definedName name="브라켓높이2">#REF!</definedName>
    <definedName name="브라켓폭">#REF!</definedName>
    <definedName name="브레이드">#REF!</definedName>
    <definedName name="브이c">#REF!</definedName>
    <definedName name="블럭2">#REF!</definedName>
    <definedName name="블럭조서" hidden="1">{#N/A,#N/A,FALSE,"2~8번"}</definedName>
    <definedName name="블레이드">#REF!</definedName>
    <definedName name="블록H">#REF!</definedName>
    <definedName name="블록V">#REF!</definedName>
    <definedName name="비">#REF!</definedName>
    <definedName name="備_________考">#REF!</definedName>
    <definedName name="비______목">#N/A</definedName>
    <definedName name="비___계___공">#REF!</definedName>
    <definedName name="비__계__공">#REF!</definedName>
    <definedName name="비__고">#REF!</definedName>
    <definedName name="비_계_공">#REF!</definedName>
    <definedName name="비_고">#REF!</definedName>
    <definedName name="비계">#REF!</definedName>
    <definedName name="비계1">#REF!</definedName>
    <definedName name="비계2">#REF!</definedName>
    <definedName name="비계2004">#REF!</definedName>
    <definedName name="비계공">#REF!</definedName>
    <definedName name="비계공001">#REF!</definedName>
    <definedName name="비계공002">#REF!</definedName>
    <definedName name="비계공011">#REF!</definedName>
    <definedName name="비계공982">#REF!</definedName>
    <definedName name="비계공991">#REF!</definedName>
    <definedName name="비계공992">#REF!</definedName>
    <definedName name="비계노">#REF!</definedName>
    <definedName name="비계재">#REF!</definedName>
    <definedName name="비고">#N/A</definedName>
    <definedName name="비과세" hidden="1">#REF!</definedName>
    <definedName name="비교">#REF!</definedName>
    <definedName name="비교5개">#REF!</definedName>
    <definedName name="비교내역서" hidden="1">{#N/A,#N/A,FALSE,"3가";#N/A,#N/A,FALSE,"3나";#N/A,#N/A,FALSE,"3다"}</definedName>
    <definedName name="비교변경">#REF!</definedName>
    <definedName name="비교본" hidden="1">{#N/A,#N/A,FALSE,"CCTV"}</definedName>
    <definedName name="비교사본">#REF!</definedName>
    <definedName name="비교사장님">#REF!,#REF!</definedName>
    <definedName name="비교표">#REF!</definedName>
    <definedName name="비교표1" hidden="1">255</definedName>
    <definedName name="비교표2" hidden="1">#REF!</definedName>
    <definedName name="비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비닐시트깔기">#REF!</definedName>
    <definedName name="비닐시트깔기노">#REF!</definedName>
    <definedName name="비디오폰">#N/A</definedName>
    <definedName name="비록도" hidden="1">{#N/A,#N/A,FALSE,"운반시간"}</definedName>
    <definedName name="비료">#REF!</definedName>
    <definedName name="비목1">#REF!</definedName>
    <definedName name="비목10">#N/A</definedName>
    <definedName name="비목11">#N/A</definedName>
    <definedName name="비목2">#REF!</definedName>
    <definedName name="비목3">#REF!</definedName>
    <definedName name="비목4">#REF!</definedName>
    <definedName name="비목군분류표">#REF!</definedName>
    <definedName name="비목군집계" hidden="1">#REF!</definedName>
    <definedName name="비목별금액" hidden="1">{#N/A,#N/A,FALSE,"단가표지"}</definedName>
    <definedName name="비목별금액1" hidden="1">{#N/A,#N/A,FALSE,"조골재"}</definedName>
    <definedName name="비봉" hidden="1">{#N/A,#N/A,FALSE,"전열산출서"}</definedName>
    <definedName name="비비4노무">#REF!</definedName>
    <definedName name="비비4재료">#REF!</definedName>
    <definedName name="비비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비비추">#REF!</definedName>
    <definedName name="비빕">#REF!</definedName>
    <definedName name="비상" hidden="1">{#N/A,#N/A,FALSE,"물량산출"}</definedName>
    <definedName name="비온다" hidden="1">{#N/A,#N/A,FALSE,"골재소요량";#N/A,#N/A,FALSE,"골재소요량"}</definedName>
    <definedName name="비용" hidden="1">{#N/A,#N/A,FALSE,"기안지";#N/A,#N/A,FALSE,"통신지"}</definedName>
    <definedName name="비유다">250000</definedName>
    <definedName name="비율">#REF!</definedName>
    <definedName name="비인">#REF!</definedName>
    <definedName name="비점오염원" hidden="1">{#N/A,#N/A,FALSE,"현장 NCR 분석";#N/A,#N/A,FALSE,"현장품질감사";#N/A,#N/A,FALSE,"현장품질감사"}</definedName>
    <definedName name="비주대">#N/A</definedName>
    <definedName name="비중">0.625</definedName>
    <definedName name="비키">#REF!</definedName>
    <definedName name="비틂1">#REF!</definedName>
    <definedName name="비파괴시험공">#REF!</definedName>
    <definedName name="비파괴시험공노임">#REF!</definedName>
    <definedName name="비품내용연수">#REF!</definedName>
    <definedName name="비품비">#REF!</definedName>
    <definedName name="비품상각률">#REF!</definedName>
    <definedName name="비품임차1" hidden="1">#REF!</definedName>
    <definedName name="빈양식" hidden="1">{#N/A,#N/A,FALSE,"CCTV"}</definedName>
    <definedName name="빈칸">#REF!</definedName>
    <definedName name="빌딩" hidden="1">{#N/A,#N/A,FALSE,"CCTV"}</definedName>
    <definedName name="빌탑">#REF!</definedName>
    <definedName name="빔공사" hidden="1">{#N/A,#N/A,FALSE,"현장 NCR 분석";#N/A,#N/A,FALSE,"현장품질감사";#N/A,#N/A,FALSE,"현장품질감사"}</definedName>
    <definedName name="빔길이">#REF!</definedName>
    <definedName name="빔길이1">#REF!</definedName>
    <definedName name="빔이음">#REF!</definedName>
    <definedName name="빔이음1">#REF!</definedName>
    <definedName name="빔제작단가개정표준도적용">{"'자리배치도'!$AG$1:$CI$28"}</definedName>
    <definedName name="빗" hidden="1">#REF!</definedName>
    <definedName name="빗물받이1">#REF!</definedName>
    <definedName name="빗물받이2">#REF!</definedName>
    <definedName name="빗물받이블럭">#REF!</definedName>
    <definedName name="빙" hidden="1">{#N/A,#N/A,FALSE,"견적갑지";#N/A,#N/A,FALSE,"총괄표";#N/A,#N/A,FALSE,"철골공사";#N/A,#N/A,FALSE,"토목공사";#N/A,#N/A,FALSE,"판넬전기공사"}</definedName>
    <definedName name="빙추" hidden="1">{#N/A,#N/A,FALSE,"견적갑지";#N/A,#N/A,FALSE,"총괄표";#N/A,#N/A,FALSE,"철골공사";#N/A,#N/A,FALSE,"토목공사";#N/A,#N/A,FALSE,"판넬전기공사"}</definedName>
    <definedName name="빙축열" hidden="1">{#N/A,#N/A,FALSE,"견적갑지";#N/A,#N/A,FALSE,"총괄표";#N/A,#N/A,FALSE,"철골공사";#N/A,#N/A,FALSE,"토목공사";#N/A,#N/A,FALSE,"판넬전기공사"}</definedName>
    <definedName name="빙축열주요자재" hidden="1">{#N/A,#N/A,FALSE,"견적갑지";#N/A,#N/A,FALSE,"총괄표";#N/A,#N/A,FALSE,"철골공사";#N/A,#N/A,FALSE,"토목공사";#N/A,#N/A,FALSE,"판넬전기공사"}</definedName>
    <definedName name="ㅂㄳㅂㄷ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ㄳㅂㅅ">#N/A</definedName>
    <definedName name="빵" hidden="1">{#N/A,#N/A,FALSE,"기안지";#N/A,#N/A,FALSE,"통신지"}</definedName>
    <definedName name="빵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빵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빵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빼기">#REF!</definedName>
    <definedName name="뿅" hidden="1">{#N/A,#N/A,FALSE,"구조1"}</definedName>
    <definedName name="뿌리돌림보통이눕">#REF!</definedName>
    <definedName name="뿌리돌림보통인부">#REF!</definedName>
    <definedName name="뿌리돌림조경공">#REF!</definedName>
    <definedName name="쁑" hidden="1">{#N/A,#N/A,FALSE,"배수1"}</definedName>
    <definedName name="ㅅ" hidden="1">{#N/A,#N/A,TRUE,"토적및재료집계";#N/A,#N/A,TRUE,"토적및재료집계";#N/A,#N/A,TRUE,"단위량"}</definedName>
    <definedName name="ㅅ_1" hidden="1">{#N/A,#N/A,FALSE,"이태원철근"}</definedName>
    <definedName name="ㅅ_2" hidden="1">{#N/A,#N/A,FALSE,"이태원철근"}</definedName>
    <definedName name="ㅅ_3" hidden="1">{#N/A,#N/A,FALSE,"이태원철근"}</definedName>
    <definedName name="ㅅ_4" hidden="1">{#N/A,#N/A,FALSE,"이태원철근"}</definedName>
    <definedName name="ㅅ.." hidden="1">{#N/A,#N/A,FALSE,"골재소요량";#N/A,#N/A,FALSE,"골재소요량"}</definedName>
    <definedName name="ㅅ54ㅛㄳ" hidden="1">#REF!</definedName>
    <definedName name="ㅅㄱ" hidden="1">#REF!</definedName>
    <definedName name="ㅅㄱㄱ" hidden="1">{#N/A,#N/A,FALSE,"현장 NCR 분석";#N/A,#N/A,FALSE,"현장품질감사";#N/A,#N/A,FALSE,"현장품질감사"}</definedName>
    <definedName name="ㅅㄱㄷ">#REF!</definedName>
    <definedName name="ㅅㄱㄷㅅㄱㄷ" hidden="1">{#N/A,#N/A,FALSE,"구조2"}</definedName>
    <definedName name="ㅅㄱㄷㅅㄷㄱ" hidden="1">{#N/A,#N/A,FALSE,"단가표지"}</definedName>
    <definedName name="ㅅㄱㄷㅅㄷㄳ" hidden="1">{#N/A,#N/A,FALSE,"골재소요량";#N/A,#N/A,FALSE,"골재소요량"}</definedName>
    <definedName name="ㅅㄱㅈㄴ" hidden="1">{#N/A,#N/A,FALSE,"운반시간"}</definedName>
    <definedName name="ㅅㄱㅎㅅㅎ" hidden="1">{#N/A,#N/A,FALSE,"운반시간"}</definedName>
    <definedName name="ㅅㄱ혿ㄱㅎ" hidden="1">{#N/A,#N/A,FALSE,"Sheet6"}</definedName>
    <definedName name="ㅅㄱㅎㄳ호ㅛ" hidden="1">{#N/A,#N/A,FALSE,"운반시간"}</definedName>
    <definedName name="ㅅ간" localSheetId="0">BlankMacro1</definedName>
    <definedName name="ㅅ간">BlankMacro1</definedName>
    <definedName name="ㅅㄱㅓ">#REF!</definedName>
    <definedName name="ㅅㄱㅓ교ㅓㄱㅓ">#N/A</definedName>
    <definedName name="ㅅㄱㅓㅅㄱㅓㄳㅓㄱ서ㅓ">#REF!</definedName>
    <definedName name="ㅅ거ㅗ혓ㅇ" hidden="1">{#N/A,#N/A,FALSE,"표지목차"}</definedName>
    <definedName name="ㅅ걱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ㅑㅕ숒ㅈㄷ" hidden="1">{#N/A,#N/A,FALSE,"운반시간"}</definedName>
    <definedName name="ㅅ겨ㅗ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ㄱㅗ">#N/A</definedName>
    <definedName name="ㅅㄱㅗㄱ">#N/A</definedName>
    <definedName name="ㅅ고고ㅗ고" hidden="1">{#N/A,#N/A,FALSE,"이태원철근"}</definedName>
    <definedName name="ㅅ고죶거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고ㅠ류" hidden="1">{#N/A,#N/A,FALSE,"표지목차"}</definedName>
    <definedName name="ㅅ곣ㅈ궈ㅕ" hidden="1">#REF!</definedName>
    <definedName name="ㅅ곳ㄴ고" hidden="1">{#N/A,#N/A,FALSE,"2~8번"}</definedName>
    <definedName name="ㅅ교ㄳ" hidden="1">{#N/A,#N/A,FALSE,"손익표지";#N/A,#N/A,FALSE,"손익계산";#N/A,#N/A,FALSE,"일반관리비";#N/A,#N/A,FALSE,"영업외수익";#N/A,#N/A,FALSE,"영업외비용";#N/A,#N/A,FALSE,"매출액";#N/A,#N/A,FALSE,"요약손익";#N/A,#N/A,FALSE,"요약대차";#N/A,#N/A,FALSE,"매출채권현황";#N/A,#N/A,FALSE,"매출채권명세"}</definedName>
    <definedName name="ㅅ굔ㄱㄷ" hidden="1">{#N/A,#N/A,FALSE,"Sheet6"}</definedName>
    <definedName name="ㅅ굲유" hidden="1">{#N/A,#N/A,FALSE,"조골재"}</definedName>
    <definedName name="ㅅ그ㅗㅇ78ㅅㅎㄱ" hidden="1">{#N/A,#N/A,FALSE,"2~8번"}</definedName>
    <definedName name="ㅅㄷ" hidden="1">{"'Sheet1'!$L$16"}</definedName>
    <definedName name="ㅅㄷㄱ" hidden="1">{#N/A,#N/A,FALSE,"현장 NCR 분석";#N/A,#N/A,FALSE,"현장품질감사";#N/A,#N/A,FALSE,"현장품질감사"}</definedName>
    <definedName name="ㅅㄷ여ㅓㅜㅛㅡㅛㄷ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다다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뎌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ㅏㅏㅏ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ㅑ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ㅓ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ㅕㅛ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ㅡ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ㅐㅑㅅ뎌ㅐ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닫"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죠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ㅑ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ㅜ드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ㄷㄳㄷㄱ">#N/A</definedName>
    <definedName name="ㅅㄷㄳㅈㄷㄱ" hidden="1">#REF!</definedName>
    <definedName name="ㅅㄹ" hidden="1">{#N/A,#N/A,FALSE,"지침";#N/A,#N/A,FALSE,"환경분석";#N/A,#N/A,FALSE,"Sheet16"}</definedName>
    <definedName name="ㅅㄹ표ㅜ" hidden="1">{#N/A,#N/A,FALSE,"혼합골재"}</definedName>
    <definedName name="ㅅㅅ" hidden="1">#REF!</definedName>
    <definedName name="ㅅㅅㄱㅓ">#REF!</definedName>
    <definedName name="ㅅㅅㄷ" hidden="1">{#N/A,#N/A,FALSE,"혼합골재"}</definedName>
    <definedName name="ㅅㅅㅅ" hidden="1">{#N/A,#N/A,FALSE,"BS";#N/A,#N/A,FALSE,"PL";#N/A,#N/A,FALSE,"처분";#N/A,#N/A,FALSE,"현금";#N/A,#N/A,FALSE,"매출";#N/A,#N/A,FALSE,"원가";#N/A,#N/A,FALSE,"경영"}</definedName>
    <definedName name="ㅅㅅㅅㅅ" hidden="1">{#N/A,#N/A,FALSE,"BS";#N/A,#N/A,FALSE,"PL";#N/A,#N/A,FALSE,"처분";#N/A,#N/A,FALSE,"현금";#N/A,#N/A,FALSE,"매출";#N/A,#N/A,FALSE,"원가";#N/A,#N/A,FALSE,"경영"}</definedName>
    <definedName name="ㅅㅅㅅㅅㅅ" hidden="1">{#N/A,#N/A,FALSE,"BS";#N/A,#N/A,FALSE,"PL";#N/A,#N/A,FALSE,"처분";#N/A,#N/A,FALSE,"현금";#N/A,#N/A,FALSE,"매출";#N/A,#N/A,FALSE,"원가";#N/A,#N/A,FALSE,"경영"}</definedName>
    <definedName name="ㅅㅅㅅㅅㅅㅅ" hidden="1">{#N/A,#N/A,FALSE,"BS";#N/A,#N/A,FALSE,"PL";#N/A,#N/A,FALSE,"처분";#N/A,#N/A,FALSE,"현금";#N/A,#N/A,FALSE,"매출";#N/A,#N/A,FALSE,"원가";#N/A,#N/A,FALSE,"경영"}</definedName>
    <definedName name="ㅅㅅㅅㅅㅅㅅ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ㅅㅅㅅㅅㅅㅅㅅㅅㅅㅅ" hidden="1">{#N/A,#N/A,FALSE,"골재소요량";#N/A,#N/A,FALSE,"골재소요량"}</definedName>
    <definedName name="ㅅㅅㅆㅆㅆ" hidden="1">{#N/A,#N/A,FALSE,"표지"}</definedName>
    <definedName name="ㅅ사" hidden="1">{#N/A,#N/A,FALSE,"단가표지"}</definedName>
    <definedName name="ㅅ석축공">#REF!</definedName>
    <definedName name="ㅅ숃쇼됻숃"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여ㅛ윣ㄴ" hidden="1">{#N/A,#N/A,FALSE,"조골재"}</definedName>
    <definedName name="ㅅ융ㄴㄳ" hidden="1">{#N/A,#N/A,FALSE,"조골재"}</definedName>
    <definedName name="ㅅㅈㅅㄱㄷㅂ" hidden="1">#REF!</definedName>
    <definedName name="ㅅ죠ㅓㅓㄷ교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ㅎㄱㄷㅅㄷㄱ" hidden="1">{#N/A,#N/A,FALSE,"표지목차"}</definedName>
    <definedName name="ㅅㅎㄱ소" hidden="1">{#N/A,#N/A,FALSE,"표지목차"}</definedName>
    <definedName name="ㅅㅎㄱ솟ㄱhhrt">#REF!</definedName>
    <definedName name="ㅅㅎ공ㅋ" hidden="1">{#N/A,#N/A,FALSE,"단가표지"}</definedName>
    <definedName name="ㅅ허ㅗ형ㄽ" hidden="1">{#N/A,#N/A,FALSE,"단가표지"}</definedName>
    <definedName name="ㅅ혓" hidden="1">{#N/A,#N/A,FALSE,"운반시간"}</definedName>
    <definedName name="ㅅ호샤ㅏㅅㅎ" hidden="1">{#N/A,#N/A,FALSE,"골재소요량";#N/A,#N/A,FALSE,"골재소요량"}</definedName>
    <definedName name="ㅅ혻" hidden="1">{#N/A,#N/A,FALSE,"단가표지"}</definedName>
    <definedName name="사" hidden="1">#REF!</definedName>
    <definedName name="사__급___자__재__비">#N/A</definedName>
    <definedName name="사1">{#N/A,#N/A,FALSE,"지침";#N/A,#N/A,FALSE,"환경분석";#N/A,#N/A,FALSE,"Sheet16"}</definedName>
    <definedName name="사22">#REF!</definedName>
    <definedName name="사가돛">#N/A</definedName>
    <definedName name="사각수로관">#REF!</definedName>
    <definedName name="사계계약고">#REF!</definedName>
    <definedName name="사계비고">#REF!</definedName>
    <definedName name="사계소화">#REF!</definedName>
    <definedName name="사계전월실적">#REF!</definedName>
    <definedName name="사계투입">#REF!</definedName>
    <definedName name="사계현재실적">#REF!</definedName>
    <definedName name="사고뭉치" hidden="1">{#N/A,#N/A,FALSE,"현장 NCR 분석";#N/A,#N/A,FALSE,"현장품질감사";#N/A,#N/A,FALSE,"현장품질감사"}</definedName>
    <definedName name="사고세부" hidden="1">{#N/A,#N/A,TRUE,"대외공문"}</definedName>
    <definedName name="사고세부_1" hidden="1">{#N/A,#N/A,TRUE,"대외공문"}</definedName>
    <definedName name="사고세부_2" hidden="1">{#N/A,#N/A,TRUE,"대외공문"}</definedName>
    <definedName name="사고세부_3" hidden="1">{#N/A,#N/A,TRUE,"대외공문"}</definedName>
    <definedName name="사공_배포함">#N/A</definedName>
    <definedName name="사공구기계경비">#REF!</definedName>
    <definedName name="사공구부가가치세">#REF!</definedName>
    <definedName name="사공구직영비">#REF!</definedName>
    <definedName name="사공구직접노무비">#REF!</definedName>
    <definedName name="사공구직접재료비">#REF!</definedName>
    <definedName name="사구러" hidden="1">{#N/A,#N/A,FALSE,"현장 NCR 분석";#N/A,#N/A,FALSE,"현장품질감사";#N/A,#N/A,FALSE,"현장품질감사"}</definedName>
    <definedName name="사급" hidden="1">{#N/A,#N/A,FALSE,"배수2"}</definedName>
    <definedName name="사급사정율">83%</definedName>
    <definedName name="사급자재">#REF!</definedName>
    <definedName name="사급자재1">#REF!</definedName>
    <definedName name="사급자재2">#REF!</definedName>
    <definedName name="사급자재대">#REF!</definedName>
    <definedName name="사급자재비">#REF!</definedName>
    <definedName name="사급자재집계표" localSheetId="0">BlankMacro1</definedName>
    <definedName name="사급자재집계표">BlankMacro1</definedName>
    <definedName name="사기성" hidden="1">{#N/A,#N/A,FALSE,"손익표지";#N/A,#N/A,FALSE,"손익계산";#N/A,#N/A,FALSE,"일반관리비";#N/A,#N/A,FALSE,"영업외수익";#N/A,#N/A,FALSE,"영업외비용";#N/A,#N/A,FALSE,"매출액";#N/A,#N/A,FALSE,"요약손익";#N/A,#N/A,FALSE,"요약대차";#N/A,#N/A,FALSE,"매출채권현황";#N/A,#N/A,FALSE,"매출채권명세"}</definedName>
    <definedName name="사기성라벨" hidden="1">{#N/A,#N/A,FALSE,"손익표지";#N/A,#N/A,FALSE,"손익계산";#N/A,#N/A,FALSE,"일반관리비";#N/A,#N/A,FALSE,"영업외수익";#N/A,#N/A,FALSE,"영업외비용";#N/A,#N/A,FALSE,"매출액";#N/A,#N/A,FALSE,"요약손익";#N/A,#N/A,FALSE,"요약대차";#N/A,#N/A,FALSE,"매출채권현황";#N/A,#N/A,FALSE,"매출채권명세"}</definedName>
    <definedName name="사기우릿" hidden="1">{#N/A,#N/A,FALSE,"운반시간"}</definedName>
    <definedName name="사너리아" hidden="1">{#N/A,#N/A,FALSE,"2~8번"}</definedName>
    <definedName name="사다리">#REF!</definedName>
    <definedName name="사당가치">OFFSET(#REF!,0,0,1,COUNTA(#REF!))</definedName>
    <definedName name="사당공실">OFFSET(#REF!,0,0,1,COUNT(#REF!))</definedName>
    <definedName name="사당수익률">OFFSET(#REF!,0,0,1,COUNTA(#REF!))</definedName>
    <definedName name="사당수입">OFFSET(#REF!,0,0,1,COUNTA(#REF!))</definedName>
    <definedName name="사당지출">OFFSET(#REF!,0,0,1,COUNTA(#REF!))</definedName>
    <definedName name="사당NOI">OFFSET(#REF!,0,0,1,COUNTA(#REF!))</definedName>
    <definedName name="사람"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람들" hidden="1">{#N/A,#N/A,FALSE,"2~8번"}</definedName>
    <definedName name="사람아" hidden="1">{#N/A,#N/A,FALSE,"2~8번"}</definedName>
    <definedName name="사랑" hidden="1">{#N/A,#N/A,FALSE,"현장 NCR 분석";#N/A,#N/A,FALSE,"현장품질감사";#N/A,#N/A,FALSE,"현장품질감사"}</definedName>
    <definedName name="사랑나라" hidden="1">{#N/A,#N/A,FALSE,"생산성";#N/A,#N/A,FALSE,"인력1";#N/A,#N/A,FALSE,"인력2";#N/A,#N/A,FALSE,"인력3";#N/A,#N/A,FALSE,"인건1";#N/A,#N/A,FALSE,"인건2";#N/A,#N/A,FALSE,"인건3";#N/A,#N/A,FALSE,"인원증감";#N/A,#N/A,FALSE,"인건증감";#N/A,#N/A,FALSE,"표지등"}</definedName>
    <definedName name="사랑해요" hidden="1">{#N/A,#N/A,FALSE,"표지목차"}</definedName>
    <definedName name="사루아" hidden="1">{#N/A,#N/A,FALSE,"단가표지"}</definedName>
    <definedName name="사리도경">#REF!</definedName>
    <definedName name="사리도노무">#REF!</definedName>
    <definedName name="사리도재료">#REF!</definedName>
    <definedName name="사리현2">{"'광피스표'!$A$3:$N$54"}</definedName>
    <definedName name="사무동" hidden="1">#REF!</definedName>
    <definedName name="사무소">#REF!</definedName>
    <definedName name="사무용품">#REF!</definedName>
    <definedName name="사무조직">#REF!</definedName>
    <definedName name="사방품셈1" hidden="1">#REF!</definedName>
    <definedName name="사방품셈별표" hidden="1">#REF!</definedName>
    <definedName name="사본">#N/A</definedName>
    <definedName name="사사" hidden="1">{#N/A,#N/A,FALSE,"운반시간"}</definedName>
    <definedName name="사사노무">#REF!</definedName>
    <definedName name="사사사">#N/A</definedName>
    <definedName name="사사사사">#N/A</definedName>
    <definedName name="사사재료">#REF!</definedName>
    <definedName name="사석채움면적산출" hidden="1">{#N/A,#N/A,FALSE,"2~8번"}</definedName>
    <definedName name="사업" hidden="1">{#N/A,#N/A,FALSE,"이태원철근"}</definedName>
    <definedName name="사업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#REF!</definedName>
    <definedName name="사업관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년도1">#REF!</definedName>
    <definedName name="사업부양식2" hidden="1">#REF!</definedName>
    <definedName name="사업비" hidden="1">{#N/A,#N/A,FALSE,"사업총괄";#N/A,#N/A,FALSE,"장비사업";#N/A,#N/A,FALSE,"철구사업";#N/A,#N/A,FALSE,"준설사업"}</definedName>
    <definedName name="사업비_현황">#REF!</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사업성분석">#REF!</definedName>
    <definedName name="사업소세">#REF!</definedName>
    <definedName name="사업수지">#REF!</definedName>
    <definedName name="사업연도2">#REF!</definedName>
    <definedName name="사업의">#REF!</definedName>
    <definedName name="사업자등록번호">#REF!</definedName>
    <definedName name="사업장소재지">#REF!</definedName>
    <definedName name="사업추진현황" hidden="1">{#N/A,#N/A,FALSE,"전력간선"}</definedName>
    <definedName name="사업현황" hidden="1">{#N/A,#N/A,FALSE,"생산성";#N/A,#N/A,FALSE,"인력1";#N/A,#N/A,FALSE,"인력2";#N/A,#N/A,FALSE,"인력3";#N/A,#N/A,FALSE,"인건1";#N/A,#N/A,FALSE,"인건2";#N/A,#N/A,FALSE,"인건3";#N/A,#N/A,FALSE,"인원증감";#N/A,#N/A,FALSE,"인건증감";#N/A,#N/A,FALSE,"표지등"}</definedName>
    <definedName name="사옥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용램프">#N/A</definedName>
    <definedName name="사우나.도금">#REF!</definedName>
    <definedName name="사원">#REF!</definedName>
    <definedName name="사원갑_인당복리후생비">#REF!</definedName>
    <definedName name="사원명부">OFFSET(#REF!,,,MAX(#REF!))</definedName>
    <definedName name="사원을_인당복리후생비">#REF!</definedName>
    <definedName name="사원GROSS">#N/A</definedName>
    <definedName name="사월">#REF!</definedName>
    <definedName name="사유서">#REF!</definedName>
    <definedName name="사이지">#REF!</definedName>
    <definedName name="사인안내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인일위">#REF!</definedName>
    <definedName name="사자" hidden="1">{#N/A,#N/A,FALSE,"운반시간"}</definedName>
    <definedName name="사전">#REF!</definedName>
    <definedName name="사전공" hidden="1">#REF!</definedName>
    <definedName name="사전공사" hidden="1">#REF!</definedName>
    <definedName name="사전신청" hidden="1">#REF!</definedName>
    <definedName name="사정율">100%</definedName>
    <definedName name="사제좌안6부" hidden="1">{#N/A,#N/A,FALSE,"배수1"}</definedName>
    <definedName name="사제좌안6부1" hidden="1">{#N/A,#N/A,FALSE,"배수1"}</definedName>
    <definedName name="사직서" hidden="1">{#N/A,#N/A,FALSE,"혼합골재"}</definedName>
    <definedName name="사진">#REF!</definedName>
    <definedName name="사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진933">#REF!,#REF!</definedName>
    <definedName name="사진대">#REF!</definedName>
    <definedName name="사진대장">{"'중기작업1'!$A$1:$V$18"}</definedName>
    <definedName name="사진대지">#REF!</definedName>
    <definedName name="사진대지1" hidden="1">#REF!</definedName>
    <definedName name="사진대지2">#REF!</definedName>
    <definedName name="사진대지5">#N/A</definedName>
    <definedName name="사진첩" hidden="1">{"'Sheet1'!$A$1:$H$49"}</definedName>
    <definedName name="사차직접노무비">#REF!</definedName>
    <definedName name="사창1_40">#REF!</definedName>
    <definedName name="사창2_25">#REF!</definedName>
    <definedName name="사창2_40">#REF!</definedName>
    <definedName name="사창3_25">#REF!</definedName>
    <definedName name="사철3노무">#REF!</definedName>
    <definedName name="사철3재료">#REF!</definedName>
    <definedName name="사철4노무">#REF!</definedName>
    <definedName name="사철4재료">#REF!</definedName>
    <definedName name="사철6노무">#REF!</definedName>
    <definedName name="사철6재료">#REF!</definedName>
    <definedName name="사철8노무">#REF!</definedName>
    <definedName name="사철8재료">#REF!</definedName>
    <definedName name="사철나무H1.2">#REF!</definedName>
    <definedName name="사토장." hidden="1">#REF!</definedName>
    <definedName name="사팔">#REF!</definedName>
    <definedName name="사하중">#REF!</definedName>
    <definedName name="사하중1">#REF!</definedName>
    <definedName name="사하중2">#REF!</definedName>
    <definedName name="사하중3">#REF!</definedName>
    <definedName name="사하중4">#REF!</definedName>
    <definedName name="사하중도">#REF!</definedName>
    <definedName name="사하중콘">#REF!</definedName>
    <definedName name="사호" hidden="1">{#N/A,#N/A,FALSE,"이태원철근"}</definedName>
    <definedName name="사호표">#REF!</definedName>
    <definedName name="사호ㅕㅅ" hidden="1">{#N/A,#N/A,FALSE,"골재소요량";#N/A,#N/A,FALSE,"골재소요량"}</definedName>
    <definedName name="사호ㅗㄹㅇㅇ" hidden="1">{#N/A,#N/A,FALSE,"운반시간"}</definedName>
    <definedName name="사후관리비" hidden="1">{#N/A,#N/A,FALSE,"지침";#N/A,#N/A,FALSE,"환경분석";#N/A,#N/A,FALSE,"Sheet16"}</definedName>
    <definedName name="사후환경조사">#REF!</definedName>
    <definedName name="사ㅓ다ㅓ더ㅛㅓㅛ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ㅓ랴헛" hidden="1">{#N/A,#N/A,FALSE,"조골재"}</definedName>
    <definedName name="사ㅓ향" hidden="1">{#N/A,#N/A,FALSE,"단가표지"}</definedName>
    <definedName name="사ㅓ혀쇽ㄷ" hidden="1">{#N/A,#N/A,FALSE,"단가표지"}</definedName>
    <definedName name="사ㅓ호ㅑㅗ" hidden="1">{#N/A,#N/A,FALSE,"단가표지"}</definedName>
    <definedName name="사ㅓㅏㅎ" hidden="1">{#N/A,#N/A,FALSE,"단가표지"}</definedName>
    <definedName name="사ㅓㅗㅛ" hidden="1">{#N/A,#N/A,FALSE,"단가표지"}</definedName>
    <definedName name="사ㅓㅚ" hidden="1">{#N/A,#N/A,FALSE,"2~8번"}</definedName>
    <definedName name="사ㅗ혓" hidden="1">{#N/A,#N/A,FALSE,"혼합골재"}</definedName>
    <definedName name="사ㅛ셔ㅓ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ㅣㅓㅎㅅ" hidden="1">{#N/A,#N/A,FALSE,"골재소요량";#N/A,#N/A,FALSE,"골재소요량"}</definedName>
    <definedName name="삭제">#REF!,#REF!</definedName>
    <definedName name="산" localSheetId="0">BlankMacro1</definedName>
    <definedName name="산">BlankMacro1</definedName>
    <definedName name="산____식">#REF!</definedName>
    <definedName name="산근">#REF!</definedName>
    <definedName name="산근표지" hidden="1">{"'제10장(표)'!$A$5:$L$10"}</definedName>
    <definedName name="산남" hidden="1">{#N/A,#N/A,FALSE,"Sheet1"}</definedName>
    <definedName name="산벗">#REF!</definedName>
    <definedName name="산벽토공" hidden="1">{#N/A,#N/A,FALSE,"포장단가"}</definedName>
    <definedName name="산보">#REF!</definedName>
    <definedName name="산산" hidden="1">{#N/A,#N/A,TRUE,"Y생산";#N/A,#N/A,TRUE,"Y판매";#N/A,#N/A,TRUE,"Y총물량";#N/A,#N/A,TRUE,"Y능력";#N/A,#N/A,TRUE,"YKD"}</definedName>
    <definedName name="산성비" hidden="1">{#N/A,#N/A,FALSE,"신청통보";#N/A,#N/A,FALSE,"기성확인서";#N/A,#N/A,FALSE,"기성내역서"}</definedName>
    <definedName name="산소">#REF!</definedName>
    <definedName name="산수유5노무">#REF!</definedName>
    <definedName name="산수유5재료">#REF!</definedName>
    <definedName name="산수유9노무">#REF!</definedName>
    <definedName name="산수유9재료">#REF!</definedName>
    <definedName name="산업">#REF!</definedName>
    <definedName name="산재">#REF!</definedName>
    <definedName name="산재1">#REF!</definedName>
    <definedName name="산재2">#REF!</definedName>
    <definedName name="산재보험">1.3%</definedName>
    <definedName name="산재보험료">#REF!</definedName>
    <definedName name="산재보험료_산식">#N/A</definedName>
    <definedName name="산재보험료요율">#REF!</definedName>
    <definedName name="산재보험료율">#REF!</definedName>
    <definedName name="산재보험료표">#REF!</definedName>
    <definedName name="산재처리" hidden="1">{#N/A,#N/A,FALSE,"운반시간"}</definedName>
    <definedName name="산재처리다" hidden="1">{#N/A,#N/A,FALSE,"단가표지"}</definedName>
    <definedName name="산정">#REF!</definedName>
    <definedName name="산철4노무">#REF!</definedName>
    <definedName name="산철4재료">#REF!</definedName>
    <definedName name="산철5노무">#REF!</definedName>
    <definedName name="산철5재료">#REF!</definedName>
    <definedName name="산철쭉">#REF!</definedName>
    <definedName name="산추">#N/A</definedName>
    <definedName name="산출">#REF!</definedName>
    <definedName name="산출1">#REF!</definedName>
    <definedName name="산출2" localSheetId="0">BlankMacro1</definedName>
    <definedName name="산출2">BlankMacro1</definedName>
    <definedName name="산출28">#REF!,#REF!</definedName>
    <definedName name="산출3" localSheetId="0">BlankMacro1</definedName>
    <definedName name="산출3">BlankMacro1</definedName>
    <definedName name="산출7" localSheetId="0">BlankMacro1</definedName>
    <definedName name="산출7">BlankMacro1</definedName>
    <definedName name="산출경비">#REF!</definedName>
    <definedName name="산출근" hidden="1">{"'제10장(표)'!$A$5:$L$10"}</definedName>
    <definedName name="산출근거">#REF!</definedName>
    <definedName name="산출근거1">#REF!</definedName>
    <definedName name="산출근거111">#REF!</definedName>
    <definedName name="산출근거1111" hidden="1">{"'제10장(표)'!$A$5:$L$10"}</definedName>
    <definedName name="산출근거2" localSheetId="0">BlankMacro1</definedName>
    <definedName name="산출근거2">BlankMacro1</definedName>
    <definedName name="산출근거44" hidden="1">{"'제10장(표)'!$A$5:$L$10"}</definedName>
    <definedName name="산출근거7" hidden="1">{"'제10장(표)'!$A$5:$L$10"}</definedName>
    <definedName name="산출근거자갈층"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근거풍화암층"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금양">#REF!</definedName>
    <definedName name="산출내역" localSheetId="0">ErrorHandler_1</definedName>
    <definedName name="산출내역">ErrorHandler_1</definedName>
    <definedName name="산출내역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산출내역938" localSheetId="0">ErrorHandler_1</definedName>
    <definedName name="산출내역938">ErrorHandler_1</definedName>
    <definedName name="산출내역집계표">#REF!</definedName>
    <definedName name="산출모래"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사인">{"'용역비'!$A$4:$C$8"}</definedName>
    <definedName name="산출서" hidden="1">{#N/A,#N/A,FALSE,"Sheet1"}</definedName>
    <definedName name="산출일위대가통신" localSheetId="0">BlankMacro1</definedName>
    <definedName name="산출일위대가통신">BlankMacro1</definedName>
    <definedName name="산출판넬" hidden="1">{#N/A,#N/A,FALSE,"CCTV"}</definedName>
    <definedName name="산출하">#N/A</definedName>
    <definedName name="산출JB" localSheetId="0">BlankMacro1</definedName>
    <definedName name="산출JB">BlankMacro1</definedName>
    <definedName name="산표">#N/A</definedName>
    <definedName name="살수차">220000</definedName>
    <definedName name="살ㅇ" hidden="1">{#N/A,#N/A,TRUE,"토적및재료집계";#N/A,#N/A,TRUE,"토적및재료집계";#N/A,#N/A,TRUE,"단위량"}</definedName>
    <definedName name="살홍" hidden="1">{#N/A,#N/A,FALSE,"단가표지"}</definedName>
    <definedName name="삼">#REF!</definedName>
    <definedName name="삼.관리및편익시설물공">#N/A</definedName>
    <definedName name="삼각">#REF!</definedName>
    <definedName name="삼각노">#REF!</definedName>
    <definedName name="삼각재">#REF!</definedName>
    <definedName name="삼각지_동력부하_List">#REF!</definedName>
    <definedName name="삼노">#REF!</definedName>
    <definedName name="삼능건">#REF!</definedName>
    <definedName name="삼능기">#REF!</definedName>
    <definedName name="삼능철">#REF!</definedName>
    <definedName name="삼능토">#REF!</definedName>
    <definedName name="삼락" hidden="1">{#N/A,#N/A,FALSE,"현장 NCR 분석";#N/A,#N/A,FALSE,"현장품질감사";#N/A,#N/A,FALSE,"현장품질감사"}</definedName>
    <definedName name="삼락1" hidden="1">{#N/A,#N/A,FALSE,"현장 NCR 분석";#N/A,#N/A,FALSE,"현장품질감사";#N/A,#N/A,FALSE,"현장품질감사"}</definedName>
    <definedName name="삼발">#REF!</definedName>
    <definedName name="삼발이대노">#REF!</definedName>
    <definedName name="삼발이대재">#REF!</definedName>
    <definedName name="삼발이소노">#REF!</definedName>
    <definedName name="삼발이소재">#REF!</definedName>
    <definedName name="삼부" hidden="1">{"' 거래명세서'!$B$120:$H$158","'충전산업'!$L$28","'충전산업'!$A$1:$I$40","' 거래명세서'!$K$5"}</definedName>
    <definedName name="삼삼">#N/A</definedName>
    <definedName name="삼삼삼">#N/A</definedName>
    <definedName name="삼삼삼삼">#N/A</definedName>
    <definedName name="삼성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물산">#REF!</definedName>
    <definedName name="삼성중00301" hidden="1">{#N/A,#N/A,FALSE,"현장 NCR 분석";#N/A,#N/A,FALSE,"현장품질감사";#N/A,#N/A,FALSE,"현장품질감사"}</definedName>
    <definedName name="삼성중00301_1" hidden="1">{#N/A,#N/A,FALSE,"현장 NCR 분석";#N/A,#N/A,FALSE,"현장품질감사";#N/A,#N/A,FALSE,"현장품질감사"}</definedName>
    <definedName name="삼성중00301_2" hidden="1">{#N/A,#N/A,FALSE,"현장 NCR 분석";#N/A,#N/A,FALSE,"현장품질감사";#N/A,#N/A,FALSE,"현장품질감사"}</definedName>
    <definedName name="삼성중00301_3" hidden="1">{#N/A,#N/A,FALSE,"현장 NCR 분석";#N/A,#N/A,FALSE,"현장품질감사";#N/A,#N/A,FALSE,"현장품질감사"}</definedName>
    <definedName name="삼성중0304" hidden="1">{#N/A,#N/A,FALSE,"현장 NCR 분석";#N/A,#N/A,FALSE,"현장품질감사";#N/A,#N/A,FALSE,"현장품질감사"}</definedName>
    <definedName name="삼성중0304_1" hidden="1">{#N/A,#N/A,FALSE,"현장 NCR 분석";#N/A,#N/A,FALSE,"현장품질감사";#N/A,#N/A,FALSE,"현장품질감사"}</definedName>
    <definedName name="삼성중0304_2" hidden="1">{#N/A,#N/A,FALSE,"현장 NCR 분석";#N/A,#N/A,FALSE,"현장품질감사";#N/A,#N/A,FALSE,"현장품질감사"}</definedName>
    <definedName name="삼성중0304_3" hidden="1">{#N/A,#N/A,FALSE,"현장 NCR 분석";#N/A,#N/A,FALSE,"현장품질감사";#N/A,#N/A,FALSE,"현장품질감사"}</definedName>
    <definedName name="삼성파일">#REF!</definedName>
    <definedName name="삼우설비" hidden="1">#REF!</definedName>
    <definedName name="삼월">#REF!</definedName>
    <definedName name="삼익" hidden="1">{#N/A,#N/A,FALSE,"생산성";#N/A,#N/A,FALSE,"인력1";#N/A,#N/A,FALSE,"인력2";#N/A,#N/A,FALSE,"인력3";#N/A,#N/A,FALSE,"인건1";#N/A,#N/A,FALSE,"인건2";#N/A,#N/A,FALSE,"인건3";#N/A,#N/A,FALSE,"인원증감";#N/A,#N/A,FALSE,"인건증감";#N/A,#N/A,FALSE,"표지등"}</definedName>
    <definedName name="삼재">#REF!</definedName>
    <definedName name="삼평1교이월수량집계표">#REF!</definedName>
    <definedName name="삼평1교총괄집계표">#REF!</definedName>
    <definedName name="삼혁색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혁색상구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현" hidden="1">{#N/A,#N/A,FALSE,"이태원철근"}</definedName>
    <definedName name="삼현_1" hidden="1">{#N/A,#N/A,FALSE,"이태원철근"}</definedName>
    <definedName name="삼현_2" hidden="1">{#N/A,#N/A,FALSE,"이태원철근"}</definedName>
    <definedName name="삼현_3" hidden="1">{#N/A,#N/A,FALSE,"이태원철근"}</definedName>
    <definedName name="삼호" hidden="1">{#N/A,#N/A,FALSE,"배수2"}</definedName>
    <definedName name="삼호표">#REF!</definedName>
    <definedName name="삽" hidden="1">{#N/A,#N/A,FALSE,"Sheet6"}</definedName>
    <definedName name="삽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상" hidden="1">{#N/A,#N/A,FALSE,"포장2"}</definedName>
    <definedName name="상99">#REF!</definedName>
    <definedName name="상가">#REF!</definedName>
    <definedName name="상가건축공사">#REF!</definedName>
    <definedName name="상가A">#N/A</definedName>
    <definedName name="상가B">#N/A</definedName>
    <definedName name="상거래상환기간">#REF!</definedName>
    <definedName name="상급원자력기술자">#REF!</definedName>
    <definedName name="상급원자력기술자001">#REF!</definedName>
    <definedName name="상급원자력기술자002">#REF!</definedName>
    <definedName name="상급원자력기술자011">#REF!</definedName>
    <definedName name="상급원자력기술자982">#REF!</definedName>
    <definedName name="상급원자력기술자991">#REF!</definedName>
    <definedName name="상급원자력기술자992">#REF!</definedName>
    <definedName name="상림1호">#REF!</definedName>
    <definedName name="상림2호">#REF!</definedName>
    <definedName name="상림3호">#REF!</definedName>
    <definedName name="상면고">7.17</definedName>
    <definedName name="상반기보고" hidden="1">{#N/A,#N/A,FALSE,"사업총괄";#N/A,#N/A,FALSE,"장비사업";#N/A,#N/A,FALSE,"철구사업";#N/A,#N/A,FALSE,"준설사업"}</definedName>
    <definedName name="상반R2">#REF!</definedName>
    <definedName name="상변">#REF!</definedName>
    <definedName name="상봉" hidden="1">{#N/A,#N/A,FALSE,"현장 NCR 분석";#N/A,#N/A,FALSE,"현장품질감사";#N/A,#N/A,FALSE,"현장품질감사"}</definedName>
    <definedName name="상봉2" hidden="1">{#N/A,#N/A,FALSE,"현장 NCR 분석";#N/A,#N/A,FALSE,"현장품질감사";#N/A,#N/A,FALSE,"현장품질감사"}</definedName>
    <definedName name="상봉구" hidden="1">{#N/A,#N/A,FALSE,"현장 NCR 분석";#N/A,#N/A,FALSE,"현장품질감사";#N/A,#N/A,FALSE,"현장품질감사"}</definedName>
    <definedName name="상봉전기">#N/A</definedName>
    <definedName name="상부">#REF!</definedName>
    <definedName name="상부1">#REF!</definedName>
    <definedName name="상부2">#REF!</definedName>
    <definedName name="상부공">#REF!</definedName>
    <definedName name="상부수압">#REF!</definedName>
    <definedName name="상부슬라브">#REF!</definedName>
    <definedName name="상부슬래브">#REF!</definedName>
    <definedName name="상부우각부M">#REF!</definedName>
    <definedName name="상부전단간격">#REF!</definedName>
    <definedName name="상부전단갯수">#REF!</definedName>
    <definedName name="상부전단철근">#REF!</definedName>
    <definedName name="상부중앙1단간격">#REF!</definedName>
    <definedName name="상부중앙2단간격">#REF!</definedName>
    <definedName name="상부중앙부1단">#REF!</definedName>
    <definedName name="상부중앙부2단">#REF!</definedName>
    <definedName name="상부중앙피복">#REF!</definedName>
    <definedName name="상부중앙d">#REF!</definedName>
    <definedName name="상부중앙h">#REF!</definedName>
    <definedName name="상부중앙M">#REF!</definedName>
    <definedName name="상부중앙S">#REF!</definedName>
    <definedName name="상부지점1단간격">#REF!</definedName>
    <definedName name="상부지점2단간격">#REF!</definedName>
    <definedName name="상부지점부1단">#REF!</definedName>
    <definedName name="상부지점부2단">#REF!</definedName>
    <definedName name="상부지점피복">#REF!</definedName>
    <definedName name="상부지점d">#REF!</definedName>
    <definedName name="상부지점h">#REF!</definedName>
    <definedName name="상부지점M">#REF!</definedName>
    <definedName name="상부지점S">#REF!</definedName>
    <definedName name="상부집계표">#REF!</definedName>
    <definedName name="상부폭공주">#REF!</definedName>
    <definedName name="상부폭서천">#REF!</definedName>
    <definedName name="상부헌치높이">#REF!</definedName>
    <definedName name="상부헌치폭">#REF!</definedName>
    <definedName name="상부활하중">#REF!</definedName>
    <definedName name="상선">#N/A</definedName>
    <definedName name="상세" hidden="1">{#N/A,#N/A,FALSE,"단가표지"}</definedName>
    <definedName name="상세내역2" hidden="1">{"'제조(순번)'!$A$386:$A$387","'제조(순번)'!$A$1:$H$399"}</definedName>
    <definedName name="상수">#REF!</definedName>
    <definedName name="상수도">#REF!</definedName>
    <definedName name="상수도2차" hidden="1">{#N/A,#N/A,FALSE,"결의서";#N/A,#N/A,FALSE,"내역서";#N/A,#N/A,FALSE,"도급예상";#N/A,#N/A,FALSE,"시방서"}</definedName>
    <definedName name="상수도공">#REF!</definedName>
    <definedName name="상수도공집계표">#REF!</definedName>
    <definedName name="상여율">#REF!</definedName>
    <definedName name="상용직">#REF!</definedName>
    <definedName name="상용직가설전공급료">#REF!</definedName>
    <definedName name="상용직경비원급료">#REF!</definedName>
    <definedName name="상용직급료운전원급료">#REF!</definedName>
    <definedName name="상용직노무급료">#REF!</definedName>
    <definedName name="상용직사무보조청소원급료">#REF!</definedName>
    <definedName name="상용직시험보조급료">#REF!</definedName>
    <definedName name="상용직안전급료">#REF!</definedName>
    <definedName name="상용직자재보조급료">#REF!</definedName>
    <definedName name="상용직총인수">#REF!</definedName>
    <definedName name="상용직측량보조원급료">#REF!</definedName>
    <definedName name="상용직현장정리원_남_급료">#REF!</definedName>
    <definedName name="상용직현장정리원_여_급료">#REF!</definedName>
    <definedName name="상원">#REF!</definedName>
    <definedName name="상위" hidden="1">{#N/A,#N/A,FALSE,"생산성";#N/A,#N/A,FALSE,"인력1";#N/A,#N/A,FALSE,"인력2";#N/A,#N/A,FALSE,"인력3";#N/A,#N/A,FALSE,"인건1";#N/A,#N/A,FALSE,"인건2";#N/A,#N/A,FALSE,"인건3";#N/A,#N/A,FALSE,"인원증감";#N/A,#N/A,FALSE,"인건증감";#N/A,#N/A,FALSE,"표지등"}</definedName>
    <definedName name="상자" hidden="1">{#N/A,#N/A,FALSE,"이태원철근"}</definedName>
    <definedName name="상재하중S">#REF!</definedName>
    <definedName name="상재하중W">#REF!</definedName>
    <definedName name="상정안정안하" hidden="1">{#N/A,#N/A,FALSE,"기안지";#N/A,#N/A,FALSE,"통신지"}</definedName>
    <definedName name="상주" hidden="1">{#N/A,#N/A,FALSE,"지침";#N/A,#N/A,FALSE,"환경분석";#N/A,#N/A,FALSE,"Sheet16"}</definedName>
    <definedName name="상주_1" hidden="1">{#N/A,#N/A,FALSE,"지침";#N/A,#N/A,FALSE,"환경분석";#N/A,#N/A,FALSE,"Sheet16"}</definedName>
    <definedName name="상주_2" hidden="1">{#N/A,#N/A,FALSE,"지침";#N/A,#N/A,FALSE,"환경분석";#N/A,#N/A,FALSE,"Sheet16"}</definedName>
    <definedName name="상주_3" hidden="1">{#N/A,#N/A,FALSE,"지침";#N/A,#N/A,FALSE,"환경분석";#N/A,#N/A,FALSE,"Sheet16"}</definedName>
    <definedName name="상주_4" hidden="1">{#N/A,#N/A,FALSE,"지침";#N/A,#N/A,FALSE,"환경분석";#N/A,#N/A,FALSE,"Sheet16"}</definedName>
    <definedName name="상주_5" hidden="1">{#N/A,#N/A,FALSE,"지침";#N/A,#N/A,FALSE,"환경분석";#N/A,#N/A,FALSE,"Sheet16"}</definedName>
    <definedName name="상주감리" hidden="1">{#N/A,#N/A,FALSE,"지침";#N/A,#N/A,FALSE,"환경분석";#N/A,#N/A,FALSE,"Sheet16"}</definedName>
    <definedName name="상주감리_1" hidden="1">{#N/A,#N/A,FALSE,"지침";#N/A,#N/A,FALSE,"환경분석";#N/A,#N/A,FALSE,"Sheet16"}</definedName>
    <definedName name="상주감리_2" hidden="1">{#N/A,#N/A,FALSE,"지침";#N/A,#N/A,FALSE,"환경분석";#N/A,#N/A,FALSE,"Sheet16"}</definedName>
    <definedName name="상주감리_3" hidden="1">{#N/A,#N/A,FALSE,"지침";#N/A,#N/A,FALSE,"환경분석";#N/A,#N/A,FALSE,"Sheet16"}</definedName>
    <definedName name="상주감리_4" hidden="1">{#N/A,#N/A,FALSE,"지침";#N/A,#N/A,FALSE,"환경분석";#N/A,#N/A,FALSE,"Sheet16"}</definedName>
    <definedName name="상주감리_5" hidden="1">{#N/A,#N/A,FALSE,"지침";#N/A,#N/A,FALSE,"환경분석";#N/A,#N/A,FALSE,"Sheet16"}</definedName>
    <definedName name="상진이">#REF!</definedName>
    <definedName name="상품" hidden="1">#REF!</definedName>
    <definedName name="상품수불부">#REF!</definedName>
    <definedName name="상하수">#N/A</definedName>
    <definedName name="상하수도">#N/A</definedName>
    <definedName name="상하수도공">#REF!</definedName>
    <definedName name="상하수도공사">#REF!</definedName>
    <definedName name="상하차경비10">#REF!</definedName>
    <definedName name="상하차경비15">#REF!</definedName>
    <definedName name="상하차경비20">#REF!</definedName>
    <definedName name="상하차경비25">#REF!</definedName>
    <definedName name="상하차경비30">#REF!</definedName>
    <definedName name="상하차경비35">#REF!</definedName>
    <definedName name="상하차경비40">#REF!</definedName>
    <definedName name="상하차경비45">#REF!</definedName>
    <definedName name="상하차경비5">#REF!</definedName>
    <definedName name="상하차경비50">#REF!</definedName>
    <definedName name="상하차노무비10">#REF!</definedName>
    <definedName name="상하차노무비15">#REF!</definedName>
    <definedName name="상하차노무비20">#REF!</definedName>
    <definedName name="상하차노무비25">#REF!</definedName>
    <definedName name="상하차노무비30">#REF!</definedName>
    <definedName name="상하차노무비35">#REF!</definedName>
    <definedName name="상하차노무비40">#REF!</definedName>
    <definedName name="상하차노무비45">#REF!</definedName>
    <definedName name="상하차노무비5">#REF!</definedName>
    <definedName name="상하차노무비50">#REF!</definedName>
    <definedName name="상하차재료비10">#REF!</definedName>
    <definedName name="상하차재료비15">#REF!</definedName>
    <definedName name="상하차재료비20">#REF!</definedName>
    <definedName name="상하차재료비25">#REF!</definedName>
    <definedName name="상하차재료비30">#REF!</definedName>
    <definedName name="상하차재료비35">#REF!</definedName>
    <definedName name="상하차재료비40">#REF!</definedName>
    <definedName name="상하차재료비45">#REF!</definedName>
    <definedName name="상하차재료비5">#REF!</definedName>
    <definedName name="상하차재료비50">#REF!</definedName>
    <definedName name="상호">#REF!</definedName>
    <definedName name="상환금액">#REF!</definedName>
    <definedName name="상환기간">#REF!</definedName>
    <definedName name="새">#REF!</definedName>
    <definedName name="새것">#REF!</definedName>
    <definedName name="새공통" hidden="1">{#N/A,#N/A,FALSE,"이태원철근"}</definedName>
    <definedName name="새공통_1" hidden="1">{#N/A,#N/A,FALSE,"이태원철근"}</definedName>
    <definedName name="새공통_2" hidden="1">{#N/A,#N/A,FALSE,"이태원철근"}</definedName>
    <definedName name="새공통_3" hidden="1">{#N/A,#N/A,FALSE,"이태원철근"}</definedName>
    <definedName name="새공통_4" hidden="1">{#N/A,#N/A,FALSE,"이태원철근"}</definedName>
    <definedName name="새공통2">#REF!</definedName>
    <definedName name="새공통AB">#REF!</definedName>
    <definedName name="새나라">#N/A</definedName>
    <definedName name="새내역서" hidden="1">{#N/A,#N/A,FALSE,"Sheet1"}</definedName>
    <definedName name="새단가">#REF!</definedName>
    <definedName name="새도면">#REF!</definedName>
    <definedName name="새로운" hidden="1">{#N/A,#N/A,TRUE,"대외공문"}</definedName>
    <definedName name="새로움" hidden="1">{#N/A,#N/A,FALSE,"생산성";#N/A,#N/A,FALSE,"인력1";#N/A,#N/A,FALSE,"인력2";#N/A,#N/A,FALSE,"인력3";#N/A,#N/A,FALSE,"인건1";#N/A,#N/A,FALSE,"인건2";#N/A,#N/A,FALSE,"인건3";#N/A,#N/A,FALSE,"인원증감";#N/A,#N/A,FALSE,"인건증감";#N/A,#N/A,FALSE,"표지등"}</definedName>
    <definedName name="새로작성">#REF!,#REF!</definedName>
    <definedName name="새마을" hidden="1">{#N/A,#N/A,FALSE,"현장 NCR 분석";#N/A,#N/A,FALSE,"현장품질감사";#N/A,#N/A,FALSE,"현장품질감사"}</definedName>
    <definedName name="새마을차고신설수량">#REF!</definedName>
    <definedName name="새새" hidden="1">{#N/A,#N/A,FALSE,"생산성";#N/A,#N/A,FALSE,"인력1";#N/A,#N/A,FALSE,"인력2";#N/A,#N/A,FALSE,"인력3";#N/A,#N/A,FALSE,"인건1";#N/A,#N/A,FALSE,"인건2";#N/A,#N/A,FALSE,"인건3";#N/A,#N/A,FALSE,"인원증감";#N/A,#N/A,FALSE,"인건증감";#N/A,#N/A,FALSE,"표지등"}</definedName>
    <definedName name="새수량">#REF!</definedName>
    <definedName name="새이름"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ㅏㅏㅓ" hidden="1">{#N/A,#N/A,FALSE,"2~8번"}</definedName>
    <definedName name="색도">#REF!</definedName>
    <definedName name="색상구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색인">#REF!</definedName>
    <definedName name="색재2">#REF!</definedName>
    <definedName name="샘풀카피" hidden="1">{#N/A,#N/A,FALSE,"CCTV"}</definedName>
    <definedName name="샘플">#REF!</definedName>
    <definedName name="샘플카피2" hidden="1">{#N/A,#N/A,FALSE,"CCTV"}</definedName>
    <definedName name="샘플카피3" hidden="1">{#N/A,#N/A,FALSE,"CCTV"}</definedName>
    <definedName name="생" hidden="1">{#N/A,#N/A,FALSE,"이태원철근"}</definedName>
    <definedName name="생경">#REF!</definedName>
    <definedName name="생경1">#REF!</definedName>
    <definedName name="생관0.4">#REF!</definedName>
    <definedName name="생관0.5">#REF!</definedName>
    <definedName name="생관0.6">#REF!</definedName>
    <definedName name="생관1.0">#REF!</definedName>
    <definedName name="생관1.2">#REF!</definedName>
    <definedName name="생관1.5">#REF!</definedName>
    <definedName name="생관2.0">#REF!</definedName>
    <definedName name="생노">#REF!</definedName>
    <definedName name="생노1">#REF!</definedName>
    <definedName name="생사1호">#REF!</definedName>
    <definedName name="생사2호">#REF!</definedName>
    <definedName name="생사기존">#REF!</definedName>
    <definedName name="생산" hidden="1">{#N/A,#N/A,FALSE,"이태원철근"}</definedName>
    <definedName name="생산01">#REF!</definedName>
    <definedName name="생산가능1">#REF!</definedName>
    <definedName name="생산가능2">#REF!</definedName>
    <definedName name="생산자물가지수">#REF!</definedName>
    <definedName name="생영" hidden="1">{#N/A,#N/A,FALSE,"결의서";#N/A,#N/A,FALSE,"내역서";#N/A,#N/A,FALSE,"도급예상";#N/A,#N/A,FALSE,"시방서"}</definedName>
    <definedName name="생이">#REF!</definedName>
    <definedName name="생재">#REF!</definedName>
    <definedName name="생재1">#REF!</definedName>
    <definedName name="생지">#REF!</definedName>
    <definedName name="생B10">#REF!</definedName>
    <definedName name="생B12">#REF!</definedName>
    <definedName name="생B20">#REF!</definedName>
    <definedName name="생B6">#REF!</definedName>
    <definedName name="생B8">#REF!</definedName>
    <definedName name="생H1.5">#REF!</definedName>
    <definedName name="생H2.0">#REF!</definedName>
    <definedName name="생H2.5">#REF!</definedName>
    <definedName name="생H3.0">#REF!</definedName>
    <definedName name="생H3.5">#REF!</definedName>
    <definedName name="생R10">#REF!</definedName>
    <definedName name="생R12">#REF!</definedName>
    <definedName name="생R15">#REF!</definedName>
    <definedName name="생R4">#REF!</definedName>
    <definedName name="생R5">#REF!</definedName>
    <definedName name="생R6">#REF!</definedName>
    <definedName name="생R8">#REF!</definedName>
    <definedName name="샤ㅗㅓㅐㄱ" hidden="1">{#N/A,#N/A,FALSE,"표지목차"}</definedName>
    <definedName name="샷_시_공">#REF!</definedName>
    <definedName name="샷다" hidden="1">{#N/A,#N/A,FALSE,"지침";#N/A,#N/A,FALSE,"환경분석";#N/A,#N/A,FALSE,"Sheet16"}</definedName>
    <definedName name="샷랴" localSheetId="0">BlankMacro1</definedName>
    <definedName name="샷랴">BlankMacro1</definedName>
    <definedName name="샷시공">#REF!</definedName>
    <definedName name="샷시공001">#REF!</definedName>
    <definedName name="샷시공002">#REF!</definedName>
    <definedName name="샷시공011">#REF!</definedName>
    <definedName name="샷시공982">#REF!</definedName>
    <definedName name="샷시공991">#REF!</definedName>
    <definedName name="샷시공992">#REF!</definedName>
    <definedName name="ㅅㅓ" hidden="1">{#N/A,#N/A,FALSE,"지침";#N/A,#N/A,FALSE,"환경분석";#N/A,#N/A,FALSE,"Sheet16"}</definedName>
    <definedName name="ㅅㅓㄱ">#REF!</definedName>
    <definedName name="서거ㅜㅛㅛ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서고ㅕㄺ" hidden="1">{#N/A,#N/A,FALSE,"단가표지"}</definedName>
    <definedName name="서동신">#REF!,#REF!</definedName>
    <definedName name="서러ㅓㅎ" hidden="1">{#N/A,#N/A,FALSE,"표지목차"}</definedName>
    <definedName name="서로헗" hidden="1">{#N/A,#N/A,FALSE,"혼합골재"}</definedName>
    <definedName name="서류3" hidden="1">{#N/A,"수불부",FALSE,"사급자재수불서";#N/A,"수불부",FALSE,"사급자재수불서"}</definedName>
    <definedName name="서류4" hidden="1">{#N/A,"수불부",FALSE,"사급자재수불서";#N/A,"수불부",FALSE,"사급자재수불서"}</definedName>
    <definedName name="서류5" hidden="1">{#N/A,"수불부",FALSE,"사급자재수불서";#N/A,"수불부",FALSE,"사급자재수불서"}</definedName>
    <definedName name="서부건설" hidden="1">{"' 거래명세서'!$B$120:$H$158","'충전산업'!$L$28","'충전산업'!$A$1:$I$40","' 거래명세서'!$K$5"}</definedName>
    <definedName name="서아" hidden="1">{#N/A,#N/A,FALSE,"집계표"}</definedName>
    <definedName name="서양측백H3.0">#REF!</definedName>
    <definedName name="서어" hidden="1">{#N/A,#N/A,FALSE,"견적조건";#N/A,#N/A,FALSE,"산출근거"}</definedName>
    <definedName name="서우러ㅗㅕㄱㄹ" hidden="1">{#N/A,#N/A,FALSE,"혼합골재"}</definedName>
    <definedName name="서울">#REF!</definedName>
    <definedName name="서울1" hidden="1">#REF!</definedName>
    <definedName name="서울2">#REF!</definedName>
    <definedName name="서울나라" hidden="1">{#N/A,#N/A,FALSE,"단가표지"}</definedName>
    <definedName name="서울및경기일부">#REF!</definedName>
    <definedName name="서울벽지" hidden="1">{#N/A,#N/A,FALSE,"이태원철근"}</definedName>
    <definedName name="서울벽지_1" hidden="1">{#N/A,#N/A,FALSE,"이태원철근"}</definedName>
    <definedName name="서울벽지_2" hidden="1">{#N/A,#N/A,FALSE,"이태원철근"}</definedName>
    <definedName name="서울벽지_3" hidden="1">{#N/A,#N/A,FALSE,"이태원철근"}</definedName>
    <definedName name="서울인생" hidden="1">{#N/A,#N/A,FALSE,"혼합골재"}</definedName>
    <definedName name="서정석">#REF!</definedName>
    <definedName name="서초" hidden="1">{#N/A,#N/A,FALSE,"부대2"}</definedName>
    <definedName name="서해">#REF!</definedName>
    <definedName name="서혀ㅓㄹ" hidden="1">{#N/A,#N/A,FALSE,"운반시간"}</definedName>
    <definedName name="서호ㅑㅇ" hidden="1">{#N/A,#N/A,FALSE,"표지목차"}</definedName>
    <definedName name="서호ㅕㄹ" hidden="1">{#N/A,#N/A,FALSE,"단가표지"}</definedName>
    <definedName name="서ㅏㄷ" hidden="1">{#N/A,#N/A,FALSE,"단가표지"}</definedName>
    <definedName name="서ㅏ허ㅓㅎㅅ" hidden="1">{#N/A,#N/A,FALSE,"단가표지"}</definedName>
    <definedName name="서ㅏㅓ햘" hidden="1">{#N/A,#N/A,FALSE,"단가표지"}</definedName>
    <definedName name="서ㅏㅓㅕㅅ" hidden="1">{#N/A,#N/A,FALSE,"골재소요량";#N/A,#N/A,FALSE,"골재소요량"}</definedName>
    <definedName name="서ㅏㅕㅑㅅㄱ" hidden="1">{#N/A,#N/A,FALSE,"2~8번"}</definedName>
    <definedName name="서ㅓ쇼" localSheetId="0">BlankMacro1</definedName>
    <definedName name="서ㅓ쇼">BlankMacro1</definedName>
    <definedName name="서ㅗ롱ㄴ" hidden="1">{#N/A,#N/A,FALSE,"단가표지"}</definedName>
    <definedName name="서ㅗㅇ" hidden="1">{#N/A,#N/A,FALSE,"혼합골재"}</definedName>
    <definedName name="서ㅗ혓" hidden="1">{#N/A,#N/A,FALSE,"운반시간"}</definedName>
    <definedName name="서ㅗㅀㄱ" hidden="1">{#N/A,#N/A,FALSE,"단가표지"}</definedName>
    <definedName name="서ㅛ거ㅏㅕ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석" hidden="1">{#N/A,#N/A,FALSE,"지침";#N/A,#N/A,FALSE,"환경분석";#N/A,#N/A,FALSE,"Sheet16"}</definedName>
    <definedName name="석__조_각_공">#REF!</definedName>
    <definedName name="석_1" hidden="1">{#N/A,#N/A,FALSE,"지침";#N/A,#N/A,FALSE,"환경분석";#N/A,#N/A,FALSE,"Sheet16"}</definedName>
    <definedName name="석_2" hidden="1">{#N/A,#N/A,FALSE,"지침";#N/A,#N/A,FALSE,"환경분석";#N/A,#N/A,FALSE,"Sheet16"}</definedName>
    <definedName name="석_3" hidden="1">{#N/A,#N/A,FALSE,"지침";#N/A,#N/A,FALSE,"환경분석";#N/A,#N/A,FALSE,"Sheet16"}</definedName>
    <definedName name="석_4" hidden="1">{#N/A,#N/A,FALSE,"지침";#N/A,#N/A,FALSE,"환경분석";#N/A,#N/A,FALSE,"Sheet16"}</definedName>
    <definedName name="석_5" hidden="1">{#N/A,#N/A,FALSE,"지침";#N/A,#N/A,FALSE,"환경분석";#N/A,#N/A,FALSE,"Sheet16"}</definedName>
    <definedName name="석_공">#REF!</definedName>
    <definedName name="석_축_개_소_별_명_세">#REF!</definedName>
    <definedName name="석_축_수_량_집_계">#REF!</definedName>
    <definedName name="석고보드벽본드노">#REF!</definedName>
    <definedName name="석고보드붙이기벽본다">#REF!</definedName>
    <definedName name="석고보드붙이기천정못">#REF!</definedName>
    <definedName name="석고보드천정못노">#REF!</definedName>
    <definedName name="석공">#REF!</definedName>
    <definedName name="석공001">#REF!</definedName>
    <definedName name="석공002">#REF!</definedName>
    <definedName name="석공011">#REF!</definedName>
    <definedName name="석공982">#REF!</definedName>
    <definedName name="석공991">#REF!</definedName>
    <definedName name="석공992">#REF!</definedName>
    <definedName name="석공경비">#REF!</definedName>
    <definedName name="석공노무">#REF!</definedName>
    <definedName name="석공사">#REF!</definedName>
    <definedName name="석공재료">#REF!</definedName>
    <definedName name="석유">#REF!</definedName>
    <definedName name="석유단가__L당">#REF!</definedName>
    <definedName name="석재" hidden="1">{#N/A,#N/A,FALSE,"골재소요량";#N/A,#N/A,FALSE,"골재소요량"}</definedName>
    <definedName name="석재받은의뢰업체" hidden="1">255</definedName>
    <definedName name="석재타일">#REF!</definedName>
    <definedName name="석재타일경">#REF!</definedName>
    <definedName name="석재타일노">#REF!</definedName>
    <definedName name="석재타일붙이기">#REF!</definedName>
    <definedName name="석재타일붙이기노">#REF!</definedName>
    <definedName name="석재타일재">#REF!</definedName>
    <definedName name="석조각공001">#REF!</definedName>
    <definedName name="석조각공002">#REF!</definedName>
    <definedName name="석조각공011">#REF!</definedName>
    <definedName name="석조각공982">#REF!</definedName>
    <definedName name="석조각공991">#REF!</definedName>
    <definedName name="석조각공992">#REF!</definedName>
    <definedName name="석지영">#REF!</definedName>
    <definedName name="석축" hidden="1">#REF!</definedName>
    <definedName name="석축공수량산출">#REF!</definedName>
    <definedName name="석축단위">#REF!</definedName>
    <definedName name="석축수량" hidden="1">{#N/A,#N/A,FALSE,"2~8번"}</definedName>
    <definedName name="석항" hidden="1">{#N/A,#N/A,FALSE,"명세표"}</definedName>
    <definedName name="석항1" hidden="1">{#N/A,#N/A,FALSE,"명세표"}</definedName>
    <definedName name="석A소계">#REF!</definedName>
    <definedName name="석B소계">#REF!</definedName>
    <definedName name="선">#REF!,#REF!</definedName>
    <definedName name="선________부">#REF!</definedName>
    <definedName name="선___반___공">#N/A</definedName>
    <definedName name="선관">#N/A</definedName>
    <definedName name="선급금정산" hidden="1">#N/A</definedName>
    <definedName name="선량1호">#REF!</definedName>
    <definedName name="선량2호">#REF!</definedName>
    <definedName name="선량3호">#REF!</definedName>
    <definedName name="선량4호">#REF!</definedName>
    <definedName name="선량5호">#REF!</definedName>
    <definedName name="선로단가">#REF!</definedName>
    <definedName name="선로단가1">#REF!</definedName>
    <definedName name="선로물량">#REF!</definedName>
    <definedName name="선로물량1">#REF!</definedName>
    <definedName name="선로수량">#REF!</definedName>
    <definedName name="선로수량1">#REF!</definedName>
    <definedName name="선로신설">#REF!</definedName>
    <definedName name="선로철거">#REF!</definedName>
    <definedName name="선로철거단가">#REF!</definedName>
    <definedName name="선로철거단가1">#REF!</definedName>
    <definedName name="선반제작노">#REF!</definedName>
    <definedName name="선반제작설치">#REF!</definedName>
    <definedName name="선부001">#REF!</definedName>
    <definedName name="선부002">#REF!</definedName>
    <definedName name="선부011">#REF!</definedName>
    <definedName name="선부982">#REF!</definedName>
    <definedName name="선부991">#REF!</definedName>
    <definedName name="선부992">#REF!</definedName>
    <definedName name="선산" hidden="1">{#N/A,#N/A,FALSE,"생산성";#N/A,#N/A,FALSE,"인력1";#N/A,#N/A,FALSE,"인력2";#N/A,#N/A,FALSE,"인력3";#N/A,#N/A,FALSE,"인건1";#N/A,#N/A,FALSE,"인건2";#N/A,#N/A,FALSE,"인건3";#N/A,#N/A,FALSE,"인원증감";#N/A,#N/A,FALSE,"인건증감";#N/A,#N/A,FALSE,"표지등"}</definedName>
    <definedName name="선수어음금액">#REF!</definedName>
    <definedName name="선수어음기간">#REF!</definedName>
    <definedName name="선수어음비율">#REF!</definedName>
    <definedName name="선수율">#REF!</definedName>
    <definedName name="선수현금금액">#REF!</definedName>
    <definedName name="선수현금비율">#REF!</definedName>
    <definedName name="선이">#REF!,#REF!</definedName>
    <definedName name="선정의뢰" hidden="1">{#N/A,#N/A,FALSE,"현장 NCR 분석";#N/A,#N/A,FALSE,"현장품질감사";#N/A,#N/A,FALSE,"현장품질감사"}</definedName>
    <definedName name="선정자재포함시" hidden="1">{#N/A,#N/A,FALSE,"지침";#N/A,#N/A,FALSE,"환경분석";#N/A,#N/A,FALSE,"Sheet16"}</definedName>
    <definedName name="선정팬111" hidden="1">{#N/A,#N/A,TRUE,"부하계산서표지";#N/A,#N/A,TRUE,"1. 부하계산";#N/A,#N/A,TRUE,"1-1.부하계산기준";#N/A,#N/A,TRUE,"1-2.부하계산";#N/A,#N/A,TRUE,"1-3부하집계"}</definedName>
    <definedName name="선택">#REF!</definedName>
    <definedName name="선택층두께">0.2</definedName>
    <definedName name="선테ㄷ">#REF!</definedName>
    <definedName name="선투입금액">#REF!</definedName>
    <definedName name="선투입추정">#REF!</definedName>
    <definedName name="선투자다">{"'자리배치도'!$AG$1:$CI$28"}</definedName>
    <definedName name="선희">#REF!,#REF!,#REF!,#REF!,#REF!,#REF!,#REF!,#REF!,#REF!,#REF!,#REF!,#REF!,#REF!,#REF!,#REF!,#REF!,#REF!,#REF!,#REF!</definedName>
    <definedName name="설" hidden="1">#REF!</definedName>
    <definedName name="설계">#N/A</definedName>
    <definedName name="설계가">#N/A</definedName>
    <definedName name="설계간지">#REF!</definedName>
    <definedName name="설계공사">#REF!</definedName>
    <definedName name="설계공사1">#REF!</definedName>
    <definedName name="설계기준강도">#REF!</definedName>
    <definedName name="설계내역">#REF!</definedName>
    <definedName name="설계내역서" hidden="1">{"'별표'!$N$220"}</definedName>
    <definedName name="설계내역서최종">#N/A</definedName>
    <definedName name="설계단가">#REF!</definedName>
    <definedName name="설계단면력요약.SAP90Work">#N/A</definedName>
    <definedName name="설계대예산대비표" hidden="1">#REF!</definedName>
    <definedName name="설계도서검토" hidden="1">{#N/A,#N/A,FALSE,"손익표지";#N/A,#N/A,FALSE,"손익계산";#N/A,#N/A,FALSE,"일반관리비";#N/A,#N/A,FALSE,"영업외수익";#N/A,#N/A,FALSE,"영업외비용";#N/A,#N/A,FALSE,"매출액";#N/A,#N/A,FALSE,"요약손익";#N/A,#N/A,FALSE,"요약대차";#N/A,#N/A,FALSE,"매출채권현황";#N/A,#N/A,FALSE,"매출채권명세"}</definedName>
    <definedName name="설계변경" hidden="1">{#N/A,#N/A,FALSE,"CCTV"}</definedName>
    <definedName name="설계변경도서">#REF!</definedName>
    <definedName name="설계변경비">#REF!</definedName>
    <definedName name="설계변경요약">#REF!</definedName>
    <definedName name="설계변경총괄">#REF!</definedName>
    <definedName name="설계보상">#REF!</definedName>
    <definedName name="설계사">#REF!</definedName>
    <definedName name="설계삼">#REF!</definedName>
    <definedName name="설계서갑">#REF!</definedName>
    <definedName name="설계서갑지1">#REF!</definedName>
    <definedName name="설계서용지" localSheetId="0">BlankMacro1</definedName>
    <definedName name="설계서용지">BlankMacro1</definedName>
    <definedName name="설계서표지" hidden="1">#REF!</definedName>
    <definedName name="설계설명" hidden="1">#REF!</definedName>
    <definedName name="설계설명서">#REF!</definedName>
    <definedName name="설계설명서2" hidden="1">{#N/A,#N/A,FALSE,"전력간선"}</definedName>
    <definedName name="설계설명서3" hidden="1">{#N/A,#N/A,FALSE,"전력간선"}</definedName>
    <definedName name="설계설명서4" hidden="1">{#N/A,#N/A,FALSE,"전력간선"}</definedName>
    <definedName name="설계속도">#REF!</definedName>
    <definedName name="설계오">#REF!</definedName>
    <definedName name="설계육">#REF!</definedName>
    <definedName name="설계율">1</definedName>
    <definedName name="설계이">#REF!</definedName>
    <definedName name="설계전단력">#REF!</definedName>
    <definedName name="설계집계장">#REF!</definedName>
    <definedName name="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날" hidden="1">{#N/A,#N/A,FALSE,"단가표지"}</definedName>
    <definedName name="설명" hidden="1">{#N/A,#N/A,FALSE,"부대1"}</definedName>
    <definedName name="설명4">#REF!</definedName>
    <definedName name="설명서" hidden="1">{#N/A,#N/A,FALSE,"포장1";#N/A,#N/A,FALSE,"포장1"}</definedName>
    <definedName name="설명서1" hidden="1">{#N/A,#N/A,FALSE,"포장1";#N/A,#N/A,FALSE,"포장1"}</definedName>
    <definedName name="설문지" hidden="1">#REF!</definedName>
    <definedName name="설변" hidden="1">{#N/A,#N/A,FALSE,"월공사비집계표양식 (7)";#N/A,#N/A,FALSE,"월공사비집계표양식 (7)"}</definedName>
    <definedName name="설변2" hidden="1">{#N/A,#N/A,FALSE,"Sheet1"}</definedName>
    <definedName name="설변내역서" hidden="1">#REF!</definedName>
    <definedName name="설변사유" hidden="1">{#N/A,#N/A,TRUE,"1";#N/A,#N/A,TRUE,"2";#N/A,#N/A,TRUE,"3";#N/A,#N/A,TRUE,"4";#N/A,#N/A,TRUE,"5";#N/A,#N/A,TRUE,"6";#N/A,#N/A,TRUE,"7"}</definedName>
    <definedName name="설변최종">#N/A</definedName>
    <definedName name="설비">#REF!</definedName>
    <definedName name="설비_1" hidden="1">{#N/A,#N/A,FALSE,"이태원철근"}</definedName>
    <definedName name="설비_2" hidden="1">{#N/A,#N/A,FALSE,"이태원철근"}</definedName>
    <definedName name="설비_3" hidden="1">{#N/A,#N/A,FALSE,"이태원철근"}</definedName>
    <definedName name="설비1" localSheetId="0">BlankMacro1</definedName>
    <definedName name="설비1">BlankMacro1</definedName>
    <definedName name="설비견적" hidden="1">{#N/A,#N/A,FALSE,"골재소요량";#N/A,#N/A,FALSE,"골재소요량"}</definedName>
    <definedName name="설비견적서" hidden="1">{#N/A,#N/A,FALSE,"현장 NCR 분석";#N/A,#N/A,FALSE,"현장품질감사";#N/A,#N/A,FALSE,"현장품질감사"}</definedName>
    <definedName name="설비경비">#REF!,#REF!</definedName>
    <definedName name="설비공내역" hidden="1">{#N/A,#N/A,FALSE,"CCTV"}</definedName>
    <definedName name="설비공사" hidden="1">{#N/A,#N/A,FALSE,"전력간선"}</definedName>
    <definedName name="설비공사비1">#REF!</definedName>
    <definedName name="설비기초일위">#REF!</definedName>
    <definedName name="설비노무">#REF!,#REF!</definedName>
    <definedName name="설비마감">#REF!</definedName>
    <definedName name="설비마감1">#REF!</definedName>
    <definedName name="설비방호">#N/A</definedName>
    <definedName name="설비산출">{"'건축내역'!$A$1:$L$413"}</definedName>
    <definedName name="설비상세산출서" hidden="1">{#N/A,#N/A,FALSE,"단가표지"}</definedName>
    <definedName name="설비서비스">#N/A</definedName>
    <definedName name="설비예비품" hidden="1">{#N/A,#N/A,FALSE,"전력간선"}</definedName>
    <definedName name="설비원가집계표" hidden="1">#REF!</definedName>
    <definedName name="설비재료">#REF!,#REF!</definedName>
    <definedName name="설비제어">#N/A</definedName>
    <definedName name="설비집계">#REF!</definedName>
    <definedName name="설비합계">#REF!,#REF!</definedName>
    <definedName name="설비현조">#N/A</definedName>
    <definedName name="설비powerload" hidden="1">#REF!</definedName>
    <definedName name="설서">{"'별표'!$N$220"}</definedName>
    <definedName name="설아콘도7월">#REF!</definedName>
    <definedName name="설집">#REF!</definedName>
    <definedName name="설치" hidden="1">{#N/A,#N/A,FALSE,"조골재"}</definedName>
    <definedName name="설치간재">#REF!</definedName>
    <definedName name="설치공사" hidden="1">{#N/A,#N/A,FALSE,"운반시간"}</definedName>
    <definedName name="설치비">#REF!</definedName>
    <definedName name="설치비1">#REF!</definedName>
    <definedName name="설치자재2">#REF!</definedName>
    <definedName name="설치직노">#REF!</definedName>
    <definedName name="설치직재">#REF!</definedName>
    <definedName name="설치효대GIS산출시트"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섬잣">#REF!</definedName>
    <definedName name="성">#REF!</definedName>
    <definedName name="성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급">#REF!</definedName>
    <definedName name="성기" hidden="1">{#N/A,#N/A,FALSE,"생산성";#N/A,#N/A,FALSE,"인력1";#N/A,#N/A,FALSE,"인력2";#N/A,#N/A,FALSE,"인력3";#N/A,#N/A,FALSE,"인건1";#N/A,#N/A,FALSE,"인건2";#N/A,#N/A,FALSE,"인건3";#N/A,#N/A,FALSE,"인원증감";#N/A,#N/A,FALSE,"인건증감";#N/A,#N/A,FALSE,"표지등"}</definedName>
    <definedName name="성내중건임대테이블">#REF!</definedName>
    <definedName name="성능보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명">#REF!</definedName>
    <definedName name="성산1호">#REF!</definedName>
    <definedName name="성산2호">#REF!</definedName>
    <definedName name="성산3호">#REF!</definedName>
    <definedName name="성산4호">#REF!</definedName>
    <definedName name="성산5호">#REF!</definedName>
    <definedName name="성실한" hidden="1">{#N/A,#N/A,FALSE,"현장 NCR 분석";#N/A,#N/A,FALSE,"현장품질감사";#N/A,#N/A,FALSE,"현장품질감사"}</definedName>
    <definedName name="성암" hidden="1">{#N/A,#N/A,FALSE,"지침";#N/A,#N/A,FALSE,"환경분석";#N/A,#N/A,FALSE,"Sheet16"}</definedName>
    <definedName name="성용" hidden="1">{#N/A,#N/A,FALSE,"생산성";#N/A,#N/A,FALSE,"인력1";#N/A,#N/A,FALSE,"인력2";#N/A,#N/A,FALSE,"인력3";#N/A,#N/A,FALSE,"인건1";#N/A,#N/A,FALSE,"인건2";#N/A,#N/A,FALSE,"인건3";#N/A,#N/A,FALSE,"인원증감";#N/A,#N/A,FALSE,"인건증감";#N/A,#N/A,FALSE,"표지등"}</definedName>
    <definedName name="성우" hidden="1">{#N/A,#N/A,FALSE,"CCTV"}</definedName>
    <definedName name="성유2N3">{"'광피스표'!$A$3:$N$54"}</definedName>
    <definedName name="성일건설" hidden="1">{#N/A,#N/A,FALSE,"현장 NCR 분석";#N/A,#N/A,FALSE,"현장품질감사";#N/A,#N/A,FALSE,"현장품질감사"}</definedName>
    <definedName name="성일건설_1" hidden="1">{#N/A,#N/A,FALSE,"현장 NCR 분석";#N/A,#N/A,FALSE,"현장품질감사";#N/A,#N/A,FALSE,"현장품질감사"}</definedName>
    <definedName name="성일건설_2" hidden="1">{#N/A,#N/A,FALSE,"현장 NCR 분석";#N/A,#N/A,FALSE,"현장품질감사";#N/A,#N/A,FALSE,"현장품질감사"}</definedName>
    <definedName name="성일건설_3" hidden="1">{#N/A,#N/A,FALSE,"현장 NCR 분석";#N/A,#N/A,FALSE,"현장품질감사";#N/A,#N/A,FALSE,"현장품질감사"}</definedName>
    <definedName name="성전">#REF!,#REF!</definedName>
    <definedName name="성전사">#REF!</definedName>
    <definedName name="성전사2">#REF!</definedName>
    <definedName name="성토">#REF!</definedName>
    <definedName name="성토3">#REF!</definedName>
    <definedName name="성토과재" hidden="1">{#N/A,#N/A,FALSE,"조골재"}</definedName>
    <definedName name="성토도쟈">#REF!</definedName>
    <definedName name="성토부도수로_재료수량산출">#REF!</definedName>
    <definedName name="성토부도수로_토공수량산출">#REF!</definedName>
    <definedName name="성형동소방">#REF!</definedName>
    <definedName name="섷" hidden="1">{#N/A,#N/A,FALSE,"표지목차"}</definedName>
    <definedName name="세금">#REF!</definedName>
    <definedName name="세금계산서">#N/A</definedName>
    <definedName name="세대" hidden="1">{#N/A,#N/A,TRUE,"토적및재료집계";#N/A,#N/A,TRUE,"토적및재료집계";#N/A,#N/A,TRUE,"단위량"}</definedName>
    <definedName name="세대단가표1">#REF!</definedName>
    <definedName name="세대단가표2">#REF!</definedName>
    <definedName name="세대수">#REF!</definedName>
    <definedName name="세대수번호">#REF!</definedName>
    <definedName name="세대표시판">#REF!</definedName>
    <definedName name="세라민페인트">#REF!</definedName>
    <definedName name="세라민페인트노">#REF!</definedName>
    <definedName name="세로" hidden="1">{#N/A,#N/A,FALSE,"전력간선"}</definedName>
    <definedName name="세륜" hidden="1">{#N/A,#N/A,FALSE,"조골재"}</definedName>
    <definedName name="세륜2" hidden="1">#REF!</definedName>
    <definedName name="세륜세차" hidden="1">#REF!</definedName>
    <definedName name="세륜장11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세부" hidden="1">{#N/A,#N/A,TRUE,"대외공문"}</definedName>
    <definedName name="세부_1" hidden="1">{#N/A,#N/A,TRUE,"대외공문"}</definedName>
    <definedName name="세부_2" hidden="1">{#N/A,#N/A,TRUE,"대외공문"}</definedName>
    <definedName name="세부_3" hidden="1">{#N/A,#N/A,TRUE,"대외공문"}</definedName>
    <definedName name="세부2" hidden="1">{#N/A,#N/A,FALSE,"생산성";#N/A,#N/A,FALSE,"인력1";#N/A,#N/A,FALSE,"인력2";#N/A,#N/A,FALSE,"인력3";#N/A,#N/A,FALSE,"인건1";#N/A,#N/A,FALSE,"인건2";#N/A,#N/A,FALSE,"인건3";#N/A,#N/A,FALSE,"인원증감";#N/A,#N/A,FALSE,"인건증감";#N/A,#N/A,FALSE,"표지등"}</definedName>
    <definedName name="세부3" hidden="1">{#N/A,#N/A,TRUE,"대외공문"}</definedName>
    <definedName name="세부3_1" hidden="1">{#N/A,#N/A,TRUE,"대외공문"}</definedName>
    <definedName name="세부3_2" hidden="1">{#N/A,#N/A,TRUE,"대외공문"}</definedName>
    <definedName name="세부3_3" hidden="1">{#N/A,#N/A,TRUE,"대외공문"}</definedName>
    <definedName name="세부내역">#REF!</definedName>
    <definedName name="세부내역서" hidden="1">{#N/A,#N/A,FALSE,"Sheet1"}</definedName>
    <definedName name="세부분석">#REF!,#REF!</definedName>
    <definedName name="세신주류" hidden="1">{#N/A,#N/A,FALSE,"생산성";#N/A,#N/A,FALSE,"인력1";#N/A,#N/A,FALSE,"인력2";#N/A,#N/A,FALSE,"인력3";#N/A,#N/A,FALSE,"인건1";#N/A,#N/A,FALSE,"인건2";#N/A,#N/A,FALSE,"인건3";#N/A,#N/A,FALSE,"인원증감";#N/A,#N/A,FALSE,"인건증감";#N/A,#N/A,FALSE,"표지등"}</definedName>
    <definedName name="세신주류1" hidden="1">{#N/A,#N/A,FALSE,"생산성";#N/A,#N/A,FALSE,"인력1";#N/A,#N/A,FALSE,"인력2";#N/A,#N/A,FALSE,"인력3";#N/A,#N/A,FALSE,"인건1";#N/A,#N/A,FALSE,"인건2";#N/A,#N/A,FALSE,"인건3";#N/A,#N/A,FALSE,"인원증감";#N/A,#N/A,FALSE,"인건증감";#N/A,#N/A,FALSE,"표지등"}</definedName>
    <definedName name="세전익익" hidden="1">{#N/A,#N/A,FALSE,"지침";#N/A,#N/A,FALSE,"환경분석";#N/A,#N/A,FALSE,"Sheet16"}</definedName>
    <definedName name="셋월">#REF!</definedName>
    <definedName name="셋트앵커">2131</definedName>
    <definedName name="셋트앵커2">685.55</definedName>
    <definedName name="셔갸9" localSheetId="0">BlankMacro1</definedName>
    <definedName name="셔갸9">BlankMacro1</definedName>
    <definedName name="셔다뎌ㅕㅕ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다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울인" hidden="1">{#N/A,#N/A,FALSE,"조골재"}</definedName>
    <definedName name="셔터공">#REF!</definedName>
    <definedName name="셔ㅏㅓ가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ㅑㅐㅛ" hidden="1">{#N/A,#N/A,FALSE,"조골재"}</definedName>
    <definedName name="셔ㅑㅕ소" hidden="1">{#N/A,#N/A,FALSE,"단가표지"}</definedName>
    <definedName name="셔ㅑㅗㅕㅇㅀ" hidden="1">{#N/A,#N/A,FALSE,"단가표지"}</definedName>
    <definedName name="셔ㅑㅣㅏ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ㅓㅗㅎ" hidden="1">{#N/A,#N/A,FALSE,"골재소요량";#N/A,#N/A,FALSE,"골재소요량"}</definedName>
    <definedName name="셔ㅛ" hidden="1">{#N/A,#N/A,FALSE,"운반시간"}</definedName>
    <definedName name="셧터공">#N/A</definedName>
    <definedName name="셩" hidden="1">{#N/A,#N/A,FALSE,"구조1"}</definedName>
    <definedName name="셪" hidden="1">{#N/A,#N/A,FALSE,"표지목차"}</definedName>
    <definedName name="소">#REF!</definedName>
    <definedName name="소33" hidden="1">{#N/A,#N/A,FALSE,"이태원철근"}</definedName>
    <definedName name="소간">#REF!</definedName>
    <definedName name="소갑">#REF!</definedName>
    <definedName name="소개소">#REF!</definedName>
    <definedName name="소거">#REF!</definedName>
    <definedName name="소계">#REF!</definedName>
    <definedName name="소계1">#REF!</definedName>
    <definedName name="소계10">#REF!</definedName>
    <definedName name="소계11">#REF!</definedName>
    <definedName name="소계12">#REF!</definedName>
    <definedName name="소계13">#REF!</definedName>
    <definedName name="소계14">#REF!</definedName>
    <definedName name="소계15">#REF!</definedName>
    <definedName name="소계16">#REF!</definedName>
    <definedName name="소계17">#REF!</definedName>
    <definedName name="소계18">#REF!</definedName>
    <definedName name="소계19">#REF!</definedName>
    <definedName name="소계2">#REF!</definedName>
    <definedName name="소계20">#REF!</definedName>
    <definedName name="소계21">#REF!</definedName>
    <definedName name="소계22">#REF!</definedName>
    <definedName name="소계23">#REF!</definedName>
    <definedName name="소계24">#REF!</definedName>
    <definedName name="소계25">#REF!</definedName>
    <definedName name="소계26">#REF!</definedName>
    <definedName name="소계27">#REF!</definedName>
    <definedName name="소계28">#REF!</definedName>
    <definedName name="소계29">#REF!</definedName>
    <definedName name="소계3">#REF!</definedName>
    <definedName name="소계30">#REF!</definedName>
    <definedName name="소계31">#REF!</definedName>
    <definedName name="소계32">#REF!</definedName>
    <definedName name="소계33">#REF!</definedName>
    <definedName name="소계34">#REF!</definedName>
    <definedName name="소계35">#REF!</definedName>
    <definedName name="소계36">#REF!</definedName>
    <definedName name="소계37">#REF!</definedName>
    <definedName name="소계38">#REF!</definedName>
    <definedName name="소계39">#REF!</definedName>
    <definedName name="소계4">#REF!</definedName>
    <definedName name="소계40">#REF!</definedName>
    <definedName name="소계41">#REF!</definedName>
    <definedName name="소계42">#REF!</definedName>
    <definedName name="소계43">#REF!</definedName>
    <definedName name="소계44">#REF!</definedName>
    <definedName name="소계45">#REF!</definedName>
    <definedName name="소계46">#REF!</definedName>
    <definedName name="소계47">#REF!</definedName>
    <definedName name="소계48">#REF!</definedName>
    <definedName name="소계49">#REF!</definedName>
    <definedName name="소계5">#REF!</definedName>
    <definedName name="소계50">#REF!</definedName>
    <definedName name="소계51">#REF!</definedName>
    <definedName name="소계52">#REF!</definedName>
    <definedName name="소계53">#REF!</definedName>
    <definedName name="소계6">#REF!</definedName>
    <definedName name="소계7">#REF!</definedName>
    <definedName name="소계8">#REF!</definedName>
    <definedName name="소계9">#REF!</definedName>
    <definedName name="소공2">#N/A</definedName>
    <definedName name="소공3">#N/A</definedName>
    <definedName name="소공종">#REF!</definedName>
    <definedName name="소관경">#REF!</definedName>
    <definedName name="소구경_supt자재" hidden="1">#REF!</definedName>
    <definedName name="소균호"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소나무">#REF!</definedName>
    <definedName name="소나무10">#REF!</definedName>
    <definedName name="소나무15">#REF!</definedName>
    <definedName name="소나무20">#REF!</definedName>
    <definedName name="소나무H2.5">#REF!</definedName>
    <definedName name="소나무H3.0">#REF!</definedName>
    <definedName name="소나무H4.0">#REF!</definedName>
    <definedName name="소나무H5.0">#REF!</definedName>
    <definedName name="소닉" hidden="1">{#N/A,#N/A,FALSE,"지침";#N/A,#N/A,FALSE,"환경분석";#N/A,#N/A,FALSE,"Sheet16"}</definedName>
    <definedName name="소러서" hidden="1">{#N/A,#N/A,FALSE,"혼합골재"}</definedName>
    <definedName name="소려ㅕㅛㅎㄷ" hidden="1">{#N/A,#N/A,FALSE,"운반시간"}</definedName>
    <definedName name="소르" hidden="1">{#N/A,#N/A,FALSE,"단가표지"}</definedName>
    <definedName name="소리" hidden="1">{"'제10장(표)'!$A$5:$L$10"}</definedName>
    <definedName name="소망아파트">#N/A</definedName>
    <definedName name="소모">#REF!</definedName>
    <definedName name="소모량">#N/A</definedName>
    <definedName name="소모자재">#REF!</definedName>
    <definedName name="소모자재1">#REF!</definedName>
    <definedName name="소모품비">#REF!</definedName>
    <definedName name="소방">#REF!</definedName>
    <definedName name="소방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방공량산출서" localSheetId="0">BlankMacro1</definedName>
    <definedName name="소방공량산출서">BlankMacro1</definedName>
    <definedName name="소방공사">#REF!</definedName>
    <definedName name="소방내역" localSheetId="0">BlankMacro1</definedName>
    <definedName name="소방내역">BlankMacro1</definedName>
    <definedName name="소방내역서" localSheetId="0">BlankMacro1</definedName>
    <definedName name="소방내역서">BlankMacro1</definedName>
    <definedName name="소방배관">#REF!</definedName>
    <definedName name="소방사항" hidden="1">#REF!</definedName>
    <definedName name="소방설비">#N/A</definedName>
    <definedName name="소방자재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방자재하도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방집계">[0]!CYY3L</definedName>
    <definedName name="소비자" hidden="1">{#N/A,#N/A,FALSE,"현장 NCR 분석";#N/A,#N/A,FALSE,"현장품질감사";#N/A,#N/A,FALSE,"현장품질감사"}</definedName>
    <definedName name="소ㅅ">#REF!</definedName>
    <definedName name="소석회">#REF!</definedName>
    <definedName name="소소" hidden="1">{#N/A,#N/A,FALSE,"운반시간"}</definedName>
    <definedName name="소속">#REF!</definedName>
    <definedName name="소수력">#N/A</definedName>
    <definedName name="소요계획" hidden="1">{#N/A,#N/A,FALSE,"이태원철근"}</definedName>
    <definedName name="소요계획2" hidden="1">{#N/A,#N/A,FALSE,"예상손익";#N/A,#N/A,FALSE,"관리분석";#N/A,#N/A,FALSE,"장비분석";#N/A,#N/A,FALSE,"준설분석";#N/A,#N/A,FALSE,"철구분석"}</definedName>
    <definedName name="소음진동">#REF!</definedName>
    <definedName name="소음진동측정">#REF!</definedName>
    <definedName name="소일위대가1">#REF!</definedName>
    <definedName name="소장">#REF!</definedName>
    <definedName name="소켓무게">#REF!</definedName>
    <definedName name="소트">#REF!</definedName>
    <definedName name="소포장" hidden="1">{#N/A,#N/A,FALSE,"견적갑지";#N/A,#N/A,FALSE,"총괄표";#N/A,#N/A,FALSE,"철골공사";#N/A,#N/A,FALSE,"토목공사";#N/A,#N/A,FALSE,"판넬전기공사"}</definedName>
    <definedName name="소포장설비" hidden="1">{#N/A,#N/A,FALSE,"견적갑지";#N/A,#N/A,FALSE,"총괄표";#N/A,#N/A,FALSE,"철골공사";#N/A,#N/A,FALSE,"토목공사";#N/A,#N/A,FALSE,"판넬전기공사"}</definedName>
    <definedName name="소하동" hidden="1">{#N/A,#N/A,FALSE,"표지목차"}</definedName>
    <definedName name="소형B손료">#REF!</definedName>
    <definedName name="소화" hidden="1">{#N/A,#N/A,FALSE,"전력간선"}</definedName>
    <definedName name="소화_1" hidden="1">{#N/A,#N/A,FALSE,"전력간선"}</definedName>
    <definedName name="소화감압">#REF!</definedName>
    <definedName name="소화갑지" hidden="1">{#N/A,#N/A,FALSE,"CCTV"}</definedName>
    <definedName name="소화갑지_1" hidden="1">{#N/A,#N/A,FALSE,"CCTV"}</definedName>
    <definedName name="소화기">#REF!</definedName>
    <definedName name="소화마찰손실">#REF!</definedName>
    <definedName name="소화배관" hidden="1">{#N/A,#N/A,FALSE,"전력간선"}</definedName>
    <definedName name="소화수금계획" hidden="1">{#N/A,#N/A,FALSE,"Sheet1"}</definedName>
    <definedName name="소화양정1">#REF!</definedName>
    <definedName name="소화양정계산">#REF!</definedName>
    <definedName name="소화펌프">#REF!</definedName>
    <definedName name="소화펌프선정">#REF!</definedName>
    <definedName name="소횰" hidden="1">{#N/A,#N/A,FALSE,"조골재"}</definedName>
    <definedName name="소ㅓ" hidden="1">{#N/A,#N/A,FALSE,"2~8번"}</definedName>
    <definedName name="소ㅓ샤ㅗ" hidden="1">{#N/A,#N/A,FALSE,"단가표지"}</definedName>
    <definedName name="소ㅓㅏㅈㄴ서ㅡㅜㅊ크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ㅓㅛㅑ" hidden="1">{#N/A,#N/A,FALSE,"단가표지"}</definedName>
    <definedName name="소ㅕㅛㅡ" hidden="1">{#N/A,#N/A,FALSE,"표지목차"}</definedName>
    <definedName name="소ㅗㅇ유ㅠ" hidden="1">{#N/A,#N/A,FALSE,"지침";#N/A,#N/A,FALSE,"환경분석";#N/A,#N/A,FALSE,"Sheet16"}</definedName>
    <definedName name="소ㅗㅗ" hidden="1">{#N/A,#N/A,FALSE,"이태원철근"}</definedName>
    <definedName name="소ㅛ" hidden="1">{#N/A,#N/A,FALSE,"운반시간"}</definedName>
    <definedName name="속">#N/A</definedName>
    <definedName name="속도" hidden="1">{#N/A,#N/A,FALSE,"속도"}</definedName>
    <definedName name="속도2" hidden="1">{#N/A,#N/A,FALSE,"속도"}</definedName>
    <definedName name="속도23" hidden="1">{#N/A,#N/A,FALSE,"속도"}</definedName>
    <definedName name="속도감" hidden="1">{#N/A,#N/A,FALSE,"속도"}</definedName>
    <definedName name="속초" hidden="1">{#N/A,#N/A,FALSE,"현장 NCR 분석";#N/A,#N/A,FALSE,"현장품질감사";#N/A,#N/A,FALSE,"현장품질감사"}</definedName>
    <definedName name="속ㅀ" hidden="1">{#N/A,#N/A,FALSE,"운반시간"}</definedName>
    <definedName name="손">#N/A</definedName>
    <definedName name="손료">#REF!</definedName>
    <definedName name="손료1">#REF!</definedName>
    <definedName name="손료A">#REF!</definedName>
    <definedName name="손석만년도계획서">#REF!</definedName>
    <definedName name="손영주" hidden="1">{#N/A,#N/A,FALSE,"조골재"}</definedName>
    <definedName name="손은주" hidden="1">{#N/A,#N/A,FALSE,"전력간선"}</definedName>
    <definedName name="손익">#REF!</definedName>
    <definedName name="손익3" hidden="1">{#N/A,#N/A,FALSE,"UNIT";#N/A,#N/A,FALSE,"UNIT";#N/A,#N/A,FALSE,"계정"}</definedName>
    <definedName name="손익계산서" hidden="1">#REF!</definedName>
    <definedName name="손익변경" hidden="1">{#N/A,#N/A,FALSE,"지침";#N/A,#N/A,FALSE,"환경분석";#N/A,#N/A,FALSE,"Sheet16"}</definedName>
    <definedName name="손익보고">#REF!</definedName>
    <definedName name="손익분기">#REF!</definedName>
    <definedName name="손익집계">#REF!,#REF!,#REF!,#REF!,#REF!</definedName>
    <definedName name="손익추정목표" hidden="1">{#N/A,#N/A,FALSE,"전력간선"}</definedName>
    <definedName name="손해보험료">#REF!</definedName>
    <definedName name="손홍규">#REF!</definedName>
    <definedName name="솓소돋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솔" hidden="1">{#N/A,#N/A,FALSE,"조골재"}</definedName>
    <definedName name="솔비" hidden="1">{#N/A,#N/A,FALSE,"이태원철근"}</definedName>
    <definedName name="솞"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솟ㄱ" hidden="1">{#N/A,#N/A,FALSE,"혼합골재"}</definedName>
    <definedName name="송">#REF!</definedName>
    <definedName name="송_전__전__공">#REF!</definedName>
    <definedName name="송게주">#REF!</definedName>
    <definedName name="송곡교">#REF!</definedName>
    <definedName name="송권용" hidden="1">{#N/A,#N/A,FALSE,"Sheet1"}</definedName>
    <definedName name="송내수익변경내역" hidden="1">#REF!</definedName>
    <definedName name="송도" localSheetId="0">BlankMacro1</definedName>
    <definedName name="송도">BlankMacro1</definedName>
    <definedName name="송롷오" localSheetId="0">BlankMacro1</definedName>
    <definedName name="송롷오">BlankMacro1</definedName>
    <definedName name="송버주">#REF!</definedName>
    <definedName name="송수관로구경">#REF!</definedName>
    <definedName name="송스45">#REF!</definedName>
    <definedName name="송스90">#REF!</definedName>
    <definedName name="송스배">#REF!</definedName>
    <definedName name="송스티">#REF!</definedName>
    <definedName name="송스RED">#REF!</definedName>
    <definedName name="송스RT">#REF!</definedName>
    <definedName name="송악노무">#REF!</definedName>
    <definedName name="송악재료">#REF!</definedName>
    <definedName name="송전2004">#REF!</definedName>
    <definedName name="송전전공">#REF!</definedName>
    <definedName name="송전전공001">#REF!</definedName>
    <definedName name="송전전공002">#REF!</definedName>
    <definedName name="송전전공011">#REF!</definedName>
    <definedName name="송전전공982">#REF!</definedName>
    <definedName name="송전전공991">#REF!</definedName>
    <definedName name="송전전공992">#REF!</definedName>
    <definedName name="송전환선전공011">#REF!</definedName>
    <definedName name="송전활2004">#REF!</definedName>
    <definedName name="송전활선전공">#REF!</definedName>
    <definedName name="송전활선전공001">#REF!</definedName>
    <definedName name="송전활선전공002">#REF!</definedName>
    <definedName name="송전활선전공982">#REF!</definedName>
    <definedName name="송전활선전공991">#REF!</definedName>
    <definedName name="송전활선전공992">#REF!</definedName>
    <definedName name="송천1">#REF!</definedName>
    <definedName name="송천2">#REF!</definedName>
    <definedName name="송천3집계" hidden="1">{#N/A,#N/A,FALSE,"조골재"}</definedName>
    <definedName name="송체주">#REF!</definedName>
    <definedName name="송탄" hidden="1">{#N/A,#N/A,FALSE,"현장 NCR 분석";#N/A,#N/A,FALSE,"현장품질감사";#N/A,#N/A,FALSE,"현장품질감사"}</definedName>
    <definedName name="송플스">#REF!</definedName>
    <definedName name="송FL스">#REF!</definedName>
    <definedName name="소B7">#REF!</definedName>
    <definedName name="쇠흙손경비">#REF!</definedName>
    <definedName name="쇠흙손노">#REF!</definedName>
    <definedName name="쇠흙손노무비">#REF!</definedName>
    <definedName name="쇠흙손마감">#REF!</definedName>
    <definedName name="쇠흙손재료비">#REF!</definedName>
    <definedName name="쇠ㅗ" hidden="1">{#N/A,#N/A,FALSE,"골재소요량";#N/A,#N/A,FALSE,"골재소요량"}</definedName>
    <definedName name="쇼" hidden="1">{#N/A,#N/A,FALSE,"포장1";#N/A,#N/A,FALSE,"포장1"}</definedName>
    <definedName name="쇼뇨ㅕㅓ뎌ㅛ" hidden="1">{#N/A,#N/A,FALSE,"조골재"}</definedName>
    <definedName name="쇼더ㅕ뎌ㅛ더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ㅕ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ㅛ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뎌ㅕㅑㅐㅕㄷ" hidden="1">{#N/A,#N/A,FALSE,"운반시간"}</definedName>
    <definedName name="쇼쇼">#N/A</definedName>
    <definedName name="쇼젓ㅅㅅㅅㅅㄷ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hidden="1">{#N/A,#N/A,FALSE,"Sheet6"}</definedName>
    <definedName name="쇼ㅏㅕ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ㅡㅕ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ㅣㅏ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ㅑ786ㅛㄷ456" hidden="1">{#N/A,#N/A,FALSE,"골재소요량";#N/A,#N/A,FALSE,"골재소요량"}</definedName>
    <definedName name="쇼ㅑㅗㄱ뇨ㅕㅑㅓ숃" hidden="1">{#N/A,#N/A,FALSE,"단가표지"}</definedName>
    <definedName name="쇼ㅓㄱ너">#REF!</definedName>
    <definedName name="쇼ㅓ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더ㅓㅓ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ㄹ" hidden="1">{#N/A,#N/A,FALSE,"현장 NCR 분석";#N/A,#N/A,FALSE,"현장품질감사";#N/A,#N/A,FALSE,"현장품질감사"}</definedName>
    <definedName name="쇼ㅓㅅ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서ㅕ" hidden="1">{#N/A,#N/A,FALSE,"조골재"}</definedName>
    <definedName name="쇼ㅓ섯" hidden="1">{#N/A,#N/A,FALSE,"단가표지"}</definedName>
    <definedName name="쇼ㅓㅏ뎌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ㅓ" hidden="1">{#N/A,#N/A,FALSE,"혼합골재"}</definedName>
    <definedName name="쇼ㅓㅏㅣ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ㅓ쇼" hidden="1">{#N/A,#N/A,FALSE,"혼합골재"}</definedName>
    <definedName name="쇼ㅓㅕ" hidden="1">{#N/A,#N/A,FALSE,"단가표지"}</definedName>
    <definedName name="쇼ㅓㅗ쇼ㅓ" hidden="1">{#N/A,#N/A,FALSE,"혼합골재"}</definedName>
    <definedName name="쇼ㅓㅛㅅ">#REF!</definedName>
    <definedName name="쇼ㅓㅛㅕㅕ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ㅕ">#REF!,#REF!,#REF!</definedName>
    <definedName name="쇼ㅕㄷㄷㄷ" hidden="1">{#N/A,#N/A,FALSE,"단가표지"}</definedName>
    <definedName name="쇼ㅗ" hidden="1">{#N/A,#N/A,FALSE,"단가표지"}</definedName>
    <definedName name="쇼ㅗㅓ" hidden="1">{#N/A,#N/A,FALSE,"골재소요량";#N/A,#N/A,FALSE,"골재소요량"}</definedName>
    <definedName name="쇼ㅗㅗ" hidden="1">{#N/A,#N/A,FALSE,"단가표지"}</definedName>
    <definedName name="쇽" hidden="1">{#N/A,#N/A,FALSE,"구조1"}</definedName>
    <definedName name="숏교" hidden="1">{#N/A,#N/A,FALSE,"Sheet6"}</definedName>
    <definedName name="숏크리트">#REF!</definedName>
    <definedName name="숏크리트1">#REF!</definedName>
    <definedName name="수" hidden="1">#REF!</definedName>
    <definedName name="수____종">#REF!</definedName>
    <definedName name="수_량">#N/A</definedName>
    <definedName name="수1소B">#REF!</definedName>
    <definedName name="수간6노">#REF!</definedName>
    <definedName name="수간6재">#REF!</definedName>
    <definedName name="수간8노">#REF!</definedName>
    <definedName name="수간8재">#REF!</definedName>
    <definedName name="수간보호거적10">#REF!</definedName>
    <definedName name="수간보호거적100">#REF!</definedName>
    <definedName name="수간보호거적15">#REF!</definedName>
    <definedName name="수간보호거적20">#REF!</definedName>
    <definedName name="수간보호거적25">#REF!</definedName>
    <definedName name="수간보호거적30">#REF!</definedName>
    <definedName name="수간보호거적35">#REF!</definedName>
    <definedName name="수간보호거적40">#REF!</definedName>
    <definedName name="수간보호거적45">#REF!</definedName>
    <definedName name="수간보호거적5">#REF!</definedName>
    <definedName name="수간보호거적50">#REF!</definedName>
    <definedName name="수간보호거적55">#REF!</definedName>
    <definedName name="수간보호거적60">#REF!</definedName>
    <definedName name="수간보호거적65">#REF!</definedName>
    <definedName name="수간보호거적70">#REF!</definedName>
    <definedName name="수간보호거적75">#REF!</definedName>
    <definedName name="수간보호거적80">#REF!</definedName>
    <definedName name="수간보호거적85">#REF!</definedName>
    <definedName name="수간보호거적90">#REF!</definedName>
    <definedName name="수간보호거적95">#REF!</definedName>
    <definedName name="수간보호보통인부10">#REF!</definedName>
    <definedName name="수간보호보통인부100">#REF!</definedName>
    <definedName name="수간보호보통인부15">#REF!</definedName>
    <definedName name="수간보호보통인부20">#REF!</definedName>
    <definedName name="수간보호보통인부25">#REF!</definedName>
    <definedName name="수간보호보통인부30">#REF!</definedName>
    <definedName name="수간보호보통인부35">#REF!</definedName>
    <definedName name="수간보호보통인부40">#REF!</definedName>
    <definedName name="수간보호보통인부45">#REF!</definedName>
    <definedName name="수간보호보통인부5">#REF!</definedName>
    <definedName name="수간보호보통인부50">#REF!</definedName>
    <definedName name="수간보호보통인부55">#REF!</definedName>
    <definedName name="수간보호보통인부60">#REF!</definedName>
    <definedName name="수간보호보통인부65">#REF!</definedName>
    <definedName name="수간보호보통인부70">#REF!</definedName>
    <definedName name="수간보호보통인부75">#REF!</definedName>
    <definedName name="수간보호보통인부80">#REF!</definedName>
    <definedName name="수간보호보통인부85">#REF!</definedName>
    <definedName name="수간보호보통인부90">#REF!</definedName>
    <definedName name="수간보호보통인부95">#REF!</definedName>
    <definedName name="수간보호새끼10">#REF!</definedName>
    <definedName name="수간보호새끼100">#REF!</definedName>
    <definedName name="수간보호새끼15">#REF!</definedName>
    <definedName name="수간보호새끼20">#REF!</definedName>
    <definedName name="수간보호새끼25">#REF!</definedName>
    <definedName name="수간보호새끼30">#REF!</definedName>
    <definedName name="수간보호새끼35">#REF!</definedName>
    <definedName name="수간보호새끼40">#REF!</definedName>
    <definedName name="수간보호새끼45">#REF!</definedName>
    <definedName name="수간보호새끼5">#REF!</definedName>
    <definedName name="수간보호새끼50">#REF!</definedName>
    <definedName name="수간보호새끼55">#REF!</definedName>
    <definedName name="수간보호새끼60">#REF!</definedName>
    <definedName name="수간보호새끼65">#REF!</definedName>
    <definedName name="수간보호새끼70">#REF!</definedName>
    <definedName name="수간보호새끼75">#REF!</definedName>
    <definedName name="수간보호새끼80">#REF!</definedName>
    <definedName name="수간보호새끼85">#REF!</definedName>
    <definedName name="수간보호새끼90">#REF!</definedName>
    <definedName name="수간보호새끼95">#REF!</definedName>
    <definedName name="수간보호조경공10">#REF!</definedName>
    <definedName name="수간보호조경공100">#REF!</definedName>
    <definedName name="수간보호조경공15">#REF!</definedName>
    <definedName name="수간보호조경공20">#REF!</definedName>
    <definedName name="수간보호조경공25">#REF!</definedName>
    <definedName name="수간보호조경공30">#REF!</definedName>
    <definedName name="수간보호조경공35">#REF!</definedName>
    <definedName name="수간보호조경공40">#REF!</definedName>
    <definedName name="수간보호조경공45">#REF!</definedName>
    <definedName name="수간보호조경공5">#REF!</definedName>
    <definedName name="수간보호조경공50">#REF!</definedName>
    <definedName name="수간보호조경공55">#REF!</definedName>
    <definedName name="수간보호조경공60">#REF!</definedName>
    <definedName name="수간보호조경공65">#REF!</definedName>
    <definedName name="수간보호조경공70">#REF!</definedName>
    <definedName name="수간보호조경공75">#REF!</definedName>
    <definedName name="수간보호조경공80">#REF!</definedName>
    <definedName name="수간보호조경공85">#REF!</definedName>
    <definedName name="수간보호조경공90">#REF!</definedName>
    <definedName name="수간보호조경공95">#REF!</definedName>
    <definedName name="수경" hidden="1">{#N/A,#N/A,FALSE,"도급대비시행율";#N/A,#N/A,FALSE,"결의서";#N/A,#N/A,FALSE,"내역서";#N/A,#N/A,FALSE,"도급예상"}</definedName>
    <definedName name="수경단가">#REF!</definedName>
    <definedName name="수경단가1">#REF!</definedName>
    <definedName name="수경비고">#REF!</definedName>
    <definedName name="수경일위">#REF!</definedName>
    <definedName name="수금">#REF!</definedName>
    <definedName name="수급인상호">#REF!</definedName>
    <definedName name="수급인성명">#REF!</definedName>
    <definedName name="수급인주소">#REF!</definedName>
    <definedName name="수도료">#REF!</definedName>
    <definedName name="수량">#REF!</definedName>
    <definedName name="數量">#REF!</definedName>
    <definedName name="수량1">#REF!</definedName>
    <definedName name="수량3" hidden="1">{#N/A,#N/A,FALSE,"포장단가"}</definedName>
    <definedName name="수량검토">#REF!</definedName>
    <definedName name="수량계산">#REF!</definedName>
    <definedName name="수량내역" hidden="1">#REF!</definedName>
    <definedName name="수량만변경">#REF!</definedName>
    <definedName name="수량명세서" hidden="1">{#N/A,#N/A,TRUE,"대외공문"}</definedName>
    <definedName name="수량사" localSheetId="0">BlankMacro1</definedName>
    <definedName name="수량사">BlankMacro1</definedName>
    <definedName name="수량산출" localSheetId="0">BlankMacro1</definedName>
    <definedName name="수량산출">BlankMacro1</definedName>
    <definedName name="수량산출2" localSheetId="0">BlankMacro1</definedName>
    <definedName name="수량산출2">BlankMacro1</definedName>
    <definedName name="수량산출3" localSheetId="0">BlankMacro1</definedName>
    <definedName name="수량산출3">BlankMacro1</definedName>
    <definedName name="수량산출5" localSheetId="0">BlankMacro1</definedName>
    <definedName name="수량산출5">BlankMacro1</definedName>
    <definedName name="수량산출6" localSheetId="0">BlankMacro1</definedName>
    <definedName name="수량산출6">BlankMacro1</definedName>
    <definedName name="수량산출근거" hidden="1">{#N/A,#N/A,FALSE,"표지"}</definedName>
    <definedName name="수량산출근거_1" hidden="1">{#N/A,#N/A,FALSE,"표지"}</definedName>
    <definedName name="수량산출서">#REF!</definedName>
    <definedName name="수량산출서2">#REF!</definedName>
    <definedName name="수량산출서표지" localSheetId="0">BlankMacro1</definedName>
    <definedName name="수량산출서표지">BlankMacro1</definedName>
    <definedName name="수량산출서표지1" localSheetId="0">BlankMacro1</definedName>
    <definedName name="수량산출서표지1">BlankMacro1</definedName>
    <definedName name="수량산출서표지양식"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수량산출양">#N/A</definedName>
    <definedName name="수량서표지"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수량입력">#REF!</definedName>
    <definedName name="수량재역" hidden="1">#REF!</definedName>
    <definedName name="수량조서1">#REF!</definedName>
    <definedName name="수량조서2">#REF!</definedName>
    <definedName name="수량조정율">#REF!</definedName>
    <definedName name="수량집계" hidden="1">{#N/A,#N/A,FALSE,"Sheet1"}</definedName>
    <definedName name="수량집계총괄표" hidden="1">{#N/A,#N/A,FALSE,"2~8번"}</definedName>
    <definedName name="수량집계표">{"Book1","호안(별표&amp;부표).xls","box(최근).xls"}</definedName>
    <definedName name="수량총괄">#REF!</definedName>
    <definedName name="수량표">#REF!</definedName>
    <definedName name="수량표지"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수리" hidden="1">#REF!</definedName>
    <definedName name="수리계산">#REF!</definedName>
    <definedName name="수리계산서1" hidden="1">#REF!</definedName>
    <definedName name="수리수문">#REF!</definedName>
    <definedName name="수리시설개보수요율">{"'중기작업1'!$A$1:$V$18"}</definedName>
    <definedName name="수목">#REF!</definedName>
    <definedName name="수목공통대가">#REF!</definedName>
    <definedName name="수목단가">#REF!</definedName>
    <definedName name="수목목록">#REF!</definedName>
    <definedName name="수목보호대">#REF!</definedName>
    <definedName name="수목수량">#REF!</definedName>
    <definedName name="수목이식">#N/A</definedName>
    <definedName name="수목일위대가">#REF!</definedName>
    <definedName name="수목자재">#N/A</definedName>
    <definedName name="수불">#REF!</definedName>
    <definedName name="수성페인트내벽">#REF!</definedName>
    <definedName name="수성페인트내벽노">#REF!</definedName>
    <definedName name="수성페인트내천정">#REF!</definedName>
    <definedName name="수성페인트내천정노">#REF!</definedName>
    <definedName name="수성페인트외벽">#REF!</definedName>
    <definedName name="수성페인트외벽노">#REF!</definedName>
    <definedName name="수성페인트외벽요철노">#REF!</definedName>
    <definedName name="수성페인트외천정">#REF!</definedName>
    <definedName name="수성페인트외천정노">#REF!</definedName>
    <definedName name="수성페인트요철">#REF!</definedName>
    <definedName name="수소이온농도">#REF!</definedName>
    <definedName name="수송2">#REF!</definedName>
    <definedName name="수수">#N/A</definedName>
    <definedName name="수수10노무">#REF!</definedName>
    <definedName name="수수10재료">#REF!</definedName>
    <definedName name="수수5노무">#REF!</definedName>
    <definedName name="수수5재료">#REF!</definedName>
    <definedName name="수수6노무">#REF!</definedName>
    <definedName name="수수6재료">#REF!</definedName>
    <definedName name="수수8노무">#REF!</definedName>
    <definedName name="수수8재료">#REF!</definedName>
    <definedName name="수수꽃다리">#REF!</definedName>
    <definedName name="수수꽃다리H1.8">#REF!</definedName>
    <definedName name="수수료">#REF!,#REF!</definedName>
    <definedName name="수수료및물량지급건" hidden="1">{#N/A,#N/A,FALSE,"생산성";#N/A,#N/A,FALSE,"인력1";#N/A,#N/A,FALSE,"인력2";#N/A,#N/A,FALSE,"인력3";#N/A,#N/A,FALSE,"인건1";#N/A,#N/A,FALSE,"인건2";#N/A,#N/A,FALSE,"인건3";#N/A,#N/A,FALSE,"인원증감";#N/A,#N/A,FALSE,"인건증감";#N/A,#N/A,FALSE,"표지등"}</definedName>
    <definedName name="수수수">#N/A</definedName>
    <definedName name="수수실적7월">#N/A</definedName>
    <definedName name="수식입력매크로">#REF!</definedName>
    <definedName name="수압1">#REF!</definedName>
    <definedName name="수압2">#REF!</definedName>
    <definedName name="수압3">#REF!</definedName>
    <definedName name="수양3">#REF!</definedName>
    <definedName name="수양5노">#REF!</definedName>
    <definedName name="수양5재">#REF!</definedName>
    <definedName name="수양6">#REF!</definedName>
    <definedName name="수영">#REF!</definedName>
    <definedName name="수용가명">#N/A</definedName>
    <definedName name="수용부하">#REF!</definedName>
    <definedName name="수용설명">#REF!</definedName>
    <definedName name="수원공자재">#REF!</definedName>
    <definedName name="수원민자" hidden="1">{#N/A,#N/A,FALSE,"현장 NCR 분석";#N/A,#N/A,FALSE,"현장품질감사";#N/A,#N/A,FALSE,"현장품질감사"}</definedName>
    <definedName name="수원율전">#REF!</definedName>
    <definedName name="수위">#REF!</definedName>
    <definedName name="수은" hidden="1">{#N/A,#N/A,FALSE,"변경관리예산";#N/A,#N/A,FALSE,"변경장비예산";#N/A,#N/A,FALSE,"변경준설예산";#N/A,#N/A,FALSE,"변경철구예산"}</definedName>
    <definedName name="수익">#REF!</definedName>
    <definedName name="수입" hidden="1">{#N/A,#N/A,FALSE,"생산성";#N/A,#N/A,FALSE,"인력1";#N/A,#N/A,FALSE,"인력2";#N/A,#N/A,FALSE,"인력3";#N/A,#N/A,FALSE,"인건1";#N/A,#N/A,FALSE,"인건2";#N/A,#N/A,FALSE,"인건3";#N/A,#N/A,FALSE,"인원증감";#N/A,#N/A,FALSE,"인건증감";#N/A,#N/A,FALSE,"표지등"}</definedName>
    <definedName name="수입원가표3" hidden="1">{#N/A,#N/A,FALSE,"생산성";#N/A,#N/A,FALSE,"인력1";#N/A,#N/A,FALSE,"인력2";#N/A,#N/A,FALSE,"인력3";#N/A,#N/A,FALSE,"인건1";#N/A,#N/A,FALSE,"인건2";#N/A,#N/A,FALSE,"인건3";#N/A,#N/A,FALSE,"인원증감";#N/A,#N/A,FALSE,"인건증감";#N/A,#N/A,FALSE,"표지등"}</definedName>
    <definedName name="수입이자">#REF!</definedName>
    <definedName name="수입장비">#REF!</definedName>
    <definedName name="수입장비계">#REF!</definedName>
    <definedName name="수입주류" hidden="1">{#N/A,#N/A,FALSE,"생산성";#N/A,#N/A,FALSE,"인력1";#N/A,#N/A,FALSE,"인력2";#N/A,#N/A,FALSE,"인력3";#N/A,#N/A,FALSE,"인건1";#N/A,#N/A,FALSE,"인건2";#N/A,#N/A,FALSE,"인건3";#N/A,#N/A,FALSE,"인원증감";#N/A,#N/A,FALSE,"인건증감";#N/A,#N/A,FALSE,"표지등"}</definedName>
    <definedName name="수작업__반장">#N/A</definedName>
    <definedName name="수장">#REF!</definedName>
    <definedName name="수장경비">#REF!</definedName>
    <definedName name="수장공사">#REF!</definedName>
    <definedName name="수장노무">#REF!</definedName>
    <definedName name="수장부대">0.83</definedName>
    <definedName name="수장재료">#REF!</definedName>
    <definedName name="수재상세"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수정">#N/A</definedName>
    <definedName name="수정내역">#REF!</definedName>
    <definedName name="수정물량" hidden="1">{#N/A,#N/A,TRUE,"Y생산";#N/A,#N/A,TRUE,"Y판매";#N/A,#N/A,TRUE,"Y총물량";#N/A,#N/A,TRUE,"Y능력";#N/A,#N/A,TRUE,"YKD"}</definedName>
    <definedName name="수정본" hidden="1">{#N/A,#N/A,FALSE,"생산성";#N/A,#N/A,FALSE,"인력1";#N/A,#N/A,FALSE,"인력2";#N/A,#N/A,FALSE,"인력3";#N/A,#N/A,FALSE,"인건1";#N/A,#N/A,FALSE,"인건2";#N/A,#N/A,FALSE,"인건3";#N/A,#N/A,FALSE,"인원증감";#N/A,#N/A,FALSE,"인건증감";#N/A,#N/A,FALSE,"표지등"}</definedName>
    <definedName name="수정부대공사2">{"Book1","동절기공사.xls"}</definedName>
    <definedName name="수정분" hidden="1">{#N/A,#N/A,FALSE,"BS";#N/A,#N/A,FALSE,"PL";#N/A,#N/A,FALSE,"처분";#N/A,#N/A,FALSE,"현금";#N/A,#N/A,FALSE,"매출";#N/A,#N/A,FALSE,"원가";#N/A,#N/A,FALSE,"경영"}</definedName>
    <definedName name="수정설계단가">#REF!</definedName>
    <definedName name="수정후" localSheetId="0">BlankMacro1</definedName>
    <definedName name="수정후">BlankMacro1</definedName>
    <definedName name="수주" hidden="1">{#N/A,#N/A,FALSE,"BS";#N/A,#N/A,FALSE,"PL";#N/A,#N/A,FALSE,"처분";#N/A,#N/A,FALSE,"현금";#N/A,#N/A,FALSE,"매출";#N/A,#N/A,FALSE,"원가";#N/A,#N/A,FALSE,"경영"}</definedName>
    <definedName name="수주2" hidden="1">{#N/A,#N/A,FALSE,"BS";#N/A,#N/A,FALSE,"PL";#N/A,#N/A,FALSE,"처분";#N/A,#N/A,FALSE,"현금";#N/A,#N/A,FALSE,"매출";#N/A,#N/A,FALSE,"원가";#N/A,#N/A,FALSE,"경영"}</definedName>
    <definedName name="수주실적" hidden="1">{#N/A,#N/A,FALSE,"BS";#N/A,#N/A,FALSE,"PL";#N/A,#N/A,FALSE,"처분";#N/A,#N/A,FALSE,"현금";#N/A,#N/A,FALSE,"매출";#N/A,#N/A,FALSE,"원가";#N/A,#N/A,FALSE,"경영"}</definedName>
    <definedName name="수주일">#REF!</definedName>
    <definedName name="수준측량연장" hidden="1">{"'제10장(표)'!$A$5:$L$10"}</definedName>
    <definedName name="수중_토사">#REF!</definedName>
    <definedName name="수중0_3">#REF!</definedName>
    <definedName name="수중3_6">#REF!</definedName>
    <definedName name="수중6_9">#REF!</definedName>
    <definedName name="수중9_12">#REF!</definedName>
    <definedName name="수중면정리및청소">#REF!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모터펌프중량">#REF!</definedName>
    <definedName name="수중케이블단가">#REF!</definedName>
    <definedName name="수중토사p1">#REF!</definedName>
    <definedName name="수중합">#REF!</definedName>
    <definedName name="수줭인원" hidden="1">{#N/A,#N/A,FALSE,"견적조건";#N/A,#N/A,FALSE,"산출근거"}</definedName>
    <definedName name="수지">#REF!</definedName>
    <definedName name="수지3차장비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직">#REF!</definedName>
    <definedName name="수직규준틀노무비">#REF!</definedName>
    <definedName name="수직규준틀재료비">#REF!</definedName>
    <definedName name="수직기준틀노무비">#REF!</definedName>
    <definedName name="수직기준틀재료비">#REF!</definedName>
    <definedName name="수진">#REF!</definedName>
    <definedName name="수질">#REF!</definedName>
    <definedName name="수질측정">#REF!</definedName>
    <definedName name="수축줄눈경비">#REF!</definedName>
    <definedName name="수축줄눈노무비">#REF!</definedName>
    <definedName name="수축줄눈재료비">#REF!</definedName>
    <definedName name="수토1">#REF!</definedName>
    <definedName name="수평">#REF!</definedName>
    <definedName name="수평규준틀노무비">#REF!</definedName>
    <definedName name="수평규준틀재료비">#REF!</definedName>
    <definedName name="수해방지게획서" hidden="1">{#N/A,#N/A,FALSE,"물량산출"}</definedName>
    <definedName name="수해방지계획서" hidden="1">{#N/A,#N/A,FALSE,"물량산출"}</definedName>
    <definedName name="수행">#REF!</definedName>
    <definedName name="수행능력">#REF!</definedName>
    <definedName name="수현">#REF!</definedName>
    <definedName name="수호3노무">#REF!</definedName>
    <definedName name="수호3재료">#REF!</definedName>
    <definedName name="수ㅗ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ㅠㅁ" hidden="1">{#N/A,#N/A,FALSE,"현장 NCR 분석";#N/A,#N/A,FALSE,"현장품질감사";#N/A,#N/A,FALSE,"현장품질감사"}</definedName>
    <definedName name="숙박비">#REF!</definedName>
    <definedName name="숙소"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동수">#REF!</definedName>
    <definedName name="숙소전세값">#REF!</definedName>
    <definedName name="숙소평수">#REF!</definedName>
    <definedName name="숙소A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C"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C1" hidden="1">{#N/A,#N/A,FALSE,"별표20 ";#N/A,#N/A,FALSE,"부표";#N/A,#N/A,FALSE,"품셈내역";#N/A,#N/A,FALSE,"품셈집계";#N/A,#N/A,FALSE,"내역서";#N/A,#N/A,FALSE,"집계표";#N/A,#N/A,FALSE,"표지";#N/A,#N/A,FALSE,"별표총괄표"}</definedName>
    <definedName name="숙소D"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F"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순" hidden="1">{#N/A,#N/A,FALSE,"지침";#N/A,#N/A,FALSE,"환경분석";#N/A,#N/A,FALSE,"Sheet16"}</definedName>
    <definedName name="순공">#N/A</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경">#N/A</definedName>
    <definedName name="순공사노">#N/A</definedName>
    <definedName name="순공사비">#REF!</definedName>
    <definedName name="순공사비_현황">#REF!</definedName>
    <definedName name="순공사비계">#N/A</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원가">#REF!</definedName>
    <definedName name="순공사재">#N/A</definedName>
    <definedName name="순성토">#REF!</definedName>
    <definedName name="순수열정" hidden="1">{#N/A,#N/A,FALSE,"Sheet1"}</definedName>
    <definedName name="순위결정" hidden="1">{"'제10장(표)'!$A$5:$L$10"}</definedName>
    <definedName name="순위결정2" hidden="1">{"'제10장(표)'!$A$5:$L$10"}</definedName>
    <definedName name="순이익">#REF!</definedName>
    <definedName name="순천">#REF!</definedName>
    <definedName name="순천_연향_1차">#REF!</definedName>
    <definedName name="순천단가">#REF!</definedName>
    <definedName name="숨기기">#REF!</definedName>
    <definedName name="숨기지않기">#REF!</definedName>
    <definedName name="숫소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숫자">#REF!</definedName>
    <definedName name="숫자노무비">#REF!</definedName>
    <definedName name="숱" hidden="1">{#N/A,#N/A,FALSE,"현장 NCR 분석";#N/A,#N/A,FALSE,"현장품질감사";#N/A,#N/A,FALSE,"현장품질감사"}</definedName>
    <definedName name="쉬트상">#REF!</definedName>
    <definedName name="쉬트시">#REF!</definedName>
    <definedName name="쉬트측">#REF!</definedName>
    <definedName name="쉬트하">#REF!</definedName>
    <definedName name="슛ㅎ" hidden="1">{#N/A,#N/A,FALSE,"단가표지"}</definedName>
    <definedName name="스리브수량산출">#REF!</definedName>
    <definedName name="스위치_단로1구">#N/A</definedName>
    <definedName name="스위치_삼로">#N/A</definedName>
    <definedName name="스치로폴30노">#REF!</definedName>
    <definedName name="스치로폴80노">#REF!</definedName>
    <definedName name="스치로폴붙이기30">#REF!</definedName>
    <definedName name="스치로폴붙이기80">#REF!</definedName>
    <definedName name="스치로폴설치">#REF!</definedName>
    <definedName name="스타시티조직표" hidden="1">{#N/A,#N/A,FALSE,"이태원철근"}</definedName>
    <definedName name="스텐레스사다리">#REF!</definedName>
    <definedName name="스텐레스사다리노">#REF!</definedName>
    <definedName name="스텐레스판">2149455</definedName>
    <definedName name="스트로브잣12노무">#REF!</definedName>
    <definedName name="스트로브잣12재료">#REF!</definedName>
    <definedName name="스트로브잣15노무">#REF!</definedName>
    <definedName name="스트로브잣15재료">#REF!</definedName>
    <definedName name="스트로브잣18노무">#REF!</definedName>
    <definedName name="스트로브잣18재료">#REF!</definedName>
    <definedName name="스트로브잣20노무">#REF!</definedName>
    <definedName name="스트로브잣20재료">#REF!</definedName>
    <definedName name="스트로브잣40노무">#REF!</definedName>
    <definedName name="스트로브잣40재료">#REF!</definedName>
    <definedName name="스티로폴">#REF!</definedName>
    <definedName name="스페이서설치">#REF!</definedName>
    <definedName name="스페이셔">#REF!</definedName>
    <definedName name="스페이셔_설치">#REF!</definedName>
    <definedName name="스프링" hidden="1">{#N/A,#N/A,FALSE,"운반시간"}</definedName>
    <definedName name="스프링클러" hidden="1">{#N/A,#N/A,FALSE,"조골재"}</definedName>
    <definedName name="스피커">#N/A</definedName>
    <definedName name="스ㅙㅑㅑㅛㅕ" hidden="1">{#N/A,#N/A,FALSE,"단가표지"}</definedName>
    <definedName name="슬라브" hidden="1">{#N/A,#N/A,FALSE,"혼합골재"}</definedName>
    <definedName name="슬래브두께">#REF!</definedName>
    <definedName name="슬래브총괄수량집계표">#REF!</definedName>
    <definedName name="슬레이트__공">#N/A</definedName>
    <definedName name="습식공사" hidden="1">{#N/A,#N/A,FALSE,"전력간선"}</definedName>
    <definedName name="습식공사정산물량" localSheetId="0">BlankMacro1</definedName>
    <definedName name="습식공사정산물량">BlankMacro1</definedName>
    <definedName name="습윤">#REF!</definedName>
    <definedName name="습윤기타">#REF!</definedName>
    <definedName name="승" hidden="1">{#N/A,#N/A,FALSE,"지침";#N/A,#N/A,FALSE,"환경분석";#N/A,#N/A,FALSE,"Sheet16"}</definedName>
    <definedName name="승_1" hidden="1">{#N/A,#N/A,FALSE,"지침";#N/A,#N/A,FALSE,"환경분석";#N/A,#N/A,FALSE,"Sheet16"}</definedName>
    <definedName name="승_2" hidden="1">{#N/A,#N/A,FALSE,"지침";#N/A,#N/A,FALSE,"환경분석";#N/A,#N/A,FALSE,"Sheet16"}</definedName>
    <definedName name="승_3" hidden="1">{#N/A,#N/A,FALSE,"지침";#N/A,#N/A,FALSE,"환경분석";#N/A,#N/A,FALSE,"Sheet16"}</definedName>
    <definedName name="승_4" hidden="1">{#N/A,#N/A,FALSE,"지침";#N/A,#N/A,FALSE,"환경분석";#N/A,#N/A,FALSE,"Sheet16"}</definedName>
    <definedName name="승_5" hidden="1">{#N/A,#N/A,FALSE,"지침";#N/A,#N/A,FALSE,"환경분석";#N/A,#N/A,FALSE,"Sheet16"}</definedName>
    <definedName name="승강" hidden="1">#REF!</definedName>
    <definedName name="승강기" hidden="1">#REF!</definedName>
    <definedName name="승삼" hidden="1">{#N/A,#N/A,FALSE,"현장 NCR 분석";#N/A,#N/A,FALSE,"현장품질감사";#N/A,#N/A,FALSE,"현장품질감사"}</definedName>
    <definedName name="승용교" hidden="1">{#N/A,#N/A,FALSE,"2~8번"}</definedName>
    <definedName name="승우" hidden="1">{#N/A,#N/A,FALSE,"Sheet1"}</definedName>
    <definedName name="승이가" hidden="1">{#N/A,#N/A,FALSE,"지침";#N/A,#N/A,FALSE,"환경분석";#N/A,#N/A,FALSE,"Sheet16"}</definedName>
    <definedName name="승인" hidden="1">{#N/A,#N/A,FALSE,"기안지";#N/A,#N/A,FALSE,"통신지"}</definedName>
    <definedName name="승인보고" hidden="1">{#N/A,#N/A,FALSE,"기안지";#N/A,#N/A,FALSE,"통신지"}</definedName>
    <definedName name="승인보고21차" hidden="1">{#N/A,#N/A,FALSE,"기안지";#N/A,#N/A,FALSE,"통신지"}</definedName>
    <definedName name="승인신청" hidden="1">#REF!</definedName>
    <definedName name="승호">#REF!</definedName>
    <definedName name="시">#REF!</definedName>
    <definedName name="시_험_사_1급">#REF!</definedName>
    <definedName name="시_험_사_2급">#REF!</definedName>
    <definedName name="시_험_사_3급">#REF!</definedName>
    <definedName name="시_험_사_4급">#N/A</definedName>
    <definedName name="시1">#REF!</definedName>
    <definedName name="시10">#REF!</definedName>
    <definedName name="시11">#REF!</definedName>
    <definedName name="시12">#REF!</definedName>
    <definedName name="시13">#REF!</definedName>
    <definedName name="시14">#REF!</definedName>
    <definedName name="시15">#REF!</definedName>
    <definedName name="시16">#REF!</definedName>
    <definedName name="시17">#REF!</definedName>
    <definedName name="시18">#REF!</definedName>
    <definedName name="시19">#REF!</definedName>
    <definedName name="시2">#REF!</definedName>
    <definedName name="시20">#REF!</definedName>
    <definedName name="시3">#REF!</definedName>
    <definedName name="시4">#REF!</definedName>
    <definedName name="시5">#REF!</definedName>
    <definedName name="시6">#REF!</definedName>
    <definedName name="시7">#REF!</definedName>
    <definedName name="시8">#REF!</definedName>
    <definedName name="시9">#REF!</definedName>
    <definedName name="시간" hidden="1">{#N/A,#N/A,FALSE,"운반시간"}</definedName>
    <definedName name="시간을" hidden="1">{#N/A,#N/A,FALSE,"조골재"}</definedName>
    <definedName name="시간표">#REF!</definedName>
    <definedName name="시공">#N/A</definedName>
    <definedName name="시공__측량사">#REF!</definedName>
    <definedName name="시공계획"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공계획서">#N/A</definedName>
    <definedName name="시공구분">#REF!</definedName>
    <definedName name="시공완료">#REF!</definedName>
    <definedName name="시공이음">#REF!</definedName>
    <definedName name="시공이음H">#REF!</definedName>
    <definedName name="시공조직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공측량보고서" hidden="1">{#N/A,#N/A,FALSE,"손익표지";#N/A,#N/A,FALSE,"손익계산";#N/A,#N/A,FALSE,"일반관리비";#N/A,#N/A,FALSE,"영업외수익";#N/A,#N/A,FALSE,"영업외비용";#N/A,#N/A,FALSE,"매출액";#N/A,#N/A,FALSE,"요약손익";#N/A,#N/A,FALSE,"요약대차";#N/A,#N/A,FALSE,"매출채권현황";#N/A,#N/A,FALSE,"매출채권명세"}</definedName>
    <definedName name="시공측량사001">#REF!</definedName>
    <definedName name="시공측량사002">#REF!</definedName>
    <definedName name="시공측량사011">#REF!</definedName>
    <definedName name="시공측량사982">#REF!</definedName>
    <definedName name="시공측량사991">#REF!</definedName>
    <definedName name="시공측량사992">#REF!</definedName>
    <definedName name="시공측량사조수">#REF!</definedName>
    <definedName name="시공측량사조수001">#REF!</definedName>
    <definedName name="시공측량사조수002">#REF!</definedName>
    <definedName name="시공측량사조수011">#REF!</definedName>
    <definedName name="시공측량사조수982">#REF!</definedName>
    <definedName name="시공측량사조수991">#REF!</definedName>
    <definedName name="시공측량사조수992">#REF!</definedName>
    <definedName name="시급">ROUNDUP(SUM(#REF!)/209,0)</definedName>
    <definedName name="시급자재집계표0623" localSheetId="0">BlankMacro1</definedName>
    <definedName name="시급자재집계표0623">BlankMacro1</definedName>
    <definedName name="시기목" localSheetId="0">BlankMacro1</definedName>
    <definedName name="시기목">BlankMacro1</definedName>
    <definedName name="시멘트" localSheetId="0">BlankMacro1</definedName>
    <definedName name="시멘트">BlankMacro1</definedName>
    <definedName name="시멘트1">#REF!</definedName>
    <definedName name="시멘트10" localSheetId="0">BlankMacro1</definedName>
    <definedName name="시멘트10">BlankMacro1</definedName>
    <definedName name="시멘트6" localSheetId="0">BlankMacro1</definedName>
    <definedName name="시멘트6">BlankMacro1</definedName>
    <definedName name="시멘트벽돌">#REF!</definedName>
    <definedName name="시멘트벽돌쌓기">#REF!</definedName>
    <definedName name="시멘트벽돌쌓기노">#REF!</definedName>
    <definedName name="시멘트액체방수">#REF!</definedName>
    <definedName name="시멘트액체방수노">#REF!</definedName>
    <definedName name="시멘트운">#REF!</definedName>
    <definedName name="시멘트운반">#REF!</definedName>
    <definedName name="시멘트운반경비">#REF!</definedName>
    <definedName name="시멘트운반계">#REF!</definedName>
    <definedName name="시멘트운반노무비">#REF!</definedName>
    <definedName name="시멘트운반상차료경비">#REF!</definedName>
    <definedName name="시멘트운반상차료계">#REF!</definedName>
    <definedName name="시멘트운반상차료노무비">#REF!</definedName>
    <definedName name="시멘트운반상차료재료비">#REF!</definedName>
    <definedName name="시멘트운반운반비경비">#REF!</definedName>
    <definedName name="시멘트운반운반비계">#REF!</definedName>
    <definedName name="시멘트운반운반비노무비">#REF!</definedName>
    <definedName name="시멘트운반운반비재료비">#REF!</definedName>
    <definedName name="시멘트운반재료비">#REF!</definedName>
    <definedName name="시멘트운반하차료경비">#REF!</definedName>
    <definedName name="시멘트운반하차료계">#REF!</definedName>
    <definedName name="시멘트운반하차료노무비">#REF!</definedName>
    <definedName name="시멘트운반하차료재료비">#REF!</definedName>
    <definedName name="시뮬레이션">#REF!</definedName>
    <definedName name="시미니" hidden="1">{#N/A,#N/A,FALSE,"단가표지"}</definedName>
    <definedName name="시방">#N/A</definedName>
    <definedName name="시방1">#REF!</definedName>
    <definedName name="시방서" hidden="1">#REF!</definedName>
    <definedName name="시방서2" hidden="1">#REF!</definedName>
    <definedName name="시비" hidden="1">#REF!</definedName>
    <definedName name="시비1노">#REF!</definedName>
    <definedName name="시비1재">#REF!</definedName>
    <definedName name="시비경">#REF!</definedName>
    <definedName name="시비관노">#REF!</definedName>
    <definedName name="시비관재">#REF!</definedName>
    <definedName name="시비기준1" hidden="1">#REF!</definedName>
    <definedName name="시비노">#REF!</definedName>
    <definedName name="시비량" localSheetId="0">BlankMacro1</definedName>
    <definedName name="시비량">BlankMacro1</definedName>
    <definedName name="시비재">#REF!</definedName>
    <definedName name="시설" hidden="1">{#N/A,#N/A,FALSE,"2~8번"}</definedName>
    <definedName name="시설기성갑" hidden="1">{#N/A,#N/A,FALSE,"현장 NCR 분석";#N/A,#N/A,FALSE,"현장품질감사";#N/A,#N/A,FALSE,"현장품질감사"}</definedName>
    <definedName name="시설물수량">#REF!</definedName>
    <definedName name="시설물집계" hidden="1">{#N/A,#N/A,FALSE,"골재소요량";#N/A,#N/A,FALSE,"골재소요량"}</definedName>
    <definedName name="시설물토공" hidden="1">{#N/A,#N/A,FALSE,"2~8번"}</definedName>
    <definedName name="시설수량">#REF!</definedName>
    <definedName name="시설일위">#REF!</definedName>
    <definedName name="시설일위1">#REF!</definedName>
    <definedName name="시설일위금액">#REF!</definedName>
    <definedName name="시설일위대가">#REF!</definedName>
    <definedName name="시성">#REF!</definedName>
    <definedName name="시스템박스">#N/A</definedName>
    <definedName name="시영">#REF!</definedName>
    <definedName name="시영경상비">#REF!</definedName>
    <definedName name="시영공통비">#REF!</definedName>
    <definedName name="시외1">#REF!</definedName>
    <definedName name="시외10">#REF!</definedName>
    <definedName name="시외11">#REF!</definedName>
    <definedName name="시외12">#REF!</definedName>
    <definedName name="시외13">#REF!</definedName>
    <definedName name="시외14">#REF!</definedName>
    <definedName name="시외15">#REF!</definedName>
    <definedName name="시외16">#REF!</definedName>
    <definedName name="시외17">#REF!</definedName>
    <definedName name="시외18">#REF!</definedName>
    <definedName name="시외19">#REF!</definedName>
    <definedName name="시외20">#REF!</definedName>
    <definedName name="시외21">#REF!</definedName>
    <definedName name="시외22">#REF!</definedName>
    <definedName name="시외23">#REF!</definedName>
    <definedName name="시외24">#REF!</definedName>
    <definedName name="시외25">#REF!</definedName>
    <definedName name="시외26">#REF!</definedName>
    <definedName name="시외27">#REF!</definedName>
    <definedName name="시외28">#REF!</definedName>
    <definedName name="시외29">#REF!</definedName>
    <definedName name="시외3">#REF!</definedName>
    <definedName name="시외30">#REF!</definedName>
    <definedName name="시외4">#REF!</definedName>
    <definedName name="시외5">#REF!</definedName>
    <definedName name="시외6">#REF!</definedName>
    <definedName name="시외7">#REF!</definedName>
    <definedName name="시외8">#REF!</definedName>
    <definedName name="시외9">#REF!</definedName>
    <definedName name="시운">#REF!</definedName>
    <definedName name="시운전">#REF!</definedName>
    <definedName name="시운전.도금">#REF!</definedName>
    <definedName name="시월">#REF!</definedName>
    <definedName name="시작년">#REF!</definedName>
    <definedName name="시작월">#REF!</definedName>
    <definedName name="시점">#REF!</definedName>
    <definedName name="시점명">#REF!</definedName>
    <definedName name="시중">#REF!</definedName>
    <definedName name="시중노임">#REF!</definedName>
    <definedName name="시중노임1">#N/A</definedName>
    <definedName name="시중단가">{"'단계별시설공사비'!$A$3:$K$51"}</definedName>
    <definedName name="시트">#REF!</definedName>
    <definedName name="시트3" hidden="1">{#N/A,#N/A,FALSE,"생산성";#N/A,#N/A,FALSE,"인력1";#N/A,#N/A,FALSE,"인력2";#N/A,#N/A,FALSE,"인력3";#N/A,#N/A,FALSE,"인건1";#N/A,#N/A,FALSE,"인건2";#N/A,#N/A,FALSE,"인건3";#N/A,#N/A,FALSE,"인원증감";#N/A,#N/A,FALSE,"인건증감";#N/A,#N/A,FALSE,"표지등"}</definedName>
    <definedName name="시트파일수량산출서" localSheetId="0">BlankMacro1</definedName>
    <definedName name="시트파일수량산출서">BlankMacro1</definedName>
    <definedName name="시팔" hidden="1">{#N/A,#N/A,FALSE,"이태원철근"}</definedName>
    <definedName name="시행">#REF!,#REF!</definedName>
    <definedName name="시행_1" hidden="1">{#N/A,#N/A,FALSE,"이태원철근"}</definedName>
    <definedName name="시행_2" hidden="1">{#N/A,#N/A,FALSE,"이태원철근"}</definedName>
    <definedName name="시행_3" hidden="1">{#N/A,#N/A,FALSE,"이태원철근"}</definedName>
    <definedName name="시행_4" hidden="1">{#N/A,#N/A,FALSE,"이태원철근"}</definedName>
    <definedName name="시행결의갑" hidden="1">{#N/A,#N/A,FALSE,"혼합골재"}</definedName>
    <definedName name="시행내역">#REF!</definedName>
    <definedName name="시행비교"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시행조건" hidden="1">{#N/A,#N/A,FALSE,"물량산출"}</definedName>
    <definedName name="시행청">#REF!</definedName>
    <definedName name="시험__보조수">#N/A</definedName>
    <definedName name="시험관련기사_시험사1급001">#REF!</definedName>
    <definedName name="시험관련기사_시험사1급002">#REF!</definedName>
    <definedName name="시험관련기사_시험사1급011">#REF!</definedName>
    <definedName name="시험관련기사_시험사1급982">#REF!</definedName>
    <definedName name="시험관련기사_시험사1급991">#REF!</definedName>
    <definedName name="시험관련기사_시험사1급992">#REF!</definedName>
    <definedName name="시험관련산업기사_2급001">#REF!</definedName>
    <definedName name="시험관련산업기사_2급002">#REF!</definedName>
    <definedName name="시험관련산업기사_2급011">#REF!</definedName>
    <definedName name="시험관련산업기사_2급982">#REF!</definedName>
    <definedName name="시험관련산업기사_2급991">#REF!</definedName>
    <definedName name="시험관련산업기사_2급992">#REF!</definedName>
    <definedName name="시험보조수001">#REF!</definedName>
    <definedName name="시험보조수002">#REF!</definedName>
    <definedName name="시험보조수011">#REF!</definedName>
    <definedName name="시험보조수982">#REF!</definedName>
    <definedName name="시험보조수991">#REF!</definedName>
    <definedName name="시험보조수992">#REF!</definedName>
    <definedName name="시험사">#REF!</definedName>
    <definedName name="시험사1급">#REF!</definedName>
    <definedName name="시험사1급노임">#REF!</definedName>
    <definedName name="시험실과식당" hidden="1">{#N/A,#N/A,FALSE,"사업총괄";#N/A,#N/A,FALSE,"장비사업";#N/A,#N/A,FALSE,"철구사업";#N/A,#N/A,FALSE,"준설사업"}</definedName>
    <definedName name="시험편">#REF!</definedName>
    <definedName name="시호ㅑㅔㅅ" hidden="1">{#N/A,#N/A,FALSE,"2~8번"}</definedName>
    <definedName name="시화군대체">#REF!</definedName>
    <definedName name="시황" hidden="1">{#N/A,#N/A,FALSE,"생산성";#N/A,#N/A,FALSE,"인력1";#N/A,#N/A,FALSE,"인력2";#N/A,#N/A,FALSE,"인력3";#N/A,#N/A,FALSE,"인건1";#N/A,#N/A,FALSE,"인건2";#N/A,#N/A,FALSE,"인건3";#N/A,#N/A,FALSE,"인원증감";#N/A,#N/A,FALSE,"인건증감";#N/A,#N/A,FALSE,"표지등"}</definedName>
    <definedName name="시황보고" hidden="1">{#N/A,#N/A,FALSE,"생산성";#N/A,#N/A,FALSE,"인력1";#N/A,#N/A,FALSE,"인력2";#N/A,#N/A,FALSE,"인력3";#N/A,#N/A,FALSE,"인건1";#N/A,#N/A,FALSE,"인건2";#N/A,#N/A,FALSE,"인건3";#N/A,#N/A,FALSE,"인원증감";#N/A,#N/A,FALSE,"인건증감";#N/A,#N/A,FALSE,"표지등"}</definedName>
    <definedName name="시ㅏㄹ">#REF!</definedName>
    <definedName name="식">#REF!</definedName>
    <definedName name="식당동1" hidden="1">#REF!</definedName>
    <definedName name="식대">4000+1500*2</definedName>
    <definedName name="식비">#REF!</definedName>
    <definedName name="식생호안우안" hidden="1">{#N/A,#N/A,FALSE,"혼합골재"}</definedName>
    <definedName name="식수대경계석공제집계표" hidden="1">{#N/A,#N/A,FALSE,"운반시간"}</definedName>
    <definedName name="식수대보도포장공제집계표2" hidden="1">{#N/A,#N/A,FALSE,"골재소요량";#N/A,#N/A,FALSE,"골재소요량"}</definedName>
    <definedName name="식재">#REF!</definedName>
    <definedName name="식재감소계수">#REF!</definedName>
    <definedName name="식재공">#N/A</definedName>
    <definedName name="식재공사97">#REF!</definedName>
    <definedName name="식재단가">#REF!</definedName>
    <definedName name="식재단가1">#REF!</definedName>
    <definedName name="식재면적2" localSheetId="0">BlankMacro1</definedName>
    <definedName name="식재면적2">BlankMacro1</definedName>
    <definedName name="식재보통인부">#REF!</definedName>
    <definedName name="식재수량">#REF!</definedName>
    <definedName name="식재수량표">#REF!</definedName>
    <definedName name="식재이식삽도" hidden="1">{#N/A,#N/A,FALSE,"운반시간"}</definedName>
    <definedName name="식재일위">#REF!</definedName>
    <definedName name="식재조경공">#REF!</definedName>
    <definedName name="식혈반경">#REF!</definedName>
    <definedName name="식혈체적">#REF!</definedName>
    <definedName name="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가교">#REF!</definedName>
    <definedName name="신고서" localSheetId="0">BlankMacro1</definedName>
    <definedName name="신고서">BlankMacro1</definedName>
    <definedName name="신고일">#REF!</definedName>
    <definedName name="신공항1역기능실2"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신고LIST" hidden="1">#REF!</definedName>
    <definedName name="신과" hidden="1">{#N/A,#N/A,TRUE,"공조기";#N/A,#N/A,TRUE,"FCU";#N/A,#N/A,TRUE,"1-20";#N/A,#N/A,TRUE,"21-40";#N/A,#N/A,TRUE,"41-60";#N/A,#N/A,TRUE,"61-80";#N/A,#N/A,TRUE,"화장실부하집계";#N/A,#N/A,TRUE,"화장실"}</definedName>
    <definedName name="신광명" hidden="1">{#N/A,#N/A,FALSE,"운반시간"}</definedName>
    <definedName name="신규">#REF!</definedName>
    <definedName name="신규계획97">#REF!</definedName>
    <definedName name="新規工事__小計">#REF!</definedName>
    <definedName name="新規工事_計">#N/A</definedName>
    <definedName name="新規工事_小計">#REF!</definedName>
    <definedName name="신규사업97">#REF!</definedName>
    <definedName name="신규일위대가2" hidden="1">{#N/A,#N/A,FALSE,"신청통보";#N/A,#N/A,FALSE,"기성확인서";#N/A,#N/A,FALSE,"기성내역서"}</definedName>
    <definedName name="新規推進__小計">#REF!</definedName>
    <definedName name="신규품목">{"Book1","제품부두.xls"}</definedName>
    <definedName name="신기교P3본체집계" hidden="1">{#N/A,#N/A,FALSE,"배수1"}</definedName>
    <definedName name="신나">#REF!</definedName>
    <definedName name="신동" localSheetId="0">Dlog_Show</definedName>
    <definedName name="신동">Dlog_Show</definedName>
    <definedName name="신림" hidden="1">{#N/A,#N/A,FALSE,"운반시간"}</definedName>
    <definedName name="신림_1" hidden="1">{#N/A,#N/A,FALSE,"운반시간"}</definedName>
    <definedName name="신림_2" hidden="1">{#N/A,#N/A,FALSE,"운반시간"}</definedName>
    <definedName name="신림_3" hidden="1">{#N/A,#N/A,FALSE,"운반시간"}</definedName>
    <definedName name="신명내역서">#N/A</definedName>
    <definedName name="신문구독부수">#REF!</definedName>
    <definedName name="신문도서">#REF!</definedName>
    <definedName name="신봉2차">#REF!</definedName>
    <definedName name="신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상훈">#REF!</definedName>
    <definedName name="신설">#REF!</definedName>
    <definedName name="신설1" hidden="1">{#N/A,#N/A,FALSE,"명세표"}</definedName>
    <definedName name="신설통계" hidden="1">{#N/A,#N/A,FALSE,"3가";#N/A,#N/A,FALSE,"3나";#N/A,#N/A,FALSE,"3다"}</definedName>
    <definedName name="신성">#N/A</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1" hidden="1">{#N/A,#N/A,FALSE,"생산성";#N/A,#N/A,FALSE,"인력1";#N/A,#N/A,FALSE,"인력2";#N/A,#N/A,FALSE,"인력3";#N/A,#N/A,FALSE,"인건1";#N/A,#N/A,FALSE,"인건2";#N/A,#N/A,FALSE,"인건3";#N/A,#N/A,FALSE,"인원증감";#N/A,#N/A,FALSE,"인건증감";#N/A,#N/A,FALSE,"표지등"}</definedName>
    <definedName name="신세계2" hidden="1">{#N/A,#N/A,FALSE,"생산성";#N/A,#N/A,FALSE,"인력1";#N/A,#N/A,FALSE,"인력2";#N/A,#N/A,FALSE,"인력3";#N/A,#N/A,FALSE,"인건1";#N/A,#N/A,FALSE,"인건2";#N/A,#N/A,FALSE,"인건3";#N/A,#N/A,FALSE,"인원증감";#N/A,#N/A,FALSE,"인건증감";#N/A,#N/A,FALSE,"표지등"}</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hidden="1">{#N/A,#N/A,FALSE,"현장 NCR 분석";#N/A,#N/A,FALSE,"현장품질감사";#N/A,#N/A,FALSE,"현장품질감사"}</definedName>
    <definedName name="신안2" hidden="1">{#N/A,#N/A,FALSE,"현장 NCR 분석";#N/A,#N/A,FALSE,"현장품질감사";#N/A,#N/A,FALSE,"현장품질감사"}</definedName>
    <definedName name="신영통3" hidden="1">{"'표지'!$B$5"}</definedName>
    <definedName name="신예정공정표" hidden="1">{#N/A,#N/A,FALSE,"전력간선"}</definedName>
    <definedName name="신용등급">#REF!</definedName>
    <definedName name="신용준">#REF!</definedName>
    <definedName name="신우단가표">#REF!</definedName>
    <definedName name="신재점" hidden="1">{#N/A,#N/A,FALSE,"이태원철근"}</definedName>
    <definedName name="신청">#REF!</definedName>
    <definedName name="신청서" hidden="1">#REF!</definedName>
    <definedName name="신촌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촌헌혈의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축공사">{"'단계별시설공사비'!$A$3:$K$51"}</definedName>
    <definedName name="신축이음각도">#REF!</definedName>
    <definedName name="신축이음갯수">#REF!</definedName>
    <definedName name="신축이음장치">#REF!</definedName>
    <definedName name="신축장치">#REF!</definedName>
    <definedName name="신한내역서" localSheetId="0">BlankMacro1</definedName>
    <definedName name="신한내역서">BlankMacro1</definedName>
    <definedName name="신호">#REF!</definedName>
    <definedName name="신호기">#N/A</definedName>
    <definedName name="신호기용공배관">#REF!</definedName>
    <definedName name="신호등" hidden="1">{#N/A,#N/A,FALSE,"신청통보";#N/A,#N/A,FALSE,"기성확인서";#N/A,#N/A,FALSE,"기성내역서"}</definedName>
    <definedName name="신흥1호">#REF!</definedName>
    <definedName name="신흥2호">#REF!</definedName>
    <definedName name="실">#REF!</definedName>
    <definedName name="실경상">#REF!</definedName>
    <definedName name="실공정계획" hidden="1">{#N/A,#N/A,FALSE,"이태원철근"}</definedName>
    <definedName name="실금">#REF!</definedName>
    <definedName name="실긴수2" hidden="1">{#N/A,#N/A,FALSE,"지침";#N/A,#N/A,FALSE,"환경분석";#N/A,#N/A,FALSE,"Sheet16"}</definedName>
    <definedName name="실내" localSheetId="0">BlankMacro1</definedName>
    <definedName name="실내">BlankMacro1</definedName>
    <definedName name="실란">#REF!</definedName>
    <definedName name="실링제">#REF!</definedName>
    <definedName name="실명">#REF!</definedName>
    <definedName name="실명제" hidden="1">{#N/A,#N/A,FALSE,"단가표지"}</definedName>
    <definedName name="실무회의용" hidden="1">{#N/A,#N/A,FALSE,"생산성";#N/A,#N/A,FALSE,"인력1";#N/A,#N/A,FALSE,"인력2";#N/A,#N/A,FALSE,"인력3";#N/A,#N/A,FALSE,"인건1";#N/A,#N/A,FALSE,"인건2";#N/A,#N/A,FALSE,"인건3";#N/A,#N/A,FALSE,"인원증감";#N/A,#N/A,FALSE,"인건증감";#N/A,#N/A,FALSE,"표지등"}</definedName>
    <definedName name="실습동" localSheetId="0">BlankMacro1</definedName>
    <definedName name="실습동">BlankMacro1</definedName>
    <definedName name="실시공내역" hidden="1">#REF!</definedName>
    <definedName name="실시설계용역비변경내역">{"'정산내역서'!$A$1:$I$35","'정산서(절.성토부)'!$A$1:$Q$17","'정산서(교량부)'!$A$1:$Q$84","'총괄표'!$A$1:$M$12","'시행현황'!$A$1:$G$12","'표지'!$A$1:$N$27","'정산서(절.성토부)'!$A$3:$Q$7"}</definedName>
    <definedName name="실인원">#REF!</definedName>
    <definedName name="실잔여분" hidden="1">#REF!</definedName>
    <definedName name="실적">#N/A</definedName>
    <definedName name="실적__2837억원">#REF!</definedName>
    <definedName name="실적4월" hidden="1">{#N/A,#N/A,FALSE,"UNIT";#N/A,#N/A,FALSE,"UNIT";#N/A,#N/A,FALSE,"계정"}</definedName>
    <definedName name="실적6월" hidden="1">{#N/A,#N/A,FALSE,"UNIT";#N/A,#N/A,FALSE,"UNIT";#N/A,#N/A,FALSE,"계정"}</definedName>
    <definedName name="실적공사원가" hidden="1">#REF!</definedName>
    <definedName name="실적자료" hidden="1">{#N/A,#N/A,FALSE,"지침";#N/A,#N/A,FALSE,"환경분석";#N/A,#N/A,FALSE,"Sheet16"}</definedName>
    <definedName name="실적자료1" hidden="1">{#N/A,#N/A,FALSE,"지침";#N/A,#N/A,FALSE,"환경분석";#N/A,#N/A,FALSE,"Sheet16"}</definedName>
    <definedName name="실정" hidden="1">{#N/A,#N/A,FALSE,"전력간선"}</definedName>
    <definedName name="실정보고사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지수_기호">#REF!</definedName>
    <definedName name="실총괄" hidden="1">{#N/A,#N/A,FALSE,"전력간선"}</definedName>
    <definedName name="실편백10노무">#REF!</definedName>
    <definedName name="실편백10재료">#REF!</definedName>
    <definedName name="실편백15노무">#REF!</definedName>
    <definedName name="실편백15재료">#REF!</definedName>
    <definedName name="실행">#REF!</definedName>
    <definedName name="실행2" hidden="1">{#N/A,#N/A,FALSE,"예상손익";#N/A,#N/A,FALSE,"관리분석";#N/A,#N/A,FALSE,"장비분석";#N/A,#N/A,FALSE,"준설분석";#N/A,#N/A,FALSE,"철구분석"}</definedName>
    <definedName name="실행30" localSheetId="0">BlankMacro1</definedName>
    <definedName name="실행30">BlankMacro1</definedName>
    <definedName name="실행갑">#REF!</definedName>
    <definedName name="실행갑지">#REF!</definedName>
    <definedName name="실행개요">#N/A</definedName>
    <definedName name="실행검토안">#REF!</definedName>
    <definedName name="실행결재">#REF!</definedName>
    <definedName name="실행공기">#REF!</definedName>
    <definedName name="실행공사비추정대비표">#REF!</definedName>
    <definedName name="실행금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내역" hidden="1">{#N/A,#N/A,FALSE,"Sheet1"}</definedName>
    <definedName name="실행내역1" hidden="1">{#N/A,#N/A,FALSE,"Sheet1"}</definedName>
    <definedName name="실행단가">#REF!</definedName>
    <definedName name="실행단축">#REF!</definedName>
    <definedName name="실행대비">#REF!</definedName>
    <definedName name="실행대비집계표" hidden="1">{#N/A,#N/A,FALSE,"운반시간"}</definedName>
    <definedName name="실행보고서1" localSheetId="0">BlankMacro1</definedName>
    <definedName name="실행보고서1">BlankMacro1</definedName>
    <definedName name="실행분석" hidden="1">{"'PROFORMA'!$A$1:$H$120"}</definedName>
    <definedName name="실행분석1" hidden="1">{"'PROFORMA'!$A$1:$H$120"}</definedName>
    <definedName name="실행비교">#REF!</definedName>
    <definedName name="실행안">#REF!</definedName>
    <definedName name="실행양식" localSheetId="0">BlankMacro1</definedName>
    <definedName name="실행양식">BlankMacro1</definedName>
    <definedName name="실행에산갑지" hidden="1">#REF!</definedName>
    <definedName name="실행예산">#REF!</definedName>
    <definedName name="실행예산1">#REF!</definedName>
    <definedName name="실행예산10">#REF!</definedName>
    <definedName name="실행예산11">#REF!</definedName>
    <definedName name="실행예산12">#REF!</definedName>
    <definedName name="실행예산13">#REF!</definedName>
    <definedName name="실행예산2">#REF!</definedName>
    <definedName name="실행예산3">#REF!</definedName>
    <definedName name="실행예산4">#REF!</definedName>
    <definedName name="실행예산5">#REF!</definedName>
    <definedName name="실행예산6">#REF!</definedName>
    <definedName name="실행예산7">#REF!</definedName>
    <definedName name="실행예산8">#REF!</definedName>
    <definedName name="실행예산9">#REF!</definedName>
    <definedName name="실행예산서">#REF!</definedName>
    <definedName name="실행예산표">#REF!</definedName>
    <definedName name="실행원가" hidden="1">{#N/A,#N/A,FALSE,"전력간선"}</definedName>
    <definedName name="실행작성">#REF!</definedName>
    <definedName name="실행재편성">#REF!</definedName>
    <definedName name="실행조건">#REF!</definedName>
    <definedName name="실행중산보고서" hidden="1">{#N/A,#N/A,FALSE,"예상손익";#N/A,#N/A,FALSE,"관리분석";#N/A,#N/A,FALSE,"장비분석";#N/A,#N/A,FALSE,"준설분석";#N/A,#N/A,FALSE,"철구분석"}</definedName>
    <definedName name="실행집계">#REF!</definedName>
    <definedName name="실행총괄">#REF!</definedName>
    <definedName name="실행총괄표" hidden="1">#REF!</definedName>
    <definedName name="실행총액">#N/A</definedName>
    <definedName name="실행추" hidden="1">{#N/A,#N/A,FALSE,"포장2"}</definedName>
    <definedName name="실행투찰대비" hidden="1">{#N/A,#N/A,FALSE,"기안지";#N/A,#N/A,FALSE,"통신지"}</definedName>
    <definedName name="실허">#REF!</definedName>
    <definedName name="실험">{"'정산내역서'!$A$1:$I$35","'정산서(절.성토부)'!$A$1:$Q$17","'정산서(교량부)'!$A$1:$Q$84","'총괄표'!$A$1:$M$12","'시행현황'!$A$1:$G$12","'표지'!$A$1:$N$27","'정산서(절.성토부)'!$A$3:$Q$7"}</definedName>
    <definedName name="심사공종">#REF!</definedName>
    <definedName name="심신" hidden="1">{#N/A,#N/A,FALSE,"혼합골재"}</definedName>
    <definedName name="십">#N/A</definedName>
    <definedName name="십구호표">#REF!</definedName>
    <definedName name="십만">#REF!</definedName>
    <definedName name="십사">#N/A</definedName>
    <definedName name="십사십사">#N/A</definedName>
    <definedName name="십사십사십사">#N/A</definedName>
    <definedName name="십사십사십사십사">#N/A</definedName>
    <definedName name="십사호표">#REF!</definedName>
    <definedName name="십삼">#N/A</definedName>
    <definedName name="십삼십삼">#N/A</definedName>
    <definedName name="십삼십삼십삼">#N/A</definedName>
    <definedName name="십삼십삼십삼십삼">#N/A</definedName>
    <definedName name="십삼호표">#REF!</definedName>
    <definedName name="십습동" localSheetId="0">BlankMacro1</definedName>
    <definedName name="십습동">BlankMacro1</definedName>
    <definedName name="십십">#N/A</definedName>
    <definedName name="십십십">#N/A</definedName>
    <definedName name="십십십십">#N/A</definedName>
    <definedName name="십오">#N/A</definedName>
    <definedName name="십오십오">#N/A</definedName>
    <definedName name="십오십오십오">#N/A</definedName>
    <definedName name="십오십오십오십오">#N/A</definedName>
    <definedName name="십오호표">#REF!</definedName>
    <definedName name="십육">#N/A</definedName>
    <definedName name="십육십육">#N/A</definedName>
    <definedName name="십육십육십육">#N/A</definedName>
    <definedName name="십육십육십육십육">#N/A</definedName>
    <definedName name="십육호표">#REF!</definedName>
    <definedName name="십이">#N/A</definedName>
    <definedName name="십이십이">#N/A</definedName>
    <definedName name="십이십이십이">#N/A</definedName>
    <definedName name="십이십이십이십이">#N/A</definedName>
    <definedName name="십이월">#REF!</definedName>
    <definedName name="십이호표">#REF!</definedName>
    <definedName name="십일">#N/A</definedName>
    <definedName name="십일십일">#N/A</definedName>
    <definedName name="십일십일십일">#N/A</definedName>
    <definedName name="십일십일십일십일">#N/A</definedName>
    <definedName name="십일월">#REF!</definedName>
    <definedName name="십일호표">#REF!</definedName>
    <definedName name="십장">#REF!</definedName>
    <definedName name="십칠">#N/A</definedName>
    <definedName name="십칠십칠">#N/A</definedName>
    <definedName name="십칠십칠십칠">#N/A</definedName>
    <definedName name="십칠십칠십칠십칠">#N/A</definedName>
    <definedName name="십칠호표">#REF!</definedName>
    <definedName name="십팔호표">#REF!</definedName>
    <definedName name="십프로">#REF!</definedName>
    <definedName name="십호표">#REF!</definedName>
    <definedName name="ㅅ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싸" hidden="1">{#N/A,#N/A,FALSE,"골재소요량";#N/A,#N/A,FALSE,"골재소요량"}</definedName>
    <definedName name="싸이" hidden="1">{#N/A,#N/A,FALSE,"골재소요량";#N/A,#N/A,FALSE,"골재소요량"}</definedName>
    <definedName name="써비스">#REF!</definedName>
    <definedName name="썰치">#REF!</definedName>
    <definedName name="쎙장" hidden="1">{#N/A,#N/A,FALSE,"생산성";#N/A,#N/A,FALSE,"인력1";#N/A,#N/A,FALSE,"인력2";#N/A,#N/A,FALSE,"인력3";#N/A,#N/A,FALSE,"인건1";#N/A,#N/A,FALSE,"인건2";#N/A,#N/A,FALSE,"인건3";#N/A,#N/A,FALSE,"인원증감";#N/A,#N/A,FALSE,"인건증감";#N/A,#N/A,FALSE,"표지등"}</definedName>
    <definedName name="쓰">#REF!</definedName>
    <definedName name="쓰레기분리수거함">#REF!</definedName>
    <definedName name="쓰레기분리수거함1">#REF!</definedName>
    <definedName name="씨">#REF!</definedName>
    <definedName name="씨그마ck">#REF!</definedName>
    <definedName name="씨그마y">#REF!</definedName>
    <definedName name="씨발놈이" localSheetId="0">Dlog_Show</definedName>
    <definedName name="씨발놈이">Dlog_Show</definedName>
    <definedName name="씨파">#REF!</definedName>
    <definedName name="씨ㅡ불텡이" localSheetId="0">Dlog_Show</definedName>
    <definedName name="씨ㅡ불텡이">Dlog_Show</definedName>
    <definedName name="ㅇ">#N/A</definedName>
    <definedName name="ㅇ48">#REF!</definedName>
    <definedName name="ㅇ560">#REF!</definedName>
    <definedName name="ㅇ964">#REF!</definedName>
    <definedName name="ㅇㄱ">#REF!</definedName>
    <definedName name="ㅇㄱ1">#REF!</definedName>
    <definedName name="ㅇㄱㄷㄱㄹㅇ" hidden="1">{#N/A,#N/A,FALSE,"전력간선"}</definedName>
    <definedName name="ㅇㄱㅀ" hidden="1">{#N/A,#N/A,FALSE,"조골재"}</definedName>
    <definedName name="ㅇ고">#REF!</definedName>
    <definedName name="ㅇㄴ">#REF!</definedName>
    <definedName name="ㅇㄴ.ㅓ력ㄷㄹ" hidden="1">{#N/A,#N/A,FALSE,"2~8번"}</definedName>
    <definedName name="ㅇㄴㄱㄷㅎ" hidden="1">{#N/A,#N/A,FALSE,"단가표지"}</definedName>
    <definedName name="ㅇㄴㄴ" hidden="1">{#N/A,#N/A,FALSE,"골재소요량";#N/A,#N/A,FALSE,"골재소요량"}</definedName>
    <definedName name="ㅇㄴㄴㄴㄴㄴㄴㄴㄴㄴ" hidden="1">{#N/A,#N/A,FALSE,"혼합골재"}</definedName>
    <definedName name="ㅇㄴㄴㄹ횩" hidden="1">{#N/A,#N/A,FALSE,"단가표지"}</definedName>
    <definedName name="ㅇㄴㄴㅇㄹ">#REF!</definedName>
    <definedName name="ㅇㄴㄴㅇㅇㄴㄴㅇ" hidden="1">{"'용역비'!$A$4:$C$8"}</definedName>
    <definedName name="ㅇㄴㄷㅈㄱㅈㅂㄷㄱㄹㄷㅈㄱ" localSheetId="0">ErrorHandler_1</definedName>
    <definedName name="ㅇㄴㄷㅈㄱㅈㅂㄷㄱㄹㄷㅈㄱ">ErrorHandler_1</definedName>
    <definedName name="ㅇㄴㄹ" hidden="1">#REF!</definedName>
    <definedName name="ㅇㄴㄹ_1" hidden="1">{#N/A,#N/A,FALSE,"Sheet1"}</definedName>
    <definedName name="ㅇㄴㄹㄴㄹ" hidden="1">{#N/A,#N/A,FALSE,"단가표지"}</definedName>
    <definedName name="ㅇㄴㄹㄴㅁㄹㅇ">#N/A</definedName>
    <definedName name="ㅇㄴㄹㄴㅇ">#REF!</definedName>
    <definedName name="ㅇㄴㄹㄴㅇㄹ">#N/A</definedName>
    <definedName name="ㅇㄴㄹㄴㅇㄹㄹㄴㅇ" hidden="1">{"'용역비'!$A$4:$C$8"}</definedName>
    <definedName name="ㅇㄴㄹㄴㅇㄹㄹㄻㄴ" hidden="1">255</definedName>
    <definedName name="ㅇㄴㄹㄴㅇㄹㅇㄹ" hidden="1">{#N/A,#N/A,FALSE,"생산성";#N/A,#N/A,FALSE,"인력1";#N/A,#N/A,FALSE,"인력2";#N/A,#N/A,FALSE,"인력3";#N/A,#N/A,FALSE,"인건1";#N/A,#N/A,FALSE,"인건2";#N/A,#N/A,FALSE,"인건3";#N/A,#N/A,FALSE,"인원증감";#N/A,#N/A,FALSE,"인건증감";#N/A,#N/A,FALSE,"표지등"}</definedName>
    <definedName name="ㅇㄴㄹ녀ㅗㅇㄹ" hidden="1">{#N/A,#N/A,FALSE,"단가표지"}</definedName>
    <definedName name="ㅇㄴㄹㄴㄻ">#REF!</definedName>
    <definedName name="ㅇㄴㄹㄷㄴㄹ" hidden="1">{#N/A,#N/A,FALSE,"단가표지"}</definedName>
    <definedName name="ㅇㄴㄹㄷㅁㅍ" hidden="1">{#N/A,#N/A,FALSE,"단가표지"}</definedName>
    <definedName name="ㅇㄴㄹ도" hidden="1">{#N/A,#N/A,FALSE,"단가표지"}</definedName>
    <definedName name="ㅇㄴㄹㄷㄻ" hidden="1">{#N/A,#N/A,FALSE,"골재소요량";#N/A,#N/A,FALSE,"골재소요량"}</definedName>
    <definedName name="ㅇㄴㄹㄹㄴㄹㄹ" hidden="1">{#N/A,#N/A,FALSE,"운반시간"}</definedName>
    <definedName name="ㅇㄴㄹㄹㄹ" hidden="1">#REF!</definedName>
    <definedName name="ㅇㄴㄹㄹㅈ" hidden="1">#REF!</definedName>
    <definedName name="ㅇㄴㄹㅇ" hidden="1">{#N/A,#N/A,FALSE,"단가표지"}</definedName>
    <definedName name="ㅇㄴㄹㅇㄴ" hidden="1">{#N/A,#N/A,FALSE,"견적조건";#N/A,#N/A,FALSE,"산출근거"}</definedName>
    <definedName name="ㅇㄴㄹㅇㄴㄹㅇㄴ" hidden="1">{#N/A,#N/A,FALSE,"조골재"}</definedName>
    <definedName name="ㅇㄴㄹㅇㄴㄺㄷ" hidden="1">{#N/A,#N/A,FALSE,"단가표지"}</definedName>
    <definedName name="ㅇㄴㄹㅇㅁㄴ" hidden="1">{#N/A,#N/A,FALSE,"전력간선"}</definedName>
    <definedName name="ㅇㄴㄹㅇㅇ"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ㅇㄴㄹㅈㄷㄹ" hidden="1">{#N/A,#N/A,FALSE,"골재소요량";#N/A,#N/A,FALSE,"골재소요량"}</definedName>
    <definedName name="ㅇㄴㄹㅈㄺㄹ" hidden="1">{#N/A,#N/A,FALSE,"골재소요량";#N/A,#N/A,FALSE,"골재소요량"}</definedName>
    <definedName name="ㅇㄴㄹ허호걸" hidden="1">{#N/A,#N/A,FALSE,"단가표지"}</definedName>
    <definedName name="ㅇㄴ라덜ㄷ" hidden="1">{#N/A,#N/A,FALSE,"표지목차"}</definedName>
    <definedName name="ㅇㄴ라ㅓㄱ8ㅑ" hidden="1">{#N/A,#N/A,FALSE,"단가표지"}</definedName>
    <definedName name="ㅇㄴ라ㅓ다" hidden="1">{#N/A,#N/A,FALSE,"표지목차"}</definedName>
    <definedName name="ㅇㄴ라ㅓ댜" hidden="1">{#N/A,#N/A,FALSE,"조골재"}</definedName>
    <definedName name="ㅇㄴ라ㅓ도ㅕㅇ" hidden="1">{#N/A,#N/A,FALSE,"2~8번"}</definedName>
    <definedName name="ㅇㄴ라ㅣ덛" hidden="1">{#N/A,#N/A,FALSE,"운반시간"}</definedName>
    <definedName name="ㅇㄴ라ㅣㅓ댜" hidden="1">{#N/A,#N/A,FALSE,"단가표지"}</definedName>
    <definedName name="ㅇㄴ라ㅣㅓㄹㄷ" hidden="1">{#N/A,#N/A,FALSE,"단가표지"}</definedName>
    <definedName name="ㅇㄴ러고홀" hidden="1">{#N/A,#N/A,FALSE,"단가표지"}</definedName>
    <definedName name="ㅇㄴ러도ㅗㅓㄹ" hidden="1">{#N/A,#N/A,FALSE,"단가표지"}</definedName>
    <definedName name="ㅇㄴ러돋" hidden="1">{#N/A,#N/A,FALSE,"단가표지"}</definedName>
    <definedName name="ㅇㄴ러록ㄷㅀ" hidden="1">{#N/A,#N/A,FALSE,"혼합골재"}</definedName>
    <definedName name="ㅇㄴ러ㅏㄴ" hidden="1">{#N/A,#N/A,FALSE,"2~8번"}</definedName>
    <definedName name="ㅇㄴ러ㅏ노렁" hidden="1">{#N/A,#N/A,FALSE,"골재소요량";#N/A,#N/A,FALSE,"골재소요량"}</definedName>
    <definedName name="ㅇㄴ러ㅏㄷ" hidden="1">{#N/A,#N/A,FALSE,"조골재"}</definedName>
    <definedName name="ㅇㄴ러ㅏㅗ뎌ㅓ" hidden="1">{#N/A,#N/A,FALSE,"단가표지"}</definedName>
    <definedName name="ㅇㄴ러ㅏㅗㄹㄷ" hidden="1">{#N/A,#N/A,FALSE,"운반시간"}</definedName>
    <definedName name="ㅇㄴ러ㅏㅣㅗ뎌" hidden="1">{#N/A,#N/A,FALSE,"조골재"}</definedName>
    <definedName name="ㅇㄴ러ㅗㄷㅎ" hidden="1">{#N/A,#N/A,FALSE,"골재소요량";#N/A,#N/A,FALSE,"골재소요량"}</definedName>
    <definedName name="ㅇㄴ럴" hidden="1">{#N/A,#N/A,FALSE,"혼합골재"}</definedName>
    <definedName name="ㅇㄴ로ㅕㄱㅎ" hidden="1">{#N/A,#N/A,FALSE,"단가표지"}</definedName>
    <definedName name="ㅇㄴ록ㄷ" hidden="1">{#N/A,#N/A,FALSE,"단가표지"}</definedName>
    <definedName name="ㅇㄴ르대허" hidden="1">{#N/A,#N/A,FALSE,"운반시간"}</definedName>
    <definedName name="ㅇㄴ리ㅓㅏㅗㅎㄱㄷ" hidden="1">{#N/A,#N/A,FALSE,"표지목차"}</definedName>
    <definedName name="ㅇㄴㅁ" hidden="1">#REF!</definedName>
    <definedName name="ㅇㄴㅁㄴㅁㄴㅇㄴㅇㅁㄴㅇㅁㄴㅇㅁㄴㅇㅇㄴㄴㅇㅇㄴㅁ">#N/A</definedName>
    <definedName name="ㅇㄴㅁ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ㄹㅇㄻㅇㄹㄴㅇ" hidden="1">{#N/A,"수불부",FALSE,"사급자재수불서";#N/A,"수불부",FALSE,"사급자재수불서"}</definedName>
    <definedName name="ㅇㄴㅁㅇ" hidden="1">{#N/A,#N/A,FALSE,"견적조건";#N/A,#N/A,FALSE,"산출근거"}</definedName>
    <definedName name="ㅇㄴㅁㅎㄴㅇ호" hidden="1">{#N/A,#N/A,FALSE,"지침";#N/A,#N/A,FALSE,"환경분석";#N/A,#N/A,FALSE,"Sheet16"}</definedName>
    <definedName name="ㅇㄴ슈ㅕ수" hidden="1">{#N/A,#N/A,FALSE,"단가표지"}</definedName>
    <definedName name="ㅇㄴㅇ" hidden="1">{#N/A,#N/A,FALSE,"견적조건";#N/A,#N/A,FALSE,"산출근거"}</definedName>
    <definedName name="ㅇㄴㅇㄴ" hidden="1">{#N/A,#N/A,FALSE,"2~8번"}</definedName>
    <definedName name="ㅇㄴㅇㄴㅇ" hidden="1">#REF!</definedName>
    <definedName name="ㅇㄴㅇㄹ">{"'자리배치도'!$AG$1:$CI$28"}</definedName>
    <definedName name="ㅇㄴㅇㅁ">{"'자리배치도'!$AG$1:$CI$28"}</definedName>
    <definedName name="ㅇㄴㅇㅁㅇㅁㅇ" hidden="1">{#N/A,#N/A,TRUE,"토적및재료집계";#N/A,#N/A,TRUE,"토적및재료집계";#N/A,#N/A,TRUE,"단위량"}</definedName>
    <definedName name="ㅇㄴㅇㅍㅊㅇㅌㅍㄹ" hidden="1">{#N/A,#N/A,FALSE,"혼합골재"}</definedName>
    <definedName name="ㅇㄴ총ㄹ" hidden="1">{#N/A,#N/A,FALSE,"운반시간"}</definedName>
    <definedName name="ㅇㄴㅋㅋㅌ" hidden="1">{#N/A,#N/A,FALSE,"혼합골재"}</definedName>
    <definedName name="ㅇㄴ타.ㅣㅓ파ㅕ" hidden="1">{#N/A,#N/A,FALSE,"혼합골재"}</definedName>
    <definedName name="ㅇㄴㅍ">#REF!</definedName>
    <definedName name="ㅇㄴㅍㄱㅇ" hidden="1">{#N/A,#N/A,FALSE,"표지목차"}</definedName>
    <definedName name="ㅇㄴㅍㄴㄱ" hidden="1">{#N/A,#N/A,FALSE,"골재소요량";#N/A,#N/A,FALSE,"골재소요량"}</definedName>
    <definedName name="ㅇㄴㅍㄹㅇㅍ" hidden="1">{#N/A,#N/A,FALSE,"운반시간"}</definedName>
    <definedName name="ㅇㄴㅎㄹ오ㄴ">#REF!</definedName>
    <definedName name="ㅇㄴㅀ">#N/A</definedName>
    <definedName name="ㅇㄴㅀㄱㄷㅎㄱ" hidden="1">{#N/A,#N/A,FALSE,"골재소요량";#N/A,#N/A,FALSE,"골재소요량"}</definedName>
    <definedName name="ㅇㄴㅀ굟" hidden="1">{#N/A,#N/A,FALSE,"단가표지"}</definedName>
    <definedName name="ㅇㄴㅀㅇ륲ㅎ" hidden="1">{#N/A,#N/A,FALSE,"운반시간"}</definedName>
    <definedName name="ㅇㄴㅀㅈㄷㅎㄱㄽ" hidden="1">{#N/A,#N/A,FALSE,"단가표지"}</definedName>
    <definedName name="ㅇ나로ㅓ겨" hidden="1">{#N/A,#N/A,FALSE,"2~8번"}</definedName>
    <definedName name="ㅇ나ㅓ러ㅗ교" hidden="1">{#N/A,#N/A,FALSE,"혼합골재"}</definedName>
    <definedName name="ㅇ나ㅓ록다" hidden="1">{#N/A,#N/A,FALSE,"단가표지"}</definedName>
    <definedName name="ㅇ나ㅓ룍ㄷ" hidden="1">{#N/A,#N/A,FALSE,"전력간선"}</definedName>
    <definedName name="ㅇ나ㅓㅗㄹㄷ" hidden="1">{#N/A,#N/A,FALSE,"골재소요량";#N/A,#N/A,FALSE,"골재소요량"}</definedName>
    <definedName name="ㅇ나ㅓㅗ려ㅛㄱ" hidden="1">{#N/A,#N/A,FALSE,"단가표지"}</definedName>
    <definedName name="ㅇ나ㅓㅗㄺㄷㄹ" hidden="1">{#N/A,#N/A,FALSE,"운반시간"}</definedName>
    <definedName name="ㅇ나ㅗ료ㅕㄱㄷ" hidden="1">{#N/A,#N/A,FALSE,"표지목차"}</definedName>
    <definedName name="ㅇ나ㅗㄺㄺ" hidden="1">{#N/A,#N/A,FALSE,"단가표지"}</definedName>
    <definedName name="ㅇ날윻ㄹ굑" hidden="1">{#N/A,#N/A,FALSE,"운반시간"}</definedName>
    <definedName name="ㅇ너로뎌" hidden="1">{#N/A,#N/A,FALSE,"운반시간"}</definedName>
    <definedName name="ㅇ너로됼ㄹ" hidden="1">{#N/A,#N/A,FALSE,"운반시간"}</definedName>
    <definedName name="ㅇ너로여롣" hidden="1">{#N/A,#N/A,FALSE,"단가표지"}</definedName>
    <definedName name="ㅇ너롣ㄹ" hidden="1">{#N/A,#N/A,FALSE,"단가표지"}</definedName>
    <definedName name="ㅇ너룓ㄹ" hidden="1">{#N/A,#N/A,FALSE,"운반시간"}</definedName>
    <definedName name="ㅇ너ㅏㅗ력ㄱ" hidden="1">{#N/A,#N/A,FALSE,"단가표지"}</definedName>
    <definedName name="ㅇ너ㅗ료ㅕㄷ로" hidden="1">{#N/A,#N/A,FALSE,"운반시간"}</definedName>
    <definedName name="ㅇ너ㅗ펴곻ㄹ" hidden="1">{#N/A,#N/A,FALSE,"조골재"}</definedName>
    <definedName name="ㅇ너ㅗㅕㄷㄱ" hidden="1">{#N/A,#N/A,FALSE,"단가표지"}</definedName>
    <definedName name="ㅇ너ㅛ휼ㅇㄴ" hidden="1">{#N/A,#N/A,FALSE,"2~8번"}</definedName>
    <definedName name="ㅇ노갈" hidden="1">{#N/A,#N/A,FALSE,"조골재"}</definedName>
    <definedName name="ㅇ노ㅓ롼" hidden="1">{#N/A,#N/A,FALSE,"골재소요량";#N/A,#N/A,FALSE,"골재소요량"}</definedName>
    <definedName name="ㅇ노ㅓㅎㅇㄴㄹ" hidden="1">{#N/A,#N/A,FALSE,"운반시간"}</definedName>
    <definedName name="ㅇ노ㅓㅎㄿㅎ룡ㄹ" hidden="1">{#N/A,#N/A,FALSE,"조골재"}</definedName>
    <definedName name="ㅇ녹" hidden="1">{#N/A,#N/A,FALSE,"표지목차"}</definedName>
    <definedName name="ㅇ놀횩ㄷ" hidden="1">{#N/A,#N/A,FALSE,"단가표지"}</definedName>
    <definedName name="ㅇ놇ㄱㄷㄹ" hidden="1">{#N/A,#N/A,FALSE,"혼합골재"}</definedName>
    <definedName name="ㅇ농ㄴㄹ" hidden="1">{#N/A,#N/A,FALSE,"단가표지"}</definedName>
    <definedName name="ㅇ놓ㄹ됴" hidden="1">{#N/A,#N/A,FALSE,"2~8번"}</definedName>
    <definedName name="ㅇ놓ㄹ됼" hidden="1">{#N/A,#N/A,FALSE,"조골재"}</definedName>
    <definedName name="ㅇ놓푤ㅇㄴ" hidden="1">{#N/A,#N/A,FALSE,"조골재"}</definedName>
    <definedName name="ㅇ누" hidden="1">#REF!</definedName>
    <definedName name="ㅇ누호룍러ㅜ" hidden="1">{#N/A,#N/A,FALSE,"단가표지"}</definedName>
    <definedName name="ㅇ누ㅗㄺㄷㄹ" hidden="1">{#N/A,#N/A,FALSE,"표지목차"}</definedName>
    <definedName name="ㅇ눌횩ㄷㅎ" hidden="1">{#N/A,#N/A,FALSE,"단가표지"}</definedName>
    <definedName name="ㅇ니오력" hidden="1">{#N/A,#N/A,FALSE,"운반시간"}</definedName>
    <definedName name="ㅇ니ㅏ얼ㅇ" hidden="1">{#N/A,#N/A,FALSE,"골재소요량";#N/A,#N/A,FALSE,"골재소요량"}</definedName>
    <definedName name="ㅇㄴㄺ" hidden="1">{#N/A,#N/A,FALSE,"단가표지"}</definedName>
    <definedName name="ㅇㄴㄺㄷㄹ" hidden="1">{#N/A,#N/A,FALSE,"단가표지"}</definedName>
    <definedName name="ㅇㄴㄺㄷㅇㅎ" hidden="1">{#N/A,#N/A,FALSE,"조골재"}</definedName>
    <definedName name="ㅇㄴㄺㄷㅎ" hidden="1">{#N/A,#N/A,FALSE,"골재소요량";#N/A,#N/A,FALSE,"골재소요량"}</definedName>
    <definedName name="ㅇㄴㄺㄷㅎㄱ" hidden="1">{#N/A,#N/A,FALSE,"혼합골재"}</definedName>
    <definedName name="ㅇㄴㄺㄷㅎㄹ" hidden="1">{#N/A,#N/A,FALSE,"표지목차"}</definedName>
    <definedName name="ㅇㄴㄺㄷㅎㅈ" hidden="1">{#N/A,#N/A,FALSE,"운반시간"}</definedName>
    <definedName name="ㅇㄴㄻ" hidden="1">{#N/A,#N/A,FALSE,"표지목차"}</definedName>
    <definedName name="ㅇㄴㄻㄴ" hidden="1">{#N/A,#N/A,FALSE,"단가표지"}</definedName>
    <definedName name="ㅇㄴㄻㄴㄹ" hidden="1">{#N/A,#N/A,FALSE,"BS";#N/A,#N/A,FALSE,"PL";#N/A,#N/A,FALSE,"처분";#N/A,#N/A,FALSE,"현금";#N/A,#N/A,FALSE,"매출";#N/A,#N/A,FALSE,"원가";#N/A,#N/A,FALSE,"경영"}</definedName>
    <definedName name="ㅇㄴㄻㄴㅇ" hidden="1">{#N/A,#N/A,FALSE,"표지목차"}</definedName>
    <definedName name="ㅇㄴㄻㄹ" hidden="1">#REF!</definedName>
    <definedName name="ㅇㄴㄻㅇㄹㄴㅁ" hidden="1">#REF!</definedName>
    <definedName name="ㅇㄴㄻㅎㅈㄷㅈㄷㄴ">{"'Sheet1'!$D$19","'Sheet1'!$B$22:$E$22"}</definedName>
    <definedName name="ㅇㄴㄿ" hidden="1">{#N/A,#N/A,FALSE,"CCTV"}</definedName>
    <definedName name="ㅇㄴㄿㅇ" hidden="1">{#N/A,#N/A,FALSE,"혼합골재"}</definedName>
    <definedName name="ㅇㄷ">#REF!</definedName>
    <definedName name="ㅇㄷㄷ">#REF!</definedName>
    <definedName name="ㅇㄷㅇ" hidden="1">{#N/A,#N/A,FALSE,"생산성";#N/A,#N/A,FALSE,"인력1";#N/A,#N/A,FALSE,"인력2";#N/A,#N/A,FALSE,"인력3";#N/A,#N/A,FALSE,"인건1";#N/A,#N/A,FALSE,"인건2";#N/A,#N/A,FALSE,"인건3";#N/A,#N/A,FALSE,"인원증감";#N/A,#N/A,FALSE,"인건증감";#N/A,#N/A,FALSE,"표지등"}</definedName>
    <definedName name="ㅇㄷㅇㄷㅈㅇ" hidden="1">{#N/A,#N/A,FALSE,"현장 NCR 분석";#N/A,#N/A,FALSE,"현장품질감사";#N/A,#N/A,FALSE,"현장품질감사"}</definedName>
    <definedName name="ㅇㄷㅈ" hidden="1">{#N/A,#N/A,FALSE,"조골재"}</definedName>
    <definedName name="ㅇ댜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됼" hidden="1">{#N/A,#N/A,FALSE,"단가표지"}</definedName>
    <definedName name="ㅇㄹ" hidden="1">#REF!</definedName>
    <definedName name="ㅇㄹ3" hidden="1">{#N/A,#N/A,FALSE,"명세표"}</definedName>
    <definedName name="ㅇㄹ갸ㅕ호" hidden="1">{#N/A,#N/A,FALSE,"단가표지"}</definedName>
    <definedName name="ㅇㄹㄴ" hidden="1">{#N/A,#N/A,FALSE,"2~8번"}</definedName>
    <definedName name="ㅇㄹㄴㄱㄹㅇㄴ솓ㄱㅇㅍㄹㅇㅌ">#REF!</definedName>
    <definedName name="ㅇㄹㄴㄴㅇㄴㄹ" hidden="1">{#N/A,#N/A,FALSE,"단가표지"}</definedName>
    <definedName name="ㅇㄹㄴㄴㅇㄴㄹㅇㄹㄴㅁ">#N/A</definedName>
    <definedName name="ㅇㄹㄴㄴㅇㄹㄴㅇㄹㄴㅇㄹ" hidden="1">{#N/A,#N/A,FALSE,"제조원가"}</definedName>
    <definedName name="ㅇㄹㄴㄹ" hidden="1">{#N/A,#N/A,FALSE,"CCTV"}</definedName>
    <definedName name="ㅇㄹㄴㄹㅇㄴ" hidden="1">{#N/A,#N/A,FALSE,"표지목차"}</definedName>
    <definedName name="ㅇㄹㄴㄹㅇㄴㅁ">#REF!</definedName>
    <definedName name="ㅇㄹㄴㅁ">#REF!</definedName>
    <definedName name="ㅇㄹㄴㅁㄴㅇㄹㄴㅇㅁㅇㄹ" hidden="1">#REF!</definedName>
    <definedName name="ㅇㄹㄴㅁㄹㅇ" hidden="1">{#N/A,#N/A,FALSE,"CCTV"}</definedName>
    <definedName name="ㅇㄹㄴㅁㅎㅁㄴ" hidden="1">{#N/A,"수불부",FALSE,"사급자재수불서";#N/A,"수불부",FALSE,"사급자재수불서"}</definedName>
    <definedName name="ㅇㄹㄴㅇㄹ" hidden="1">{#N/A,#N/A,FALSE,"생산성";#N/A,#N/A,FALSE,"인력1";#N/A,#N/A,FALSE,"인력2";#N/A,#N/A,FALSE,"인력3";#N/A,#N/A,FALSE,"인건1";#N/A,#N/A,FALSE,"인건2";#N/A,#N/A,FALSE,"인건3";#N/A,#N/A,FALSE,"인원증감";#N/A,#N/A,FALSE,"인건증감";#N/A,#N/A,FALSE,"표지등"}</definedName>
    <definedName name="ㅇㄹㄴㅇㄹㅇ" hidden="1">#REF!</definedName>
    <definedName name="ㅇㄹㄴㅇㄹㅈㄷㄱㅈㅊㅍㅌㅍㅌ">#REF!</definedName>
    <definedName name="ㅇㄹㄴㅇㄹㅀㅅㄱㅎㅎ" hidden="1">{#N/A,#N/A,FALSE,"생산성";#N/A,#N/A,FALSE,"인력1";#N/A,#N/A,FALSE,"인력2";#N/A,#N/A,FALSE,"인력3";#N/A,#N/A,FALSE,"인건1";#N/A,#N/A,FALSE,"인건2";#N/A,#N/A,FALSE,"인건3";#N/A,#N/A,FALSE,"인원증감";#N/A,#N/A,FALSE,"인건증감";#N/A,#N/A,FALSE,"표지등"}</definedName>
    <definedName name="ㅇㄹㄴㅀㄹㅇㅎㄹㅇㅎ" hidden="1">{#N/A,#N/A,FALSE,"2~8번"}</definedName>
    <definedName name="ㅇㄹ나혿" hidden="1">{#N/A,#N/A,FALSE,"골재소요량";#N/A,#N/A,FALSE,"골재소요량"}</definedName>
    <definedName name="ㅇㄹ나ㅗㅎㄷ" hidden="1">{#N/A,#N/A,FALSE,"운반시간"}</definedName>
    <definedName name="ㅇㄹ니ㅓㅕㄹㄷ" hidden="1">{#N/A,#N/A,FALSE,"단가표지"}</definedName>
    <definedName name="ㅇㄹㄴㄻㄴㅇㄹ" hidden="1">{#N/A,#N/A,FALSE,"이태원철근"}</definedName>
    <definedName name="ㅇㄹㄷㄷㅈ" hidden="1">{#N/A,#N/A,FALSE,"혼합골재"}</definedName>
    <definedName name="ㅇㄹㄷㄹ" hidden="1">{#N/A,#N/A,FALSE,"표지목차"}</definedName>
    <definedName name="ㅇㄹㄷㄹㄴ" hidden="1">{#N/A,#N/A,FALSE,"단가표지"}</definedName>
    <definedName name="ㅇㄹㄷㅇㄱ" hidden="1">{#N/A,#N/A,FALSE,"골재소요량";#N/A,#N/A,FALSE,"골재소요량"}</definedName>
    <definedName name="ㅇㄹㄷㅇ러ㅕㄷㄹ" hidden="1">{#N/A,#N/A,FALSE,"조골재"}</definedName>
    <definedName name="ㅇㄹㄷㅈㄹ" hidden="1">{#N/A,#N/A,FALSE,"단가표지"}</definedName>
    <definedName name="ㅇㄹㄷㅎ" hidden="1">{#N/A,#N/A,FALSE,"운반시간"}</definedName>
    <definedName name="ㅇㄹㄷ홀ㅇ" hidden="1">{#N/A,#N/A,FALSE,"단가표지"}</definedName>
    <definedName name="ㅇㄹ다ㅓ야" hidden="1">{#N/A,#N/A,FALSE,"운반시간"}</definedName>
    <definedName name="ㅇㄹ다ㅓㅑㄴ" hidden="1">{#N/A,#N/A,FALSE,"조골재"}</definedName>
    <definedName name="ㅇㄹ다ㅣㅗㅓㅕㅑㅇ" hidden="1">{#N/A,#N/A,FALSE,"단가표지"}</definedName>
    <definedName name="ㅇㄹ더ㅏㅗ횽ㄴ" hidden="1">{#N/A,#N/A,FALSE,"혼합골재"}</definedName>
    <definedName name="ㅇㄹ더ㅗㄷ" hidden="1">{#N/A,#N/A,FALSE,"골재소요량";#N/A,#N/A,FALSE,"골재소요량"}</definedName>
    <definedName name="ㅇㄹ더ㅗ력" hidden="1">{#N/A,#N/A,FALSE,"조골재"}</definedName>
    <definedName name="ㅇㄹ더ㅗㅇ" hidden="1">{#N/A,#N/A,FALSE,"단가표지"}</definedName>
    <definedName name="ㅇㄹ뎌ㅛㄹ" hidden="1">{#N/A,#N/A,FALSE,"운반시간"}</definedName>
    <definedName name="ㅇㄹㄹ" hidden="1">#REF!</definedName>
    <definedName name="ㅇㄹㄹㄴㅇㄹㅇㄹㄴㅇ" hidden="1">#REF!</definedName>
    <definedName name="ㅇㄹㄹㄷ" hidden="1">{#N/A,#N/A,FALSE,"조골재"}</definedName>
    <definedName name="ㅇㄹㄹㄹ">#REF!</definedName>
    <definedName name="ㅇㄹㄹㄹㄹ" hidden="1">{#N/A,#N/A,FALSE,"전력간선"}</definedName>
    <definedName name="ㅇㄹㄹㅇ" hidden="1">{#N/A,#N/A,FALSE,"2~8번"}</definedName>
    <definedName name="ㅇㄹㄹ호ㅓㅎㄱ" hidden="1">{#N/A,#N/A,FALSE,"혼합골재"}</definedName>
    <definedName name="ㅇㄹ러ㅏㅗ욜ㄷ" hidden="1">{#N/A,#N/A,FALSE,"2~8번"}</definedName>
    <definedName name="ㅇㄹ러ㅏㅣㅇ" hidden="1">{#N/A,#N/A,FALSE,"2~8번"}</definedName>
    <definedName name="ㅇㄹ러ㅗ혁" hidden="1">{#N/A,#N/A,FALSE,"단가표지"}</definedName>
    <definedName name="ㅇㄹ룍ㅎㅎ" hidden="1">{#N/A,#N/A,FALSE,"조골재"}</definedName>
    <definedName name="ㅇㄹㅇ" hidden="1">{#N/A,#N/A,TRUE,"대외공문"}</definedName>
    <definedName name="ㅇㄹㅇ_1" hidden="1">{#N/A,#N/A,TRUE,"대외공문"}</definedName>
    <definedName name="ㅇㄹㅇ_2" hidden="1">{#N/A,#N/A,TRUE,"대외공문"}</definedName>
    <definedName name="ㅇㄹㅇ_3" hidden="1">{#N/A,#N/A,TRUE,"대외공문"}</definedName>
    <definedName name="ㅇㄹㅇㄴㄺ" hidden="1">{#N/A,#N/A,FALSE,"2~8번"}</definedName>
    <definedName name="ㅇㄹㅇ더ㅗㅕㄴ" hidden="1">{#N/A,#N/A,FALSE,"단가표지"}</definedName>
    <definedName name="ㅇㄹㅇㄹ">#REF!</definedName>
    <definedName name="ㅇㄹㅇㄹㅇ">#REF!</definedName>
    <definedName name="ㅇㄹㅇㄹㅇㄹ" hidden="1">{#N/A,#N/A,FALSE,"운반시간"}</definedName>
    <definedName name="ㅇㄹㅇㄹㅇㅇㄹ">#REF!</definedName>
    <definedName name="ㅇㄹㅇㄹ호" hidden="1">{#N/A,#N/A,FALSE,"BS";#N/A,#N/A,FALSE,"PL";#N/A,#N/A,FALSE,"처분";#N/A,#N/A,FALSE,"현금";#N/A,#N/A,FALSE,"매출";#N/A,#N/A,FALSE,"원가";#N/A,#N/A,FALSE,"경영"}</definedName>
    <definedName name="ㅇㄹㅇㅁㅎㅁ">#N/A</definedName>
    <definedName name="ㅇㄹㅇㅇㄹ" hidden="1">{#N/A,#N/A,FALSE,"배수2"}</definedName>
    <definedName name="ㅇㄹㅇㅇㄹㅇㄹㅇㄹ" hidden="1">{#N/A,#N/A,FALSE,"단가표지"}</definedName>
    <definedName name="ㅇㄹㅇ퓨롷" hidden="1">{#N/A,#N/A,FALSE,"조골재"}</definedName>
    <definedName name="ㅇㄹ어알호ㅕㄱㅎㄷ" hidden="1">{#N/A,#N/A,FALSE,"조골재"}</definedName>
    <definedName name="ㅇㄹ오ㅠㅗㅠㅍ" hidden="1">{#N/A,#N/A,FALSE,"골재소요량";#N/A,#N/A,FALSE,"골재소요량"}</definedName>
    <definedName name="ㅇㄹㅇㅠㅇ">#N/A</definedName>
    <definedName name="ㅇㄹㅇㄻ" hidden="1">{#N/A,#N/A,FALSE,"조골재"}</definedName>
    <definedName name="ㅇㄹㅈ" hidden="1">#REF!</definedName>
    <definedName name="ㅇㄹㅈㄷㄱ" hidden="1">{#N/A,#N/A,FALSE,"2~8번"}</definedName>
    <definedName name="ㅇㄹㅈㄷㅎㄹ" hidden="1">{#N/A,#N/A,FALSE,"운반시간"}</definedName>
    <definedName name="ㅇㄹㅈㄹㅈㄷ" hidden="1">{#N/A,#N/A,FALSE,"표지목차"}</definedName>
    <definedName name="ㅇㄹㅈㅎ" hidden="1">{#N/A,#N/A,FALSE,"단가표지"}</definedName>
    <definedName name="ㅇㄹ조ㅕㅇㄴ" hidden="1">{#N/A,#N/A,FALSE,"조골재"}</definedName>
    <definedName name="ㅇㄹ차ㅗㅑㅐㄴㄷ" hidden="1">{#N/A,#N/A,FALSE,"단가표지"}</definedName>
    <definedName name="ㅇㄹ폳ㄹ" hidden="1">{#N/A,#N/A,FALSE,"조골재"}</definedName>
    <definedName name="ㅇㄹ퓰ㅇ퓻ㄹ" hidden="1">{#N/A,#N/A,FALSE,"골재소요량";#N/A,#N/A,FALSE,"골재소요량"}</definedName>
    <definedName name="ㅇㄹ퓰윯" hidden="1">{#N/A,#N/A,FALSE,"단가표지"}</definedName>
    <definedName name="ㅇㄹ퓷유" hidden="1">{#N/A,#N/A,FALSE,"조골재"}</definedName>
    <definedName name="ㅇㄹ퓻ㅎ" hidden="1">{#N/A,#N/A,FALSE,"운반시간"}</definedName>
    <definedName name="ㅇㄹ퓽ㅀㄱㅇ" hidden="1">{#N/A,#N/A,FALSE,"단가표지"}</definedName>
    <definedName name="ㅇㄹ픃ㄹㅇㅎㄷㄱ" hidden="1">{#N/A,#N/A,FALSE,"조골재"}</definedName>
    <definedName name="ㅇㄹ핑평ㄹ" hidden="1">{#N/A,#N/A,FALSE,"혼합골재"}</definedName>
    <definedName name="ㅇㄹ하겯" hidden="1">{#N/A,#N/A,FALSE,"골재소요량";#N/A,#N/A,FALSE,"골재소요량"}</definedName>
    <definedName name="ㅇㄹ하엉렇ㄱ" hidden="1">{#N/A,#N/A,FALSE,"운반시간"}</definedName>
    <definedName name="ㅇㄹ하ㅓ샤" hidden="1">{#N/A,#N/A,FALSE,"운반시간"}</definedName>
    <definedName name="ㅇㄹ하ㅓㅎㅇ" hidden="1">{#N/A,#N/A,FALSE,"단가표지"}</definedName>
    <definedName name="ㅇㄹ하ㅓㅗㄱ" hidden="1">{#N/A,#N/A,FALSE,"골재소요량";#N/A,#N/A,FALSE,"골재소요량"}</definedName>
    <definedName name="ㅇㄹ하ㅣㅓㅎㅇ" hidden="1">{#N/A,#N/A,FALSE,"단가표지"}</definedName>
    <definedName name="ㅇㄹ하ㅣㅓㅏㄹ" hidden="1">{#N/A,#N/A,FALSE,"조골재"}</definedName>
    <definedName name="ㅇㄹ핛홋" hidden="1">{#N/A,#N/A,FALSE,"혼합골재"}</definedName>
    <definedName name="ㅇㄹ항호ㅑ" hidden="1">{#N/A,#N/A,FALSE,"운반시간"}</definedName>
    <definedName name="ㅇㄹ핳" hidden="1">{#N/A,#N/A,FALSE,"혼합골재"}</definedName>
    <definedName name="ㅇㄹ허호" hidden="1">{#N/A,#N/A,FALSE,"골재소요량";#N/A,#N/A,FALSE,"골재소요량"}</definedName>
    <definedName name="ㅇㄹ허ㅏㅗㅅㅎ" hidden="1">{#N/A,#N/A,FALSE,"2~8번"}</definedName>
    <definedName name="ㅇㄹ허ㅗㄴ" hidden="1">{#N/A,#N/A,FALSE,"운반시간"}</definedName>
    <definedName name="ㅇㄹ허ㅗㅅ" hidden="1">{#N/A,#N/A,FALSE,"골재소요량";#N/A,#N/A,FALSE,"골재소요량"}</definedName>
    <definedName name="ㅇㄹ허ㅗ요ㅕㄱㅎ" hidden="1">{#N/A,#N/A,FALSE,"단가표지"}</definedName>
    <definedName name="ㅇㄹ허ㅗㅍ" hidden="1">{#N/A,#N/A,FALSE,"표지목차"}</definedName>
    <definedName name="ㅇㄹ허ㅗㅎㄱ" hidden="1">{#N/A,#N/A,FALSE,"단가표지"}</definedName>
    <definedName name="ㅇㄹ허ㅗㅎㅅㄱ" hidden="1">{#N/A,#N/A,FALSE,"단가표지"}</definedName>
    <definedName name="ㅇㄹ허ㅗㅎㅇ" hidden="1">{#N/A,#N/A,FALSE,"단가표지"}</definedName>
    <definedName name="ㅇㄹ허ㅗㅎㄳ" hidden="1">{#N/A,#N/A,FALSE,"단가표지"}</definedName>
    <definedName name="ㅇㄹ허ㅜㅍㅎㄹ" hidden="1">{#N/A,#N/A,FALSE,"혼합골재"}</definedName>
    <definedName name="ㅇㄹ허ㅜㅠㄹ" hidden="1">{#N/A,#N/A,FALSE,"운반시간"}</definedName>
    <definedName name="ㅇㄹ헉호" hidden="1">{#N/A,#N/A,FALSE,"운반시간"}</definedName>
    <definedName name="ㅇㄹ헝ㅎ" hidden="1">{#N/A,#N/A,FALSE,"단가표지"}</definedName>
    <definedName name="ㅇㄹ헣" hidden="1">{#N/A,#N/A,FALSE,"단가표지"}</definedName>
    <definedName name="ㅇㄹ혀ㅓ솧" hidden="1">{#N/A,#N/A,FALSE,"단가표지"}</definedName>
    <definedName name="ㅇㄹ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호겨" hidden="1">{#N/A,#N/A,FALSE,"단가표지"}</definedName>
    <definedName name="ㅇㄹ호혃" hidden="1">{#N/A,#N/A,FALSE,"조골재"}</definedName>
    <definedName name="ㅇㄹ호ㅕㄱㅎ" hidden="1">{#N/A,#N/A,FALSE,"운반시간"}</definedName>
    <definedName name="ㅇㄹ호ㅕ곻" hidden="1">{#N/A,#N/A,FALSE,"골재소요량";#N/A,#N/A,FALSE,"골재소요량"}</definedName>
    <definedName name="ㅇㄹ호ㅗ슈ㅠㄹ" hidden="1">{#N/A,#N/A,FALSE,"운반시간"}</definedName>
    <definedName name="ㅇㄹ호ㅗㅎ욕" hidden="1">{#N/A,#N/A,FALSE,"단가표지"}</definedName>
    <definedName name="ㅇㄹ호ㅠ" hidden="1">{#N/A,#N/A,FALSE,"단가표지"}</definedName>
    <definedName name="ㅇㄹ호ㅠㄹ" hidden="1">{#N/A,#N/A,FALSE,"단가표지"}</definedName>
    <definedName name="ㅇㄹ홋ㅎ" hidden="1">{#N/A,#N/A,FALSE,"골재소요량";#N/A,#N/A,FALSE,"골재소요량"}</definedName>
    <definedName name="ㅇㄹ홍ㄹ">#REF!</definedName>
    <definedName name="ㅇㄹ홍ㄹ호" hidden="1">{#N/A,#N/A,FALSE,"손익표지";#N/A,#N/A,FALSE,"손익계산";#N/A,#N/A,FALSE,"일반관리비";#N/A,#N/A,FALSE,"영업외수익";#N/A,#N/A,FALSE,"영업외비용";#N/A,#N/A,FALSE,"매출액";#N/A,#N/A,FALSE,"요약손익";#N/A,#N/A,FALSE,"요약대차";#N/A,#N/A,FALSE,"매출채권현황";#N/A,#N/A,FALSE,"매출채권명세"}</definedName>
    <definedName name="ㅇㄹ홍ㅎ" hidden="1">{#N/A,#N/A,FALSE,"손익표지";#N/A,#N/A,FALSE,"손익계산";#N/A,#N/A,FALSE,"일반관리비";#N/A,#N/A,FALSE,"영업외수익";#N/A,#N/A,FALSE,"영업외비용";#N/A,#N/A,FALSE,"매출액";#N/A,#N/A,FALSE,"요약손익";#N/A,#N/A,FALSE,"요약대차";#N/A,#N/A,FALSE,"매출채권현황";#N/A,#N/A,FALSE,"매출채권명세"}</definedName>
    <definedName name="ㅇㄹ횩" hidden="1">{#N/A,#N/A,FALSE,"골재소요량";#N/A,#N/A,FALSE,"골재소요량"}</definedName>
    <definedName name="ㅇㄹ후ㅗ굗" hidden="1">{#N/A,#N/A,FALSE,"운반시간"}</definedName>
    <definedName name="ㅇㄹ후ㅜㄹㅇㄴ" hidden="1">{#N/A,#N/A,FALSE,"골재소요량";#N/A,#N/A,FALSE,"골재소요량"}</definedName>
    <definedName name="ㅇㄹ훅셔ㅗ" hidden="1">{#N/A,#N/A,FALSE,"운반시간"}</definedName>
    <definedName name="ㅇㄹ휴ㅗㄱㄷㅎ" hidden="1">{#N/A,#N/A,FALSE,"단가표지"}</definedName>
    <definedName name="ㅇㄹ흐ㅝㄹㅇ" hidden="1">{#N/A,#N/A,FALSE,"2~8번"}</definedName>
    <definedName name="ㅇㄹㅀ" hidden="1">#REF!</definedName>
    <definedName name="ㅇㄹㅀㄱㄷㅎ" hidden="1">{#N/A,#N/A,FALSE,"혼합골재"}</definedName>
    <definedName name="ㅇ라거ㅑㄱㅎ" hidden="1">{#N/A,#N/A,FALSE,"단가표지"}</definedName>
    <definedName name="ㅇ라너랃" hidden="1">{#N/A,#N/A,FALSE,"단가표지"}</definedName>
    <definedName name="ㅇ라너올" hidden="1">{#N/A,#N/A,FALSE,"단가표지"}</definedName>
    <definedName name="ㅇ라오룓" hidden="1">{#N/A,#N/A,FALSE,"조골재"}</definedName>
    <definedName name="ㅇ라웋ㄱ서" hidden="1">{#N/A,#N/A,FALSE,"운반시간"}</definedName>
    <definedName name="ㅇ라포유" hidden="1">{#N/A,#N/A,FALSE,"단가표지"}</definedName>
    <definedName name="ㅇ라호ㅕㄱ" hidden="1">{#N/A,#N/A,FALSE,"단가표지"}</definedName>
    <definedName name="ㅇ라호ㅕㄷ" hidden="1">{#N/A,#N/A,FALSE,"단가표지"}</definedName>
    <definedName name="ㅇ라혿ㄳㅎ" hidden="1">{#N/A,#N/A,FALSE,"골재소요량";#N/A,#N/A,FALSE,"골재소요량"}</definedName>
    <definedName name="ㅇ라ㅓ뎔" hidden="1">{#N/A,#N/A,FALSE,"혼합골재"}</definedName>
    <definedName name="ㅇ라ㅓ도ㅕㅇㄴ" hidden="1">{#N/A,#N/A,FALSE,"운반시간"}</definedName>
    <definedName name="ㅇ라ㅓ려ㅑㄳ" hidden="1">{#N/A,#N/A,FALSE,"조골재"}</definedName>
    <definedName name="ㅇ라ㅓㅎ샤" hidden="1">{#N/A,#N/A,FALSE,"표지목차"}</definedName>
    <definedName name="ㅇ라ㅓ호ㅑㅇ" hidden="1">{#N/A,#N/A,FALSE,"혼합골재"}</definedName>
    <definedName name="ㅇ라ㅓㅎㄳㅎ" hidden="1">{#N/A,#N/A,FALSE,"2~8번"}</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ㅕㅑㅅ" hidden="1">{#N/A,#N/A,FALSE,"조골재"}</definedName>
    <definedName name="ㅇ라ㅓㅗ겨" hidden="1">{#N/A,#N/A,FALSE,"운반시간"}</definedName>
    <definedName name="ㅇ라ㅓㅣㅓㅁㄴ이ㅏ러미ㅏ널이ㅏㄹ눙라ㅣㅁㄴㅇ럼내ㅑㅕㄻ너라ㅣㅓ미ㅓ더개ㅑㄷ져ㅓㄱ더라ㅣㅁ너이ㅏ럼니ㅏㅇ러ㅣ만어ㅏㅁ너야ㅕ4ㄷ8798ㅕㅑㅑㅐㅕㄷㄱ897ㅅ987ㄷㄱ987ㅅ98ㄷㄱ7ㅅ89ㅈ7ㄷ987ㅅ89ㄱㄷㅈ79879ㅅ8ㄱ7뎌셔ㅑㄷ교ㅕㅗㅎ류풀윻ㄴ오려ㅑ효8ㅑ">{"Book1","부대-(표지판,데리,가드).xls","부대-(낙,차,중분대).xls"}</definedName>
    <definedName name="ㅇ라ㅓㄺ8ㅑㅑㅎ" hidden="1">{#N/A,#N/A,FALSE,"운반시간"}</definedName>
    <definedName name="ㅇ라ㅗ렇" hidden="1">{#N/A,#N/A,FALSE,"조골재"}</definedName>
    <definedName name="ㅇ라ㅗㅍ퓨" hidden="1">{#N/A,#N/A,FALSE,"2~8번"}</definedName>
    <definedName name="ㅇ라ㅗㅎㄱ" hidden="1">{#N/A,#N/A,FALSE,"단가표지"}</definedName>
    <definedName name="ㅇ라ㅗ혀ㅓㄹㅇ" hidden="1">{#N/A,#N/A,FALSE,"단가표지"}</definedName>
    <definedName name="ㅇ라ㅛ혹셔" hidden="1">{#N/A,#N/A,FALSE,"운반시간"}</definedName>
    <definedName name="ㅇ라ㅣ겨" hidden="1">{#N/A,#N/A,FALSE,"조골재"}</definedName>
    <definedName name="ㅇ라ㅣ러ㅏ갸" hidden="1">{#N/A,#N/A,FALSE,"혼합골재"}</definedName>
    <definedName name="ㅇ라ㅣ허갿" hidden="1">{#N/A,#N/A,FALSE,"단가표지"}</definedName>
    <definedName name="ㅇ라ㅣㅓ다" hidden="1">{#N/A,#N/A,FALSE,"조골재"}</definedName>
    <definedName name="ㅇ라ㅣㅓ랸" hidden="1">{#N/A,#N/A,FALSE,"운반시간"}</definedName>
    <definedName name="ㅇ라ㅣㅓ여ㅑㄷ" hidden="1">{#N/A,#N/A,FALSE,"조골재"}</definedName>
    <definedName name="ㅇ라ㅣㅓㅎㄹ" hidden="1">{#N/A,#N/A,FALSE,"단가표지"}</definedName>
    <definedName name="ㅇ랋" hidden="1">{#N/A,#N/A,FALSE,"혼합골재"}</definedName>
    <definedName name="ㅇ랴ㅐㅛㄷㄹㄴ" hidden="1">{#N/A,#N/A,FALSE,"단가표지"}</definedName>
    <definedName name="ㅇ랼겨로" hidden="1">{#N/A,#N/A,FALSE,"표지목차"}</definedName>
    <definedName name="ㅇ러" hidden="1">{#N/A,#N/A,FALSE,"단가표지"}</definedName>
    <definedName name="ㅇ러곃" hidden="1">{#N/A,#N/A,FALSE,"운반시간"}</definedName>
    <definedName name="ㅇ러닉ㅇ" hidden="1">{#N/A,#N/A,FALSE,"운반시간"}</definedName>
    <definedName name="ㅇ러도연" hidden="1">{#N/A,#N/A,FALSE,"조골재"}</definedName>
    <definedName name="ㅇ러도열" hidden="1">{#N/A,#N/A,FALSE,"표지목차"}</definedName>
    <definedName name="ㅇ러돌" hidden="1">{#N/A,#N/A,FALSE,"운반시간"}</definedName>
    <definedName name="ㅇ러롣ㅇㄹ" hidden="1">{#N/A,#N/A,FALSE,"조골재"}</definedName>
    <definedName name="ㅇ러셔ㅑㅎ" hidden="1">{#N/A,#N/A,FALSE,"단가표지"}</definedName>
    <definedName name="ㅇ러알ㅇㄹㅇㄹ" hidden="1">#REF!</definedName>
    <definedName name="ㅇ러올ㄷㅇ" hidden="1">{#N/A,#N/A,FALSE,"운반시간"}</definedName>
    <definedName name="ㅇ러펼ㅇㅍ" hidden="1">{#N/A,#N/A,FALSE,"운반시간"}</definedName>
    <definedName name="ㅇ러호" hidden="1">{#N/A,#N/A,FALSE,"단가표지"}</definedName>
    <definedName name="ㅇ러호겯ㅎ" hidden="1">{#N/A,#N/A,FALSE,"운반시간"}</definedName>
    <definedName name="ㅇ러호ㅕㅎ" hidden="1">{#N/A,#N/A,FALSE,"단가표지"}</definedName>
    <definedName name="ㅇ러혹셯" hidden="1">{#N/A,#N/A,FALSE,"조골재"}</definedName>
    <definedName name="ㅇ러홋" hidden="1">{#N/A,#N/A,FALSE,"조골재"}</definedName>
    <definedName name="ㅇ러ㅏ도ㅕㅇ" hidden="1">{#N/A,#N/A,FALSE,"2~8번"}</definedName>
    <definedName name="ㅇ러ㅏㄹㅇㄹㅇ" hidden="1">{#N/A,#N/A,FALSE,"단가표지"}</definedName>
    <definedName name="ㅇ러ㅏㄹ혃" hidden="1">{#N/A,#N/A,FALSE,"혼합골재"}</definedName>
    <definedName name="ㅇ러ㅏ오ㅛㄷㅇㄹ" hidden="1">{#N/A,#N/A,FALSE,"전력간선"}</definedName>
    <definedName name="ㅇ러ㅏ호" hidden="1">{#N/A,#N/A,FALSE,"혼합골재"}</definedName>
    <definedName name="ㅇ러ㅏ호겨" hidden="1">{#N/A,#N/A,FALSE,"운반시간"}</definedName>
    <definedName name="ㅇ러ㅏㅗ호교" hidden="1">{#N/A,#N/A,FALSE,"골재소요량";#N/A,#N/A,FALSE,"골재소요량"}</definedName>
    <definedName name="ㅇ러ㅏㅗㅠㅅㅎ" hidden="1">{#N/A,#N/A,FALSE,"단가표지"}</definedName>
    <definedName name="ㅇ러ㅕㄱㅎ" hidden="1">{#N/A,#N/A,FALSE,"혼합골재"}</definedName>
    <definedName name="ㅇ러ㅕㄷ햐" hidden="1">{#N/A,#N/A,FALSE,"단가표지"}</definedName>
    <definedName name="ㅇ러ㅗ결" hidden="1">{#N/A,#N/A,FALSE,"단가표지"}</definedName>
    <definedName name="ㅇ러ㅗㄴ" hidden="1">{#N/A,#N/A,FALSE,"조골재"}</definedName>
    <definedName name="ㅇ러ㅗㄷ" hidden="1">{#N/A,#N/A,FALSE,"조골재"}</definedName>
    <definedName name="ㅇ러ㅗㄹ횯ㄹ" hidden="1">{#N/A,#N/A,FALSE,"혼합골재"}</definedName>
    <definedName name="ㅇ러ㅗ렫" hidden="1">{#N/A,#N/A,FALSE,"2~8번"}</definedName>
    <definedName name="ㅇ러ㅗ룓" hidden="1">{#N/A,#N/A,FALSE,"운반시간"}</definedName>
    <definedName name="ㅇ러ㅗㅇ룧" hidden="1">{#N/A,#N/A,FALSE,"표지목차"}</definedName>
    <definedName name="ㅇ러ㅗㅎ" hidden="1">{#N/A,#N/A,FALSE,"단가표지"}</definedName>
    <definedName name="ㅇ러ㅗㅎ겨" hidden="1">{#N/A,#N/A,FALSE,"단가표지"}</definedName>
    <definedName name="ㅇ러ㅗ횽ㄹ" hidden="1">{#N/A,#N/A,FALSE,"운반시간"}</definedName>
    <definedName name="ㅇ러ㅗㅕㄱ" hidden="1">{#N/A,#N/A,FALSE,"조골재"}</definedName>
    <definedName name="ㅇ러ㅗㅕㅅㅎ" hidden="1">{#N/A,#N/A,FALSE,"운반시간"}</definedName>
    <definedName name="ㅇ러ㅗㅗㄱ" hidden="1">{#N/A,#N/A,FALSE,"혼합골재"}</definedName>
    <definedName name="ㅇ러ㅗㅛㅕㅇㄹ" hidden="1">{#N/A,#N/A,FALSE,"운반시간"}</definedName>
    <definedName name="ㅇ러ㅗㄺ" hidden="1">{#N/A,#N/A,FALSE,"전력간선"}</definedName>
    <definedName name="ㅇ러ㅜ겨후" hidden="1">{#N/A,#N/A,FALSE,"운반시간"}</definedName>
    <definedName name="ㅇ러ㅜㅕㄳㅎ" hidden="1">{#N/A,#N/A,FALSE,"조골재"}</definedName>
    <definedName name="ㅇ러ㅣ" localSheetId="0">BlankMacro1</definedName>
    <definedName name="ㅇ러ㅣ">BlankMacro1</definedName>
    <definedName name="ㅇ러ㅣㄴ" hidden="1">{#N/A,#N/A,FALSE,"단가표지"}</definedName>
    <definedName name="ㅇ러ㅣㄴ이ㅏ러ㅣ" hidden="1">{#N/A,#N/A,FALSE,"Sheet1"}</definedName>
    <definedName name="ㅇ럭ㄷㅎ" hidden="1">{#N/A,#N/A,FALSE,"조골재"}</definedName>
    <definedName name="ㅇ럭호겨" hidden="1">{#N/A,#N/A,FALSE,"단가표지"}</definedName>
    <definedName name="ㅇ럴올" hidden="1">{#N/A,#N/A,FALSE,"단가표지"}</definedName>
    <definedName name="ㅇ렁ㄹㄴ" hidden="1">{#N/A,#N/A,FALSE,"단가표지"}</definedName>
    <definedName name="ㅇ렆춀ㅇ" hidden="1">{#N/A,#N/A,FALSE,"단가표지"}</definedName>
    <definedName name="ㅇ렇룡ㅎㄱ" hidden="1">{#N/A,#N/A,FALSE,"단가표지"}</definedName>
    <definedName name="ㅇ려돌" hidden="1">{#N/A,#N/A,FALSE,"운반시간"}</definedName>
    <definedName name="ㅇ로곃" hidden="1">{#N/A,#N/A,FALSE,"골재소요량";#N/A,#N/A,FALSE,"골재소요량"}</definedName>
    <definedName name="ㅇ로교" hidden="1">{#N/A,#N/A,FALSE,"단가표지"}</definedName>
    <definedName name="ㅇ로뎌" hidden="1">{#N/A,#N/A,FALSE,"조골재"}</definedName>
    <definedName name="ㅇ로됴롱" hidden="1">{#N/A,#N/A,FALSE,"단가표지"}</definedName>
    <definedName name="ㅇ로룡ㄹ" hidden="1">{#N/A,#N/A,FALSE,"단가표지"}</definedName>
    <definedName name="ㅇ로홓로" hidden="1">{#N/A,#N/A,FALSE,"지침";#N/A,#N/A,FALSE,"환경분석";#N/A,#N/A,FALSE,"Sheet16"}</definedName>
    <definedName name="ㅇ로횯ㄹ" hidden="1">{#N/A,#N/A,FALSE,"단가표지"}</definedName>
    <definedName name="ㅇ로ㅑ녀ㅓㄱ" hidden="1">{#N/A,#N/A,FALSE,"단가표지"}</definedName>
    <definedName name="ㅇ로ㅓ뎔" hidden="1">{#N/A,#N/A,FALSE,"단가표지"}</definedName>
    <definedName name="ㅇ로ㅓ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로ㅓㄹㅇ" hidden="1">{#N/A,#N/A,FALSE,"단가표지"}</definedName>
    <definedName name="ㅇ로ㅓ룍됼" hidden="1">{#N/A,#N/A,FALSE,"조골재"}</definedName>
    <definedName name="ㅇ로ㅓㅇ로" hidden="1">{#N/A,#N/A,FALSE,"운반시간"}</definedName>
    <definedName name="ㅇ로ㅓㅎㄱㄷ" hidden="1">{#N/A,#N/A,FALSE,"조골재"}</definedName>
    <definedName name="ㅇ로ㅓ횯ㄱㄹ" hidden="1">{#N/A,#N/A,FALSE,"단가표지"}</definedName>
    <definedName name="ㅇ로ㅓㅎㄺ" hidden="1">{#N/A,#N/A,FALSE,"2~8번"}</definedName>
    <definedName name="ㅇ로ㅓㅕㄱㅎ" hidden="1">{#N/A,#N/A,FALSE,"단가표지"}</definedName>
    <definedName name="ㅇ로ㅓㅗㄷ" hidden="1">{#N/A,#N/A,FALSE,"단가표지"}</definedName>
    <definedName name="ㅇ로ㅕㄷㄹㄴ" hidden="1">{#N/A,#N/A,FALSE,"단가표지"}</definedName>
    <definedName name="ㅇ로ㅕㅇ" hidden="1">{#N/A,#N/A,FALSE,"조골재"}</definedName>
    <definedName name="ㅇ로ㅕㅇㄹ" hidden="1">{#N/A,#N/A,FALSE,"골재소요량";#N/A,#N/A,FALSE,"골재소요량"}</definedName>
    <definedName name="ㅇ로ㅕㅊㅇㄹ" hidden="1">{#N/A,#N/A,FALSE,"단가표지"}</definedName>
    <definedName name="ㅇ로ㅗㄴ" hidden="1">{#N/A,#N/A,FALSE,"운반시간"}</definedName>
    <definedName name="ㅇ로ㅛㄷㄱㄹ" hidden="1">{#N/A,#N/A,FALSE,"2~8번"}</definedName>
    <definedName name="ㅇ로ㅛㅕㅇㄹ" hidden="1">{#N/A,#N/A,FALSE,"전력간선"}</definedName>
    <definedName name="ㅇ로ㅜㅛㅕㅅㄱ" hidden="1">{#N/A,#N/A,FALSE,"조골재"}</definedName>
    <definedName name="ㅇ로ㅡㅎ룡" hidden="1">{#N/A,#N/A,FALSE,"운반시간"}</definedName>
    <definedName name="ㅇ록" hidden="1">{#N/A,#N/A,FALSE,"표지목차"}</definedName>
    <definedName name="ㅇ록혹" hidden="1">{#N/A,#N/A,FALSE,"단가표지"}</definedName>
    <definedName name="ㅇ롤격" hidden="1">{#N/A,#N/A,FALSE,"단가표지"}</definedName>
    <definedName name="ㅇ롫됼" hidden="1">{#N/A,#N/A,FALSE,"골재소요량";#N/A,#N/A,FALSE,"골재소요량"}</definedName>
    <definedName name="ㅇ롱ㄴㅗ">#N/A</definedName>
    <definedName name="ㅇ롷" hidden="1">{#N/A,#N/A,FALSE,"운반시간"}</definedName>
    <definedName name="ㅇ롷됼" hidden="1">{#N/A,#N/A,FALSE,"운반시간"}</definedName>
    <definedName name="ㅇ롷ㄹ" hidden="1">{#N/A,#N/A,FALSE,"지침";#N/A,#N/A,FALSE,"환경분석";#N/A,#N/A,FALSE,"Sheet16"}</definedName>
    <definedName name="ㅇ롷ㄹ욜ㄷ" hidden="1">{#N/A,#N/A,FALSE,"혼합골재"}</definedName>
    <definedName name="ㅇ롷ㄺ" hidden="1">{#N/A,#N/A,FALSE,"운반시간"}</definedName>
    <definedName name="ㅇ롸갇" hidden="1">{#N/A,#N/A,FALSE,"단가표지"}</definedName>
    <definedName name="ㅇ롸넝ㄹ" hidden="1">{#N/A,#N/A,FALSE,"단가표지"}</definedName>
    <definedName name="ㅇ롼" hidden="1">{#N/A,#N/A,FALSE,"조골재"}</definedName>
    <definedName name="ㅇ룧ㅇㅇㄱ" hidden="1">{#N/A,#N/A,FALSE,"전력간선"}</definedName>
    <definedName name="ㅇ루룓ㄹ" hidden="1">{#N/A,#N/A,FALSE,"단가표지"}</definedName>
    <definedName name="ㅇ루ㅕ골ㅇㅌ" hidden="1">{#N/A,#N/A,FALSE,"운반시간"}</definedName>
    <definedName name="ㅇ루ㅗㄷ룍" hidden="1">{#N/A,#N/A,FALSE,"골재소요량";#N/A,#N/A,FALSE,"골재소요량"}</definedName>
    <definedName name="ㅇ루ㅗ됴ㅕㅎ" hidden="1">{#N/A,#N/A,FALSE,"조골재"}</definedName>
    <definedName name="ㅇ루ㅗㅛㄱㅎ" hidden="1">{#N/A,#N/A,FALSE,"단가표지"}</definedName>
    <definedName name="ㅇ루ㅗㅛㄹㄷ" hidden="1">{#N/A,#N/A,FALSE,"단가표지"}</definedName>
    <definedName name="ㅇ루ㅛㄱ휻" hidden="1">{#N/A,#N/A,FALSE,"단가표지"}</definedName>
    <definedName name="ㅇ루ㅠ류" hidden="1">{#N/A,#N/A,FALSE,"단가표지"}</definedName>
    <definedName name="ㅇ루ㅡ오ㅠ롣" hidden="1">{#N/A,#N/A,FALSE,"단가표지"}</definedName>
    <definedName name="ㅇ루ㅡㅠ욘" hidden="1">{#N/A,#N/A,FALSE,"골재소요량";#N/A,#N/A,FALSE,"골재소요량"}</definedName>
    <definedName name="ㅇ류">#REF!</definedName>
    <definedName name="ㅇ률" hidden="1">{#N/A,#N/A,FALSE,"단가표지"}</definedName>
    <definedName name="ㅇ률ㅇ퓨" hidden="1">{#N/A,#N/A,FALSE,"골재소요량";#N/A,#N/A,FALSE,"골재소요량"}</definedName>
    <definedName name="ㅇ률휼ㅇ" hidden="1">{#N/A,#N/A,FALSE,"단가표지"}</definedName>
    <definedName name="ㅇ률휼휴" hidden="1">{#N/A,#N/A,FALSE,"단가표지"}</definedName>
    <definedName name="ㅇ률흃ㅎㅌ" hidden="1">{#N/A,#N/A,FALSE,"운반시간"}</definedName>
    <definedName name="ㅇ률흏ㅀ" hidden="1">{#N/A,#N/A,FALSE,"단가표지"}</definedName>
    <definedName name="ㅇ륧유" hidden="1">{#N/A,#N/A,FALSE,"단가표지"}</definedName>
    <definedName name="ㅇ륧율" hidden="1">{#N/A,#N/A,FALSE,"표지목차"}</definedName>
    <definedName name="ㅇ륭ㅀㅍㄱ" hidden="1">{#N/A,#N/A,FALSE,"조골재"}</definedName>
    <definedName name="ㅇ륲ㄷㄱㅎ" hidden="1">{#N/A,#N/A,FALSE,"단가표지"}</definedName>
    <definedName name="ㅇ륳ㅍㅇㅀㄱ" hidden="1">{#N/A,#N/A,FALSE,"단가표지"}</definedName>
    <definedName name="ㅇ륳ㄳㅎ" hidden="1">{#N/A,#N/A,FALSE,"혼합골재"}</definedName>
    <definedName name="ㅇ르로ㅛㅇㅀ" hidden="1">{#N/A,#N/A,FALSE,"골재소요량";#N/A,#N/A,FALSE,"골재소요량"}</definedName>
    <definedName name="ㅇ르욜" hidden="1">{#N/A,#N/A,FALSE,"단가표지"}</definedName>
    <definedName name="ㅇ르횽ㄹ" hidden="1">{#N/A,#N/A,FALSE,"조골재"}</definedName>
    <definedName name="ㅇ르ㅏㅜㅎ" hidden="1">{#N/A,#N/A,FALSE,"골재소요량";#N/A,#N/A,FALSE,"골재소요량"}</definedName>
    <definedName name="ㅇ르ㅗㄺ" hidden="1">{#N/A,#N/A,FALSE,"골재소요량";#N/A,#N/A,FALSE,"골재소요량"}</definedName>
    <definedName name="ㅇ릏교" hidden="1">{#N/A,#N/A,FALSE,"운반시간"}</definedName>
    <definedName name="ㅇ릏룡ㄹㄹㄷ" hidden="1">{#N/A,#N/A,FALSE,"운반시간"}</definedName>
    <definedName name="ㅇ리ㄷ덜" hidden="1">{#N/A,#N/A,FALSE,"골재소요량";#N/A,#N/A,FALSE,"골재소요량"}</definedName>
    <definedName name="ㅇ리혛ㄱ" hidden="1">{#N/A,#N/A,FALSE,"운반시간"}</definedName>
    <definedName name="ㅇ리ㅏㅓㅍㄹ" hidden="1">{#N/A,#N/A,FALSE,"골재소요량";#N/A,#N/A,FALSE,"골재소요량"}</definedName>
    <definedName name="ㅇ리ㅓㅗ펼ㅇ" hidden="1">{#N/A,#N/A,FALSE,"표지목차"}</definedName>
    <definedName name="ㅇ리ㅗㄹ엿ㅎ" hidden="1">{#N/A,#N/A,FALSE,"골재소요량";#N/A,#N/A,FALSE,"골재소요량"}</definedName>
    <definedName name="ㅇㄹㄶ" hidden="1">#REF!</definedName>
    <definedName name="ㅇㄹㄶㄹㄴ" hidden="1">#REF!</definedName>
    <definedName name="ㅇㄹㄶㅇ" hidden="1">#REF!</definedName>
    <definedName name="ㅇㄹㄺ" hidden="1">{#N/A,#N/A,FALSE,"단가표지"}</definedName>
    <definedName name="ㅇㄹㄺㄷㅎ" hidden="1">{#N/A,#N/A,FALSE,"2~8번"}</definedName>
    <definedName name="ㅇㅁ">#REF!</definedName>
    <definedName name="ㅇㅁㄴㄹ" hidden="1">{#N/A,#N/A,FALSE,"견적조건";#N/A,#N/A,FALSE,"산출근거"}</definedName>
    <definedName name="ㅇㅁㄴㄹㅇㅎㄻ">{"'자리배치도'!$AG$1:$CI$28"}</definedName>
    <definedName name="ㅇㅁㄴㅇ" hidden="1">{#N/A,#N/A,FALSE,"2~8번"}</definedName>
    <definedName name="ㅇㅁㄴㄻㄴㅇ" hidden="1">{#N/A,#N/A,FALSE,"손익표지";#N/A,#N/A,FALSE,"손익계산";#N/A,#N/A,FALSE,"일반관리비";#N/A,#N/A,FALSE,"영업외수익";#N/A,#N/A,FALSE,"영업외비용";#N/A,#N/A,FALSE,"매출액";#N/A,#N/A,FALSE,"요약손익";#N/A,#N/A,FALSE,"요약대차";#N/A,#N/A,FALSE,"매출채권현황";#N/A,#N/A,FALSE,"매출채권명세"}</definedName>
    <definedName name="ㅇㅁㄹ" hidden="1">{#N/A,#N/A,FALSE,"견적조건";#N/A,#N/A,FALSE,"산출근거"}</definedName>
    <definedName name="ㅇㅁㄹㄹㄹㅇㅁㄹㅇㄹㅇㅁㄹㄹ">{"'자리배치도'!$AG$1:$CI$28"}</definedName>
    <definedName name="ㅇㅁㅁ" hidden="1">{#N/A,#N/A,FALSE,"견적조건";#N/A,#N/A,FALSE,"산출근거"}</definedName>
    <definedName name="ㅇㅁㅇㄴㅁㅇㅁㄴ" hidden="1">#REF!</definedName>
    <definedName name="ㅇㅁㅇㄹ">{"'자리배치도'!$AG$1:$CI$28"}</definedName>
    <definedName name="ㅇㅁ아" hidden="1">{#N/A,#N/A,FALSE,"견적조건";#N/A,#N/A,FALSE,"산출근거"}</definedName>
    <definedName name="ㅇㅁㅎㅁㅇ">#N/A</definedName>
    <definedName name="ㅇㅁㅎㅁㅇㄶㄻㅇㄶㄹ" hidden="1">{#N/A,#N/A,FALSE,"이태원철근"}</definedName>
    <definedName name="ㅇㅁ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몃ㅈ다" hidden="1">{#N/A,#N/A,FALSE,"단가표지"}</definedName>
    <definedName name="ㅇㅁㅗ">#N/A</definedName>
    <definedName name="ㅇㅁㄶㄱ">#REF!</definedName>
    <definedName name="ㅇㅁㄶㄴㅇㅁㅀㅇㄴ" hidden="1">{#N/A,"수불부",FALSE,"사급자재수불서";#N/A,"수불부",FALSE,"사급자재수불서"}</definedName>
    <definedName name="ㅇㅁㄻ" hidden="1">{#N/A,#N/A,FALSE,"Sheet1"}</definedName>
    <definedName name="ㅇㅁㄻㄴㄹ" hidden="1">{#N/A,#N/A,FALSE,"손익표지";#N/A,#N/A,FALSE,"손익계산";#N/A,#N/A,FALSE,"일반관리비";#N/A,#N/A,FALSE,"영업외수익";#N/A,#N/A,FALSE,"영업외비용";#N/A,#N/A,FALSE,"매출액";#N/A,#N/A,FALSE,"요약손익";#N/A,#N/A,FALSE,"요약대차";#N/A,#N/A,FALSE,"매출채권현황";#N/A,#N/A,FALSE,"매출채권명세"}</definedName>
    <definedName name="ㅇㅂㄴㅇㄴㅁㅇㄷㅂㅈ" hidden="1">{#N/A,#N/A,FALSE,"이태원철근"}</definedName>
    <definedName name="ㅇㅂㅁ" hidden="1">{#N/A,#N/A,FALSE,"이태원철근"}</definedName>
    <definedName name="ㅇㅅㄱ4ㅓ" hidden="1">{#N/A,#N/A,FALSE,"속도"}</definedName>
    <definedName name="ㅇㅅㄱㄱ">#REF!</definedName>
    <definedName name="ㅇㅅ굓요" hidden="1">{#N/A,#N/A,FALSE,"이태원철근"}</definedName>
    <definedName name="ㅇ셔ㅏㅐㅕㅛㅐ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ㅑㅕㅛㅐ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ㅐㅏㅛㅕㅣㅔㅑ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뉴굔" hidden="1">{#N/A,#N/A,FALSE,"조골재"}</definedName>
    <definedName name="ㅇ쇼ㅑ쇼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ㅣㅐㅕㅛ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수ㅕㅜㅇ" hidden="1">{#N/A,#N/A,FALSE,"단가표지"}</definedName>
    <definedName name="ㅇㅇ">#REF!</definedName>
    <definedName name="ㅇㅇㄴ" hidden="1">{#N/A,#N/A,FALSE,"구조2"}</definedName>
    <definedName name="ㅇㅇㄴㅁㅇㄴㅁ">{"'자리배치도'!$AG$1:$CI$28"}</definedName>
    <definedName name="ㅇㅇㄷㅇ">#REF!</definedName>
    <definedName name="ㅇㅇ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ㄹ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ㄹㄹ" hidden="1">{#N/A,#N/A,FALSE,"지침";#N/A,#N/A,FALSE,"환경분석";#N/A,#N/A,FALSE,"Sheet16"}</definedName>
    <definedName name="ㅇㅇ러ㅗㅕㄳ" hidden="1">{#N/A,#N/A,FALSE,"단가표지"}</definedName>
    <definedName name="ㅇㅇㅇ">#REF!</definedName>
    <definedName name="ㅇㅇㅇㄹ" hidden="1">#REF!</definedName>
    <definedName name="ㅇㅇㅇㅇ">#REF!</definedName>
    <definedName name="ㅇㅇㅇㅇㅁ">{"'자리배치도'!$AG$1:$CI$28"}</definedName>
    <definedName name="ㅇㅇㅇㅇㅇ">#REF!</definedName>
    <definedName name="ㅇㅇㅇㅇㅇㅇ" hidden="1">{#N/A,#N/A,FALSE,"지침";#N/A,#N/A,FALSE,"환경분석";#N/A,#N/A,FALSE,"Sheet16"}</definedName>
    <definedName name="ㅇㅇㅇㅇㅇㅇㅇ">#REF!</definedName>
    <definedName name="ㅇㅇㅇㅇㅇㅇㅇㅇㅇ">{"'정산내역서'!$A$1:$I$35","'정산서(절.성토부)'!$A$1:$Q$17","'정산서(교량부)'!$A$1:$Q$84","'총괄표'!$A$1:$M$12","'시행현황'!$A$1:$G$12","'표지'!$A$1:$N$27","'정산서(절.성토부)'!$A$3:$Q$7"}</definedName>
    <definedName name="ㅇㅇㅇㅇㅇㅇㅇㅇㅇㅇ" hidden="1">{#N/A,#N/A,FALSE,"CCTV"}</definedName>
    <definedName name="ㅇㅇㅇㅇㅇㅇㅇㅇㅇㅇㅇ">#REF!</definedName>
    <definedName name="ㅇㅇㅇㅇㅇㅇㅇㅇㅇㅇㅇㅇ">#REF!</definedName>
    <definedName name="ㅇㅇㅇㅇㅇㅇㅇㅇㅇㅇㅇㅇㅇㅇ" hidden="1">{#N/A,#N/A,FALSE,"표지목차"}</definedName>
    <definedName name="ㅇㅇㅇㅎㄹ" hidden="1">{#N/A,#N/A,FALSE,"현장 NCR 분석";#N/A,#N/A,FALSE,"현장품질감사";#N/A,#N/A,FALSE,"현장품질감사"}</definedName>
    <definedName name="ㅇㅇㅎ룓" hidden="1">{#N/A,#N/A,FALSE,"단가표지"}</definedName>
    <definedName name="ㅇㅇ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아ㅏㄹ" hidden="1">{#N/A,#N/A,FALSE,"지침";#N/A,#N/A,FALSE,"환경분석";#N/A,#N/A,FALSE,"Sheet16"}</definedName>
    <definedName name="ㅇ어" hidden="1">#REF!</definedName>
    <definedName name="ㅇ어ㅕㅇ" hidden="1">{#N/A,#N/A,FALSE,"혼합골재"}</definedName>
    <definedName name="ㅇ어ㅗ">#REF!</definedName>
    <definedName name="ㅇ요혹" hidden="1">{#N/A,#N/A,FALSE,"골재소요량";#N/A,#N/A,FALSE,"골재소요량"}</definedName>
    <definedName name="ㅇ요ㅛㅎㄹㄹ" hidden="1">{#N/A,#N/A,FALSE,"단가표지"}</definedName>
    <definedName name="ㅇ이리" hidden="1">{#N/A,#N/A,FALSE,"지침";#N/A,#N/A,FALSE,"환경분석";#N/A,#N/A,FALSE,"Sheet16"}</definedName>
    <definedName name="ㅇㅇㄻㄴㄹㅇㄹㅇㅁㄴ">{"'자리배치도'!$AG$1:$CI$28"}</definedName>
    <definedName name="ㅇㅈ" hidden="1">{#N/A,#N/A,FALSE,"BS";#N/A,#N/A,FALSE,"PL";#N/A,#N/A,FALSE,"처분";#N/A,#N/A,FALSE,"현금";#N/A,#N/A,FALSE,"매출";#N/A,#N/A,FALSE,"원가";#N/A,#N/A,FALSE,"경영"}</definedName>
    <definedName name="ㅇㅈㄴㄹㄴㅇ" hidden="1">{#N/A,#N/A,FALSE,"손익표지";#N/A,#N/A,FALSE,"손익계산";#N/A,#N/A,FALSE,"일반관리비";#N/A,#N/A,FALSE,"영업외수익";#N/A,#N/A,FALSE,"영업외비용";#N/A,#N/A,FALSE,"매출액";#N/A,#N/A,FALSE,"요약손익";#N/A,#N/A,FALSE,"요약대차";#N/A,#N/A,FALSE,"매출채권현황";#N/A,#N/A,FALSE,"매출채권명세"}</definedName>
    <definedName name="ㅇㅈㄷㅇㅈㅇ" hidden="1">{#N/A,#N/A,FALSE,"현장 NCR 분석";#N/A,#N/A,FALSE,"현장품질감사";#N/A,#N/A,FALSE,"현장품질감사"}</definedName>
    <definedName name="ㅇㅈㄷㅄㅂㅈㄷㄱ" hidden="1">#REF!</definedName>
    <definedName name="ㅇㅈㄹ">#N/A</definedName>
    <definedName name="ㅇㅈㅂㅇㅂㅈㅇㅈㅂㅇㅂㅈㅇㅂㅈㅇㅂㅈㅇㅂㅈㅇ" hidden="1">#REF!</definedName>
    <definedName name="ㅇㅈㅇ"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ㅇㅈㅇㄴㅇㅈㅇ" hidden="1">#REF!</definedName>
    <definedName name="ㅇㅊ너ㅏㅗㄹ" hidden="1">{#N/A,#N/A,FALSE,"단가표지"}</definedName>
    <definedName name="ㅇㅊㄷㄹㄴ" hidden="1">{#N/A,#N/A,FALSE,"단가표지"}</definedName>
    <definedName name="ㅇㅊㅍㅇㄴ" hidden="1">{#N/A,#N/A,FALSE,"단가표지"}</definedName>
    <definedName name="ㅇㅊㅍㅍㅊㅌㅍㅊㅌㅍㅌ" hidden="1">#REF!</definedName>
    <definedName name="ㅇㅊㅎㅍ츠ㅑㅓㅠ" hidden="1">{#N/A,#N/A,FALSE,"조골재"}</definedName>
    <definedName name="ㅇㅊ해ㅑ츻" hidden="1">{#N/A,#N/A,FALSE,"단가표지"}</definedName>
    <definedName name="ㅇㅊ후아ㅣㅓㄹ" hidden="1">{#N/A,#N/A,FALSE,"단가표지"}</definedName>
    <definedName name="ㅇ차ㅗㄹ" hidden="1">#REF!</definedName>
    <definedName name="ㅇ처ㅗㅇㄹ" hidden="1">{#N/A,#N/A,FALSE,"조골재"}</definedName>
    <definedName name="ㅇ처ㅗㅕㄺㄷ" hidden="1">{#N/A,#N/A,FALSE,"표지목차"}</definedName>
    <definedName name="ㅇ처ㅡㅜㄹ" hidden="1">{#N/A,#N/A,FALSE,"골재소요량";#N/A,#N/A,FALSE,"골재소요량"}</definedName>
    <definedName name="ㅇ초로ㅓㅏ롱ㄴ" hidden="1">{#N/A,#N/A,FALSE,"단가표지"}</definedName>
    <definedName name="ㅇ추펴ㅑㅅ" hidden="1">{#N/A,#N/A,FALSE,"운반시간"}</definedName>
    <definedName name="ㅇㅌ뢒료ㅕㅇㅍㄹㅇㅍ" hidden="1">{#N/A,#N/A,FALSE,"운반시간"}</definedName>
    <definedName name="ㅇㅌㅍㄹㅇㅀㅍ" hidden="1">{#N/A,#N/A,FALSE,"운반시간"}</definedName>
    <definedName name="ㅇ툐ㅕㄱ" hidden="1">{#N/A,#N/A,FALSE,"조골재"}</definedName>
    <definedName name="ㅇ트ㅗ횩ㄷㄹ" hidden="1">{#N/A,#N/A,FALSE,"운반시간"}</definedName>
    <definedName name="ㅇㅍㄴㅁ3" hidden="1">{#N/A,#N/A,FALSE,"조골재"}</definedName>
    <definedName name="ㅇㅍㄹ유" hidden="1">{#N/A,#N/A,FALSE,"운반시간"}</definedName>
    <definedName name="ㅇㅍ륭ㅎ" hidden="1">{#N/A,#N/A,FALSE,"골재소요량";#N/A,#N/A,FALSE,"골재소요량"}</definedName>
    <definedName name="ㅇㅍㅎㄱㄷㅎ" hidden="1">{#N/A,#N/A,FALSE,"조골재"}</definedName>
    <definedName name="ㅇ퍼ㅗㅎㅅ" hidden="1">{#N/A,#N/A,FALSE,"단가표지"}</definedName>
    <definedName name="ㅇ포ㅕㄱㅎ" hidden="1">{#N/A,#N/A,FALSE,"골재소요량";#N/A,#N/A,FALSE,"골재소요량"}</definedName>
    <definedName name="ㅇ표ㅕㅕㅇ" hidden="1">{#N/A,#N/A,FALSE,"2~8번"}</definedName>
    <definedName name="ㅇ풧ㅎ" hidden="1">{#N/A,#N/A,FALSE,"골재소요량";#N/A,#N/A,FALSE,"골재소요량"}</definedName>
    <definedName name="ㅇ퓨ㅛㅇㅎ" hidden="1">{#N/A,#N/A,FALSE,"단가표지"}</definedName>
    <definedName name="ㅇ퓷ㅇㅍㅎ" hidden="1">{#N/A,#N/A,FALSE,"단가표지"}</definedName>
    <definedName name="ㅇ퓽류" hidden="1">{#N/A,#N/A,FALSE,"골재소요량";#N/A,#N/A,FALSE,"골재소요량"}</definedName>
    <definedName name="ㅇㅎ" hidden="1">{#N/A,#N/A,FALSE,"부대1"}</definedName>
    <definedName name="ㅇㅎ.아하ㅣㅇ" hidden="1">{#N/A,#N/A,FALSE,"단가표지"}</definedName>
    <definedName name="ㅇㅎㄱ" hidden="1">{#N/A,#N/A,FALSE,"혼합골재"}</definedName>
    <definedName name="ㅇㅎㄱㄷ" hidden="1">{#N/A,#N/A,FALSE,"단가표지"}</definedName>
    <definedName name="ㅇㅎㄱㄷㄱㄷ" hidden="1">{#N/A,#N/A,FALSE,"운반시간"}</definedName>
    <definedName name="ㅇㅎㄱㄷㅍㅎ" hidden="1">{#N/A,#N/A,FALSE,"골재소요량";#N/A,#N/A,FALSE,"골재소요량"}</definedName>
    <definedName name="ㅇㅎㄱㄷㅎ" hidden="1">{#N/A,#N/A,FALSE,"2~8번"}</definedName>
    <definedName name="ㅇㅎㄱㄷㅎㅅ" hidden="1">{#N/A,#N/A,FALSE,"골재소요량";#N/A,#N/A,FALSE,"골재소요량"}</definedName>
    <definedName name="ㅇㅎㄱㄷㅎㅅㄱ" hidden="1">{#N/A,#N/A,FALSE,"골재소요량";#N/A,#N/A,FALSE,"골재소요량"}</definedName>
    <definedName name="ㅇㅎㄱ하" hidden="1">{#N/A,#N/A,FALSE,"단가표지"}</definedName>
    <definedName name="ㅇㅎ거호" hidden="1">{#N/A,#N/A,FALSE,"단가표지"}</definedName>
    <definedName name="ㅇㅎ거ㅗㅎ" hidden="1">{#N/A,#N/A,FALSE,"단가표지"}</definedName>
    <definedName name="ㅇㅎ겨ㅗㅎㅅ" hidden="1">{#N/A,#N/A,FALSE,"단가표지"}</definedName>
    <definedName name="ㅇㅎㄴㄹㅇㄴ호ㅗ" hidden="1">#REF!</definedName>
    <definedName name="ㅇㅎㄴㅀㄴㅇ" hidden="1">#REF!</definedName>
    <definedName name="ㅇㅎㄴㅀㅎ">{"서울냉천 3차( 5. 6-7).xls","Sheet1"}</definedName>
    <definedName name="ㅇㅎㄷㄱ" hidden="1">{#N/A,#N/A,FALSE,"단가표지"}</definedName>
    <definedName name="ㅇㅎㄷㅇㅎㄹㅇ" hidden="1">{#N/A,#N/A,FALSE,"표지목차"}</definedName>
    <definedName name="ㅇㅎ됼" hidden="1">{#N/A,#N/A,FALSE,"단가표지"}</definedName>
    <definedName name="ㅇㅎㄹ">#REF!</definedName>
    <definedName name="ㅇㅎㄹㅇㅎㄹㅇ">#N/A</definedName>
    <definedName name="ㅇㅎㄹㅇㅎㄹㅇ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ㅎㄹ웋ㄹ" hidden="1">{#N/A,#N/A,FALSE,"조골재"}</definedName>
    <definedName name="ㅇㅎㄹ후ㅡ호ㅜ" hidden="1">{#N/A,#N/A,FALSE,"운반시간"}</definedName>
    <definedName name="ㅇㅎ로ㅓㄴ" hidden="1">{#N/A,#N/A,FALSE,"운반시간"}</definedName>
    <definedName name="ㅇㅎ룍" hidden="1">{#N/A,#N/A,FALSE,"단가표지"}</definedName>
    <definedName name="ㅇㅎ룓ㅎ" hidden="1">{#N/A,#N/A,FALSE,"단가표지"}</definedName>
    <definedName name="ㅇㅎㅁㅇㅎㄴㅇㅁ" hidden="1">{#N/A,"수불부",FALSE,"사급자재수불서";#N/A,"수불부",FALSE,"사급자재수불서"}</definedName>
    <definedName name="ㅇㅎㅅ" hidden="1">{#N/A,#N/A,FALSE,"포장1";#N/A,#N/A,FALSE,"포장1"}</definedName>
    <definedName name="ㅇㅎㅅ훗" hidden="1">{#N/A,#N/A,FALSE,"골재소요량";#N/A,#N/A,FALSE,"골재소요량"}</definedName>
    <definedName name="ㅇㅎㅇ">#REF!</definedName>
    <definedName name="ㅇㅎㅇㄱㄷ" hidden="1">{#N/A,#N/A,FALSE,"단가표지"}</definedName>
    <definedName name="ㅇㅎㅇ니라" hidden="1">{#N/A,#N/A,FALSE,"운반시간"}</definedName>
    <definedName name="ㅇㅎㅇㅎ" hidden="1">{#N/A,#N/A,FALSE,"지침";#N/A,#N/A,FALSE,"환경분석";#N/A,#N/A,FALSE,"Sheet16"}</definedName>
    <definedName name="ㅇㅎㅇㅎㅁㅇㅎㅁㅇㅀ">#REF!</definedName>
    <definedName name="ㅇㅎㅇㅎㅇㅇㅇㅎㅇ">#N/A</definedName>
    <definedName name="ㅇㅎㅇㅀㄱㅇㅎㄱ" hidden="1">{#N/A,#N/A,FALSE,"단가표지"}</definedName>
    <definedName name="ㅇㅎ아ㅗㅎㅅㄱㅎ" hidden="1">{#N/A,#N/A,FALSE,"단가표지"}</definedName>
    <definedName name="ㅇㅎㅈㄷㅀ" hidden="1">{#N/A,#N/A,FALSE,"2~8번"}</definedName>
    <definedName name="ㅇㅎㅎ" hidden="1">{#N/A,#N/A,FALSE,"2~8번"}</definedName>
    <definedName name="ㅇㅎ허" hidden="1">{"'공사부문'!$A$6:$A$32"}</definedName>
    <definedName name="ㅇㅎ헉셔ㅐ" hidden="1">{#N/A,#N/A,FALSE,"단가표지"}</definedName>
    <definedName name="ㅇ하어ㅣ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하ㅓㄹ" hidden="1">{#N/A,#N/A,FALSE,"단가표지"}</definedName>
    <definedName name="ㅇ하ㅓㅎ" hidden="1">{#N/A,#N/A,FALSE,"운반시간"}</definedName>
    <definedName name="ㅇ하ㅓㅗㅇ" hidden="1">{#N/A,#N/A,FALSE,"표지목차"}</definedName>
    <definedName name="ㅇ하ㅜㅅ" hidden="1">{#N/A,#N/A,FALSE,"표지목차"}</definedName>
    <definedName name="ㅇ학섷" hidden="1">{#N/A,#N/A,FALSE,"단가표지"}</definedName>
    <definedName name="ㅇ햐헉ㅎ" hidden="1">{#N/A,#N/A,FALSE,"표지목차"}</definedName>
    <definedName name="ㅇ햐ㅔㅓㅗ갸" hidden="1">{#N/A,#N/A,FALSE,"조골재"}</definedName>
    <definedName name="ㅇ허셔" hidden="1">{#N/A,#N/A,FALSE,"조골재"}</definedName>
    <definedName name="ㅇ허ㅗ겨" hidden="1">{#N/A,#N/A,FALSE,"조골재"}</definedName>
    <definedName name="ㅇ허ㅗㅅ" hidden="1">{#N/A,#N/A,FALSE,"단가표지"}</definedName>
    <definedName name="ㅇ허ㅗㅍ" hidden="1">{#N/A,#N/A,FALSE,"조골재"}</definedName>
    <definedName name="ㅇ허ㅗㅎㄱ" hidden="1">{#N/A,#N/A,FALSE,"단가표지"}</definedName>
    <definedName name="ㅇ헐나ㅡ" hidden="1">{#N/A,#N/A,FALSE,"교리2"}</definedName>
    <definedName name="ㅇ헛" hidden="1">{#N/A,#N/A,FALSE,"단가표지"}</definedName>
    <definedName name="ㅇ헛호" hidden="1">{#N/A,#N/A,FALSE,"운반시간"}</definedName>
    <definedName name="ㅇ혀ㅏ여ㅛ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ㅕㅛㅐ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ㅛ혻" hidden="1">{#N/A,#N/A,FALSE,"단가표지"}</definedName>
    <definedName name="ㅇ혀ㅣㅏㅛㅕㅣㅛ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 hidden="1">{#N/A,#N/A,FALSE,"혼합골재"}</definedName>
    <definedName name="ㅇ호곃ㄱ" hidden="1">{#N/A,#N/A,FALSE,"단가표지"}</definedName>
    <definedName name="ㅇ호료ㅏㅕ쇼" hidden="1">{#N/A,#N/A,FALSE,"포장1";#N/A,#N/A,FALSE,"포장1"}</definedName>
    <definedName name="ㅇ호룓ㄹ" hidden="1">{#N/A,#N/A,FALSE,"전력간선"}</definedName>
    <definedName name="ㅇ호룡ㄹㄷ" hidden="1">{#N/A,#N/A,FALSE,"혼합골재"}</definedName>
    <definedName name="ㅇ호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ㅅ뎌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ㅎ">{"'용역비'!$A$4:$C$8"}</definedName>
    <definedName name="ㅇ호ㅓㅇ호ㅓ">{"'용역비'!$A$4:$C$8"}</definedName>
    <definedName name="ㅇ호ㅓㅎ">{"'용역비'!$A$4:$C$8"}</definedName>
    <definedName name="ㅇ호ㅓㅎㅅ" hidden="1">{#N/A,#N/A,FALSE,"조골재"}</definedName>
    <definedName name="ㅇ호ㅓ호ㅓ">{"'용역비'!$A$4:$C$8"}</definedName>
    <definedName name="ㅇ호ㅓㅏㅎ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ㅗ허" hidden="1">{#N/A,#N/A,FALSE,"이태원철근"}</definedName>
    <definedName name="ㅇ호ㅓㅣㅇ" hidden="1">{#N/A,#N/A,FALSE,"조골재"}</definedName>
    <definedName name="ㅇ호ㅜㅎㅅ" hidden="1">{#N/A,#N/A,FALSE,"혼합골재"}</definedName>
    <definedName name="ㅇ혼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홀ㅇ">#REF!</definedName>
    <definedName name="ㅇ홍ㅅㄷ" hidden="1">{#N/A,#N/A,FALSE,"단가표지"}</definedName>
    <definedName name="ㅇ홏ㅎㄹ" hidden="1">{#N/A,#N/A,FALSE,"단가표지"}</definedName>
    <definedName name="ㅇ홓ㅇ" hidden="1">#REF!</definedName>
    <definedName name="ㅇ화요ㅕㅏㅐ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ㄷ사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랑러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활옿" hidden="1">{#N/A,#N/A,FALSE,"단가표지"}</definedName>
    <definedName name="ㅇ황히ㅗ이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횩" hidden="1">{#N/A,#N/A,FALSE,"운반시간"}</definedName>
    <definedName name="ㅇ횯ㄱ러ㅏㅈ" hidden="1">{#N/A,#N/A,FALSE,"2~8번"}</definedName>
    <definedName name="ㅇ횯ㄹ" hidden="1">{#N/A,#N/A,FALSE,"단가표지"}</definedName>
    <definedName name="ㅇ횱ㄺ" hidden="1">{#N/A,#N/A,FALSE,"혼합골재"}</definedName>
    <definedName name="ㅇ횽ㄷㅇ" hidden="1">{#N/A,#N/A,FALSE,"운반시간"}</definedName>
    <definedName name="ㅇ히ㅓㅗㅎ" hidden="1">{#N/A,#N/A,FALSE,"표지목차"}</definedName>
    <definedName name="ㅇㅎㄳㄱㄷㅅ" hidden="1">{#N/A,#N/A,FALSE,"운반시간"}</definedName>
    <definedName name="ㅇㅎㄳㅎ" hidden="1">{#N/A,#N/A,FALSE,"단가표지"}</definedName>
    <definedName name="ㅇㅎㄳ홋" hidden="1">{#N/A,#N/A,FALSE,"운반시간"}</definedName>
    <definedName name="ㅇㅎㄶ">#REF!</definedName>
    <definedName name="ㅇㅎㄺ슣소" hidden="1">{#N/A,#N/A,FALSE,"혼합골재"}</definedName>
    <definedName name="ㅇㅎㄻㄴㅇㅀ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ㄱ" hidden="1">{#N/A,#N/A,FALSE,"표지목차"}</definedName>
    <definedName name="ㅇㅀㄱㄷ" hidden="1">{#N/A,#N/A,FALSE,"단가표지"}</definedName>
    <definedName name="ㅇㅀㄱㄷㅇㅎ" hidden="1">{#N/A,#N/A,FALSE,"단가표지"}</definedName>
    <definedName name="ㅇㅀㄱㄷㅇㅎㅇ" hidden="1">{#N/A,#N/A,FALSE,"혼합골재"}</definedName>
    <definedName name="ㅇㅀㄱㄷㅎ" hidden="1">{#N/A,#N/A,FALSE,"2~8번"}</definedName>
    <definedName name="ㅇㅀㄱㄷㅎㅅ" hidden="1">{#N/A,#N/A,FALSE,"단가표지"}</definedName>
    <definedName name="ㅇㅀㄱㄷㅎㅇ" hidden="1">{#N/A,#N/A,FALSE,"단가표지"}</definedName>
    <definedName name="ㅇㅀㄱㄷㅎㄳ" hidden="1">{#N/A,#N/A,FALSE,"조골재"}</definedName>
    <definedName name="ㅇㅀㄱㄷㅀ" hidden="1">{#N/A,#N/A,FALSE,"2~8번"}</definedName>
    <definedName name="ㅇㅀㄱㄷㅀㄱㅇ" hidden="1">{#N/A,#N/A,FALSE,"2~8번"}</definedName>
    <definedName name="ㅇㅀㄱ소" hidden="1">{#N/A,#N/A,FALSE,"단가표지"}</definedName>
    <definedName name="ㅇㅀㄱ솟" hidden="1">{#N/A,#N/A,FALSE,"운반시간"}</definedName>
    <definedName name="ㅇㅀㄱㅎ" hidden="1">{#N/A,#N/A,FALSE,"표지목차"}</definedName>
    <definedName name="ㅇㅀ고ㅓㄷ" hidden="1">{#N/A,#N/A,FALSE,"운반시간"}</definedName>
    <definedName name="ㅇㅀ교" hidden="1">{#N/A,#N/A,FALSE,"표지목차"}</definedName>
    <definedName name="ㅇㅀ규" hidden="1">{#N/A,#N/A,FALSE,"단가표지"}</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ㅇ" hidden="1">#REF!</definedName>
    <definedName name="ㅇㅀㄴㅇㅎㄶㅇ" hidden="1">255</definedName>
    <definedName name="ㅇㅀ노" hidden="1">{#N/A,#N/A,FALSE,"단가표지"}</definedName>
    <definedName name="ㅇㅀㄷㄱ" hidden="1">{#N/A,#N/A,FALSE,"운반시간"}</definedName>
    <definedName name="ㅇㅀㄷㄱㅇㅎㅅ" hidden="1">{#N/A,#N/A,FALSE,"운반시간"}</definedName>
    <definedName name="ㅇㅀㄷㄱㅎ" hidden="1">{#N/A,#N/A,FALSE,"단가표지"}</definedName>
    <definedName name="ㅇㅀㄹ" hidden="1">{#N/A,#N/A,FALSE,"단가표지"}</definedName>
    <definedName name="ㅇㅀㄹㅇㅁㅎ" hidden="1">#REF!</definedName>
    <definedName name="ㅇㅀㅁㅇㅁㅇ" hidden="1">{#N/A,#N/A,FALSE,"단가표지"}</definedName>
    <definedName name="ㅇㅀㅅ고ㅠㅅㅎ" hidden="1">{#N/A,#N/A,FALSE,"단가표지"}</definedName>
    <definedName name="ㅇㅀㅇㄱㄱㅎㄹ" hidden="1">{#N/A,#N/A,FALSE,"단가표지"}</definedName>
    <definedName name="ㅇㅀㅇㄴㄹ혼ㅇ로" hidden="1">{#N/A,#N/A,FALSE,"지침";#N/A,#N/A,FALSE,"환경분석";#N/A,#N/A,FALSE,"Sheet16"}</definedName>
    <definedName name="ㅇㅀㅇㄹ픃ㄱㄷ" hidden="1">{#N/A,#N/A,FALSE,"조골재"}</definedName>
    <definedName name="ㅇㅀㅇ라ㅣㅜㅡㅠ" hidden="1">{#N/A,#N/A,FALSE,"표지목차"}</definedName>
    <definedName name="ㅇㅀㅇㅁㄹ" hidden="1">{#N/A,#N/A,FALSE,"3가";#N/A,#N/A,FALSE,"3나";#N/A,#N/A,FALSE,"3다"}</definedName>
    <definedName name="ㅇㅀㅇㅍㄴ" hidden="1">{#N/A,#N/A,FALSE,"단가표지"}</definedName>
    <definedName name="ㅇㅀㅇㅎㄴ" hidden="1">#REF!</definedName>
    <definedName name="ㅇㅀㅇㅎㅇ">#REF!</definedName>
    <definedName name="ㅇㅀㅇㅀ">#N/A</definedName>
    <definedName name="ㅇㅀㅇㅀㅇㅀㅇㅈㄷㄱㅈㄷ" hidden="1">#REF!</definedName>
    <definedName name="ㅇㅀ욜ㄷ" hidden="1">{#N/A,#N/A,FALSE,"표지목차"}</definedName>
    <definedName name="ㅇㅀㅇㄺ" hidden="1">{#N/A,#N/A,FALSE,"단가표지"}</definedName>
    <definedName name="ㅇㅀㅈㅅㄷ안강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ㅊ퓨" hidden="1">{#N/A,#N/A,FALSE,"생산성";#N/A,#N/A,FALSE,"인력1";#N/A,#N/A,FALSE,"인력2";#N/A,#N/A,FALSE,"인력3";#N/A,#N/A,FALSE,"인건1";#N/A,#N/A,FALSE,"인건2";#N/A,#N/A,FALSE,"인건3";#N/A,#N/A,FALSE,"인원증감";#N/A,#N/A,FALSE,"인건증감";#N/A,#N/A,FALSE,"표지등"}</definedName>
    <definedName name="ㅇㅀㅍㄱㅇ픃" hidden="1">{#N/A,#N/A,FALSE,"골재소요량";#N/A,#N/A,FALSE,"골재소요량"}</definedName>
    <definedName name="ㅇㅀㅍㄹㅈㄷ" hidden="1">{#N/A,#N/A,FALSE,"조골재"}</definedName>
    <definedName name="ㅇㅀㅎ" hidden="1">#REF!</definedName>
    <definedName name="ㅇㅀㅎㅎㅎㅎㅎㄴㄷㄷㄷ" hidden="1">{#N/A,#N/A,FALSE,"현장 NCR 분석";#N/A,#N/A,FALSE,"현장품질감사";#N/A,#N/A,FALSE,"현장품질감사"}</definedName>
    <definedName name="ㅇㅀㅎㅎㅎㅎㅎㅎㅎㅎㅎㅎㅎㅎㅎㅎㅎ" hidden="1">{#N/A,#N/A,FALSE,"구조2"}</definedName>
    <definedName name="ㅇㅀ혼" hidden="1">{#N/A,#N/A,FALSE,"단가표지"}</definedName>
    <definedName name="ㅇㅀㅀ" hidden="1">{#N/A,#N/A,FALSE,"생산성";#N/A,#N/A,FALSE,"인력1";#N/A,#N/A,FALSE,"인력2";#N/A,#N/A,FALSE,"인력3";#N/A,#N/A,FALSE,"인건1";#N/A,#N/A,FALSE,"인건2";#N/A,#N/A,FALSE,"인건3";#N/A,#N/A,FALSE,"인원증감";#N/A,#N/A,FALSE,"인건증감";#N/A,#N/A,FALSE,"표지등"}</definedName>
    <definedName name="ㅇㅀㄳ" hidden="1">{#N/A,#N/A,FALSE,"2~8번"}</definedName>
    <definedName name="ㅇㅀㄳㄷㅎ" hidden="1">{#N/A,#N/A,FALSE,"단가표지"}</definedName>
    <definedName name="ㅇㅀㄳㄷㅎㄷ" hidden="1">{#N/A,#N/A,FALSE,"표지목차"}</definedName>
    <definedName name="ㅇㅀㄳ퓽ㄹ" hidden="1">{#N/A,#N/A,FALSE,"단가표지"}</definedName>
    <definedName name="ㅇㅀㄳㅎ" hidden="1">{#N/A,#N/A,FALSE,"혼합골재"}</definedName>
    <definedName name="ㅇㅀㄳ호" hidden="1">{#N/A,#N/A,FALSE,"혼합골재"}</definedName>
    <definedName name="ㅇㅀㄳㅎㄳ" hidden="1">{#N/A,#N/A,FALSE,"혼합골재"}</definedName>
    <definedName name="ㅇㅀㄶ">#REF!</definedName>
    <definedName name="ㅇㅀㄶㅇㄴ" hidden="1">#REF!</definedName>
    <definedName name="아" hidden="1">{"'터널공'!$A$177:$A$186"}</definedName>
    <definedName name="아거로ㅕㄱ" hidden="1">{#N/A,#N/A,FALSE,"운반시간"}</definedName>
    <definedName name="아경">#REF!</definedName>
    <definedName name="아경1">#REF!</definedName>
    <definedName name="아구" hidden="1">{#N/A,#N/A,FALSE,"혼합골재"}</definedName>
    <definedName name="아구_1" hidden="1">{#N/A,#N/A,FALSE,"혼합골재"}</definedName>
    <definedName name="아구_2" hidden="1">{#N/A,#N/A,FALSE,"혼합골재"}</definedName>
    <definedName name="아구_3" hidden="1">{#N/A,#N/A,FALSE,"혼합골재"}</definedName>
    <definedName name="아나" hidden="1">#REF!</definedName>
    <definedName name="아노">#REF!</definedName>
    <definedName name="아노1">#REF!</definedName>
    <definedName name="아누누" hidden="1">#REF!</definedName>
    <definedName name="아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눔이" hidden="1">{#N/A,#N/A,FALSE,"전력간선"}</definedName>
    <definedName name="아늘믿" localSheetId="0">BlankMacro1</definedName>
    <definedName name="아늘믿">BlankMacro1</definedName>
    <definedName name="아니" hidden="1">{"'Sheet1'!$A$4:$M$21","'Sheet1'!$J$17:$K$19"}</definedName>
    <definedName name="아니오" hidden="1">{#N/A,#N/A,FALSE,"2~8번"}</definedName>
    <definedName name="아니용ㅇㅇㅇㅇ">#REF!</definedName>
    <definedName name="아닐아" hidden="1">{#N/A,#N/A,FALSE,"운반시간"}</definedName>
    <definedName name="아님" hidden="1">{#N/A,#N/A,FALSE,"현장 NCR 분석";#N/A,#N/A,FALSE,"현장품질감사";#N/A,#N/A,FALSE,"현장품질감사"}</definedName>
    <definedName name="아다" localSheetId="0">BlankMacro1</definedName>
    <definedName name="아다">BlankMacro1</definedName>
    <definedName name="아디" localSheetId="0">BlankMacro1</definedName>
    <definedName name="아디">BlankMacro1</definedName>
    <definedName name="아라">#REF!</definedName>
    <definedName name="아라라">#REF!</definedName>
    <definedName name="아라랄">#N/A</definedName>
    <definedName name="아라ㅣㄹ" hidden="1">#REF!</definedName>
    <definedName name="아랑" hidden="1">{#N/A,#N/A,FALSE,"이태원철근"}</definedName>
    <definedName name="아랑러ㅏㅇㄴㄹ"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아래">#REF!</definedName>
    <definedName name="아래1">#REF!</definedName>
    <definedName name="아러" hidden="1">#REF!</definedName>
    <definedName name="아러걀" hidden="1">{#N/A,#N/A,FALSE,"단가표지"}</definedName>
    <definedName name="아러ㅏ러" hidden="1">{"'Firr(선)'!$AS$1:$AY$62","'Firr(사)'!$AS$1:$AY$62","'Firr(회)'!$AS$1:$AY$62","'Firr(선)'!$L$1:$V$62","'Firr(사)'!$L$1:$V$62","'Firr(회)'!$L$1:$V$62"}</definedName>
    <definedName name="아러ㅑㅐ" hidden="1">{#N/A,#N/A,FALSE,"조골재"}</definedName>
    <definedName name="아러ㅗㅍㅇㄹ" hidden="1">{#N/A,#N/A,FALSE,"단가표지"}</definedName>
    <definedName name="아로ㅓㅕㅇㅀ" hidden="1">{#N/A,#N/A,FALSE,"단가표지"}</definedName>
    <definedName name="아를" hidden="1">{#N/A,#N/A,FALSE,"운반시간"}</definedName>
    <definedName name="아름" hidden="1">{#N/A,#N/A,FALSE,"사업총괄";#N/A,#N/A,FALSE,"장비사업";#N/A,#N/A,FALSE,"철구사업";#N/A,#N/A,FALSE,"준설사업"}</definedName>
    <definedName name="아름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름답다" hidden="1">{#N/A,#N/A,FALSE,"혼합골재"}</definedName>
    <definedName name="아리랑" hidden="1">{#N/A,#N/A,FALSE,"운반시간"}</definedName>
    <definedName name="아마" hidden="1">{#N/A,#N/A,FALSE,"현장 NCR 분석";#N/A,#N/A,FALSE,"현장품질감사";#N/A,#N/A,FALSE,"현장품질감사"}</definedName>
    <definedName name="아마로드" hidden="1">{#N/A,#N/A,FALSE,"현장 NCR 분석";#N/A,#N/A,FALSE,"현장품질감사";#N/A,#N/A,FALSE,"현장품질감사"}</definedName>
    <definedName name="아무" hidden="1">{#N/A,#N/A,FALSE,"배수2"}</definedName>
    <definedName name="아무개" hidden="1">{#N/A,#N/A,FALSE,"조골재"}</definedName>
    <definedName name="아무거나" hidden="1">#REF!</definedName>
    <definedName name="아무거나_1" hidden="1">{#N/A,#N/A,FALSE,"배수2"}</definedName>
    <definedName name="아무거나0" localSheetId="0">BlankMacro1</definedName>
    <definedName name="아무거나0">BlankMacro1</definedName>
    <definedName name="아부루가" hidden="1">{#N/A,#N/A,FALSE,"2~8번"}</definedName>
    <definedName name="아사">#REF!</definedName>
    <definedName name="아사급">#REF!</definedName>
    <definedName name="아사꾸라방식">#REF!</definedName>
    <definedName name="아사롷" hidden="1">{#N/A,#N/A,FALSE,"운반시간"}</definedName>
    <definedName name="아산실적Backdata">#REF!</definedName>
    <definedName name="아산협력업체리스트" hidden="1">{#N/A,#N/A,FALSE,"이태원철근"}</definedName>
    <definedName name="아서" localSheetId="0">BlankMacro1</definedName>
    <definedName name="아서">BlankMacro1</definedName>
    <definedName name="아세틸렌">#REF!</definedName>
    <definedName name="아스콘">#REF!</definedName>
    <definedName name="아스콘1">#REF!</definedName>
    <definedName name="아스콘2" hidden="1">#REF!</definedName>
    <definedName name="아스콘깨기" hidden="1">{#N/A,#N/A,FALSE,"골재소요량";#N/A,#N/A,FALSE,"골재소요량"}</definedName>
    <definedName name="아스콘수량">#REF!</definedName>
    <definedName name="아스콘잔재처리경비">#REF!</definedName>
    <definedName name="아스콘잔재처리계">#REF!</definedName>
    <definedName name="아스콘잔재처리노무비">#REF!</definedName>
    <definedName name="아스콘잔재처리재료비">#REF!</definedName>
    <definedName name="아스타일__공">#REF!</definedName>
    <definedName name="아스타일공">#REF!</definedName>
    <definedName name="아스팔트">#REF!</definedName>
    <definedName name="아스팔트싱글">#REF!</definedName>
    <definedName name="아스팔트운반운반비경비">#REF!</definedName>
    <definedName name="아스팔트운반운반비계">#REF!</definedName>
    <definedName name="아스팔트운반운반비노무비">#REF!</definedName>
    <definedName name="아스팔트운반운반비재료비">#REF!</definedName>
    <definedName name="아스팔트운반톤경비">#REF!</definedName>
    <definedName name="아스팔트운반톤계">#REF!</definedName>
    <definedName name="아스팔트운반톤노무비">#REF!</definedName>
    <definedName name="아스팔트운반톤재료비">#REF!</definedName>
    <definedName name="아스팔트운반하차료경비">#REF!</definedName>
    <definedName name="아스팔트운반하차료계">#REF!</definedName>
    <definedName name="아스팔트운반하차료노무비">#REF!</definedName>
    <definedName name="아스팔트운반하차료재료비">#REF!</definedName>
    <definedName name="아스팔트운반dm경비">#REF!</definedName>
    <definedName name="아스팔트운반dm계">#REF!</definedName>
    <definedName name="아스팔트운반dm노무비">#REF!</definedName>
    <definedName name="아스팔트운반dm재료비">#REF!</definedName>
    <definedName name="아스팔트포장">#REF!</definedName>
    <definedName name="아스팔트포장캇타경비">#REF!</definedName>
    <definedName name="아스팔트포장캇타계">#REF!</definedName>
    <definedName name="아스팔트포장캇타노무비">#REF!</definedName>
    <definedName name="아스팔트포장캇타재료비">#REF!</definedName>
    <definedName name="아스팔트포장파괴0.2경비">#REF!</definedName>
    <definedName name="아스팔트포장파괴0.2계">#REF!</definedName>
    <definedName name="아스팔트포장파괴0.2기계경비">#REF!</definedName>
    <definedName name="아스팔트포장파괴0.2기계계">#REF!</definedName>
    <definedName name="아스팔트포장파괴0.2기계노무비">#REF!</definedName>
    <definedName name="아스팔트포장파괴0.2기계재료비">#REF!</definedName>
    <definedName name="아스팔트포장파괴0.2노무비">#REF!</definedName>
    <definedName name="아스팔트포장파괴0.2인력계">#REF!</definedName>
    <definedName name="아스팔트포장파괴0.2인력노무비">#REF!</definedName>
    <definedName name="아스팔트포장파괴0.2재료비">#REF!</definedName>
    <definedName name="아스팔트포장파괴0.2치즐계">#REF!</definedName>
    <definedName name="아스팔트포장파괴0.2치즐재료비">#REF!</definedName>
    <definedName name="아스팔트포장파괴0.4경비">#REF!</definedName>
    <definedName name="아스팔트포장파괴0.4계">#REF!</definedName>
    <definedName name="아스팔트포장파괴0.4기계경비">#REF!</definedName>
    <definedName name="아스팔트포장파괴0.4기계계">#REF!</definedName>
    <definedName name="아스팔트포장파괴0.4기계노무비">#REF!</definedName>
    <definedName name="아스팔트포장파괴0.4기계재료비">#REF!</definedName>
    <definedName name="아스팔트포장파괴0.4노무비">#REF!</definedName>
    <definedName name="아스팔트포장파괴0.4작업보조원경비">#REF!</definedName>
    <definedName name="아스팔트포장파괴0.4작업보조원계">#REF!</definedName>
    <definedName name="아스팔트포장파괴0.4작업보조원노무비">#REF!</definedName>
    <definedName name="아스팔트포장파괴0.4작업보조원재료비">#REF!</definedName>
    <definedName name="아스팔트포장파괴0.4재료비">#REF!</definedName>
    <definedName name="아스팔트포장파괴0.4치즐경비">#REF!</definedName>
    <definedName name="아스팔트포장파괴0.4치즐계">#REF!</definedName>
    <definedName name="아스팔트포장파괴0.4치즐노무비">#REF!</definedName>
    <definedName name="아스팔트포장파괴0.4치즐재료비">#REF!</definedName>
    <definedName name="아스팔트포장파괴0.7경비">#REF!</definedName>
    <definedName name="아스팔트포장파괴0.7계">#REF!</definedName>
    <definedName name="아스팔트포장파괴0.7기계경비">#REF!</definedName>
    <definedName name="아스팔트포장파괴0.7기계계">#REF!</definedName>
    <definedName name="아스팔트포장파괴0.7기계노무비">#REF!</definedName>
    <definedName name="아스팔트포장파괴0.7기계재료비">#REF!</definedName>
    <definedName name="아스팔트포장파괴0.7노무비">#REF!</definedName>
    <definedName name="아스팔트포장파괴0.7작업보조원경비">#REF!</definedName>
    <definedName name="아스팔트포장파괴0.7작업보조원계">#REF!</definedName>
    <definedName name="아스팔트포장파괴0.7작업보조원노무비">#REF!</definedName>
    <definedName name="아스팔트포장파괴0.7작업보조원재료비">#REF!</definedName>
    <definedName name="아스팔트포장파괴0.7재료비">#REF!</definedName>
    <definedName name="아스팔트포장파괴0.7치즐경비">#REF!</definedName>
    <definedName name="아스팔트포장파괴0.7치즐계">#REF!</definedName>
    <definedName name="아스팔트포장파괴0.7치즐노무비">#REF!</definedName>
    <definedName name="아스팔트포장파괴0.7치즐재료비">#REF!</definedName>
    <definedName name="아싸" hidden="1">{#N/A,#N/A,FALSE,"생산성";#N/A,#N/A,FALSE,"인력1";#N/A,#N/A,FALSE,"인력2";#N/A,#N/A,FALSE,"인력3";#N/A,#N/A,FALSE,"인건1";#N/A,#N/A,FALSE,"인건2";#N/A,#N/A,FALSE,"인건3";#N/A,#N/A,FALSE,"인원증감";#N/A,#N/A,FALSE,"인건증감";#N/A,#N/A,FALSE,"표지등"}</definedName>
    <definedName name="아싸가오리" hidden="1">{#N/A,#N/A,FALSE,"전력간선"}</definedName>
    <definedName name="아아" hidden="1">{#N/A,#N/A,FALSE,"기안지";#N/A,#N/A,FALSE,"통신지"}</definedName>
    <definedName name="아아.엉ㅇ." hidden="1">{#N/A,#N/A,FALSE,"조골재"}</definedName>
    <definedName name="아아33" hidden="1">0</definedName>
    <definedName name="아아아">#REF!</definedName>
    <definedName name="아아아아" hidden="1">{#N/A,#N/A,FALSE,"이태원철근"}</definedName>
    <definedName name="아아아아아" hidden="1">{#N/A,#N/A,FALSE,"이태원철근"}</definedName>
    <definedName name="아아아아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안녕">{"'별표'!$N$220"}</definedName>
    <definedName name="아앙" hidden="1">{#N/A,#N/A,FALSE,"현장 NCR 분석";#N/A,#N/A,FALSE,"현장품질감사";#N/A,#N/A,FALSE,"현장품질감사"}</definedName>
    <definedName name="아야">#REF!</definedName>
    <definedName name="아연도28C">#REF!</definedName>
    <definedName name="아연도강관">#N/A</definedName>
    <definedName name="아연도강관단가">#REF!</definedName>
    <definedName name="아연도배관단가">#REF!</definedName>
    <definedName name="아연도배관자재">#REF!</definedName>
    <definedName name="아연도전선관">#N/A</definedName>
    <definedName name="아예" hidden="1">#REF!</definedName>
    <definedName name="아예2" hidden="1">#REF!</definedName>
    <definedName name="아왜나무12노무">#REF!</definedName>
    <definedName name="아왜나무12재료">#REF!</definedName>
    <definedName name="아왜나무H2.5">#REF!</definedName>
    <definedName name="아운">#REF!</definedName>
    <definedName name="아운반">#REF!</definedName>
    <definedName name="아웃" hidden="1">{#N/A,#N/A,FALSE,"단가표지"}</definedName>
    <definedName name="아웃거리다" hidden="1">{#N/A,#N/A,FALSE,"운반시간"}</definedName>
    <definedName name="아이">#REF!</definedName>
    <definedName name="아이디">#REF!,#REF!</definedName>
    <definedName name="아이비">{"Book1","TOTAL.xls"}</definedName>
    <definedName name="아자자자자" hidden="1">{"'PROFORMA'!$A$1:$H$120"}</definedName>
    <definedName name="아자차" hidden="1">#REF!</definedName>
    <definedName name="아잔견적서">#REF!</definedName>
    <definedName name="아재">#REF!</definedName>
    <definedName name="아재1">#REF!</definedName>
    <definedName name="아직" hidden="1">{#N/A,#N/A,FALSE,"단가표지"}</definedName>
    <definedName name="아진견적3">#REF!</definedName>
    <definedName name="아카노">#REF!</definedName>
    <definedName name="아카시아">#REF!</definedName>
    <definedName name="아카재">#REF!</definedName>
    <definedName name="아크릴">#REF!</definedName>
    <definedName name="아파">#REF!,#REF!</definedName>
    <definedName name="아파트" hidden="1">{"'Sheet1'!$A$4:$M$21","'Sheet1'!$J$17:$K$19"}</definedName>
    <definedName name="아파트가구">#REF!</definedName>
    <definedName name="아파트공사비">#REF!</definedName>
    <definedName name="아파트내역2" hidden="1">{"'Sheet1'!$A$4:$M$21","'Sheet1'!$J$17:$K$19"}</definedName>
    <definedName name="아파트벽식">#REF!</definedName>
    <definedName name="아퍼랴유" hidden="1">{#N/A,#N/A,FALSE,"단가표지"}</definedName>
    <definedName name="아포티" hidden="1">#REF!</definedName>
    <definedName name="아허해" hidden="1">{#N/A,#N/A,FALSE,"운반시간"}</definedName>
    <definedName name="아헣" hidden="1">{#N/A,#N/A,FALSE,"혼합골재"}</definedName>
    <definedName name="아호굫" hidden="1">{#N/A,#N/A,FALSE,"단가표지"}</definedName>
    <definedName name="아호ㅛㄱㄷㅎ" hidden="1">{#N/A,#N/A,FALSE,"단가표지"}</definedName>
    <definedName name="아홉월">#REF!</definedName>
    <definedName name="아홍" hidden="1">{#N/A,#N/A,FALSE,"2~8번"}</definedName>
    <definedName name="아후ㅏㅓ핳" hidden="1">{#N/A,#N/A,FALSE,"운반시간"}</definedName>
    <definedName name="아히망" hidden="1">{#N/A,#N/A,FALSE,"골재소요량";#N/A,#N/A,FALSE,"골재소요량"}</definedName>
    <definedName name="아ㅏ" hidden="1">{#N/A,#N/A,FALSE,"조골재"}</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ㅑㅓㄱㄹ" hidden="1">{#N/A,#N/A,FALSE,"2~8번"}</definedName>
    <definedName name="아ㅓ" hidden="1">{#N/A,#N/A,FALSE,"지침";#N/A,#N/A,FALSE,"환경분석";#N/A,#N/A,FALSE,"Sheet16"}</definedName>
    <definedName name="아ㅓ걓ㄱ" hidden="1">{#N/A,#N/A,FALSE,"단가표지"}</definedName>
    <definedName name="아ㅓㄷㄱㄹ" hidden="1">{#N/A,#N/A,FALSE,"단가표지"}</definedName>
    <definedName name="아ㅓㄹ8ㄱ" hidden="1">{#N/A,#N/A,FALSE,"단가표지"}</definedName>
    <definedName name="아ㅓㄹ8ㅑㅑㄱㄺ" hidden="1">{#N/A,#N/A,FALSE,"운반시간"}</definedName>
    <definedName name="아ㅓㄹ이" localSheetId="0">BlankMacro1</definedName>
    <definedName name="아ㅓㄹ이">BlankMacro1</definedName>
    <definedName name="아ㅓ략" hidden="1">{#N/A,#N/A,FALSE,"단가표지"}</definedName>
    <definedName name="아ㅓ렫" hidden="1">{#N/A,#N/A,FALSE,"단가표지"}</definedName>
    <definedName name="아ㅓ림" hidden="1">{#N/A,#N/A,FALSE,"포장1";#N/A,#N/A,FALSE,"포장1"}</definedName>
    <definedName name="아ㅓ옹ㄹ" hidden="1">{#N/A,#N/A,FALSE,"2~8번"}</definedName>
    <definedName name="아ㅓ포룡ㄹ" hidden="1">{#N/A,#N/A,FALSE,"표지목차"}</definedName>
    <definedName name="아ㅓㅎㄱ" hidden="1">{#N/A,#N/A,FALSE,"운반시간"}</definedName>
    <definedName name="아ㅓ햫" hidden="1">{#N/A,#N/A,FALSE,"표지목차"}</definedName>
    <definedName name="아ㅓㅕㅑㄷㄱㄴ" hidden="1">{#N/A,#N/A,FALSE,"단가표지"}</definedName>
    <definedName name="아ㅓㅗㄹ뎔" hidden="1">{#N/A,#N/A,FALSE,"단가표지"}</definedName>
    <definedName name="아ㅓㅗ랑" hidden="1">{#N/A,#N/A,FALSE,"운반시간"}</definedName>
    <definedName name="아ㅓㅗㅍㅇ" hidden="1">{#N/A,#N/A,FALSE,"조골재"}</definedName>
    <definedName name="아ㅓㅗㅎ령ㅎ" hidden="1">{#N/A,#N/A,FALSE,"단가표지"}</definedName>
    <definedName name="아ㅓㅗㅓㅊ7ㅕㅕㄱㄹ" hidden="1">{#N/A,#N/A,FALSE,"조골재"}</definedName>
    <definedName name="아ㅓㅗㅛㄱ" hidden="1">{#N/A,#N/A,FALSE,"단가표지"}</definedName>
    <definedName name="아ㅕㅗㅎㄳㅎ" hidden="1">{#N/A,#N/A,FALSE,"단가표지"}</definedName>
    <definedName name="아ㅗㄱ" hidden="1">{#N/A,#N/A,FALSE,"혼합골재"}</definedName>
    <definedName name="아ㅗㄱㄹ" hidden="1">{#N/A,#N/A,FALSE,"단가표지"}</definedName>
    <definedName name="아ㅗㄱㅎ" hidden="1">{#N/A,#N/A,FALSE,"운반시간"}</definedName>
    <definedName name="아ㅗ겨" hidden="1">{#N/A,#N/A,FALSE,"단가표지"}</definedName>
    <definedName name="아ㅗㄹ7ㅕㅕㄷㄱ" hidden="1">{#N/A,#N/A,FALSE,"단가표지"}</definedName>
    <definedName name="아ㅗㅎㄳ" hidden="1">{#N/A,#N/A,FALSE,"단가표지"}</definedName>
    <definedName name="아ㅗㅓㄷㄹ" hidden="1">{#N/A,#N/A,FALSE,"운반시간"}</definedName>
    <definedName name="아ㅗㅕㄹ" hidden="1">{#N/A,#N/A,FALSE,"단가표지"}</definedName>
    <definedName name="아ㅗㅛㄱㄷㅇ" hidden="1">{#N/A,#N/A,FALSE,"표지목차"}</definedName>
    <definedName name="아ㅗㅛㄱㅎ" hidden="1">{#N/A,#N/A,FALSE,"단가표지"}</definedName>
    <definedName name="아ㅗㅠㅎㅅ" hidden="1">{#N/A,#N/A,FALSE,"단가표지"}</definedName>
    <definedName name="아ㅣㄹ갼" hidden="1">{#N/A,#N/A,FALSE,"단가표지"}</definedName>
    <definedName name="아ㅣ아ㅣ">#REF!</definedName>
    <definedName name="아ㅣㅓㄹㅇ" localSheetId="0">BlankMacro1</definedName>
    <definedName name="아ㅣㅓㄹㅇ">BlankMacro1</definedName>
    <definedName name="악취">#REF!</definedName>
    <definedName name="안">#REF!</definedName>
    <definedName name="안___전__점__검__비">#N/A</definedName>
    <definedName name="안강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경점공량산출서" hidden="1">{#N/A,#N/A,FALSE,"CCTV"}</definedName>
    <definedName name="안내" hidden="1">{#N/A,#N/A,FALSE,"이태원철근"}</definedName>
    <definedName name="안내12">{"Book1","부대-(표지판,데리,가드).xls","부대-(낙,차,중분대).xls"}</definedName>
    <definedName name="안내책">#REF!</definedName>
    <definedName name="안내판">#REF!</definedName>
    <definedName name="안내판수량">#REF!</definedName>
    <definedName name="안년" localSheetId="0">Dlog_Show</definedName>
    <definedName name="안년">Dlog_Show</definedName>
    <definedName name="안녕" hidden="1">{"'별표'!$N$220"}</definedName>
    <definedName name="안녕히" hidden="1">{#N/A,#N/A,FALSE,"혼합골재"}</definedName>
    <definedName name="안동" hidden="1">#REF!</definedName>
    <definedName name="안되" hidden="1">{#N/A,#N/A,TRUE,"토적및재료집계";#N/A,#N/A,TRUE,"토적및재료집계";#N/A,#N/A,TRUE,"단위량"}</definedName>
    <definedName name="안러ㅣ">#REF!</definedName>
    <definedName name="안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방" hidden="1">#REF!</definedName>
    <definedName name="안방1호">#REF!</definedName>
    <definedName name="안방2호">#REF!</definedName>
    <definedName name="안산">#N/A</definedName>
    <definedName name="안산키즈" hidden="1">{#N/A,#N/A,FALSE,"전력간선"}</definedName>
    <definedName name="안성진행">#REF!</definedName>
    <definedName name="안성진행2">#REF!</definedName>
    <definedName name="안성청산">#REF!</definedName>
    <definedName name="안양주공">#REF!</definedName>
    <definedName name="안양현대" hidden="1">{#N/A,#N/A,FALSE,"이태원철근"}</definedName>
    <definedName name="안전">#REF!</definedName>
    <definedName name="안전1">#REF!</definedName>
    <definedName name="안전2">#REF!</definedName>
    <definedName name="안전관련신고서" hidden="1">{#N/A,#N/A,FALSE,"현장 NCR 분석";#N/A,#N/A,FALSE,"현장품질감사";#N/A,#N/A,FALSE,"현장품질감사"}</definedName>
    <definedName name="안전관리">#REF!</definedName>
    <definedName name="안전관리계획서" hidden="1">{#N/A,#N/A,FALSE,"현장 NCR 분석";#N/A,#N/A,FALSE,"현장품질감사";#N/A,#N/A,FALSE,"현장품질감사"}</definedName>
    <definedName name="안전관리기사1급">#N/A</definedName>
    <definedName name="안전관리기사2급">#N/A</definedName>
    <definedName name="안전관리비">#REF!</definedName>
    <definedName name="안전관리비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_산식">#N/A</definedName>
    <definedName name="안전관리비세부내역" hidden="1">{#N/A,#N/A,FALSE,"CCTV"}</definedName>
    <definedName name="안전관리비요율">#REF!</definedName>
    <definedName name="안전관리비율">#REF!</definedName>
    <definedName name="안전관리비표">#REF!</definedName>
    <definedName name="안전관리서류" hidden="1">{#N/A,#N/A,FALSE,"Sheet1"}</definedName>
    <definedName name="안전관리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기원" hidden="1">{#N/A,#N/A,FALSE,"Sheet1"}</definedName>
    <definedName name="안전발판">{"Book1","수시.XLS"}</definedName>
    <definedName name="안전본봉">#REF!</definedName>
    <definedName name="안전시험">#REF!</definedName>
    <definedName name="안전율">#REF!</definedName>
    <definedName name="안전일지" hidden="1">{#N/A,#N/A,FALSE,"Sheet1"}</definedName>
    <definedName name="안전점검을" hidden="1">{#N/A,#N/A,FALSE,"결의서";#N/A,#N/A,FALSE,"내역서";#N/A,#N/A,FALSE,"도급예상";#N/A,#N/A,FALSE,"시방서"}</definedName>
    <definedName name="안전A1219">#REF!</definedName>
    <definedName name="안정수위">#REF!</definedName>
    <definedName name="안주">#N/A</definedName>
    <definedName name="안촌제2">#REF!</definedName>
    <definedName name="안테">#REF!</definedName>
    <definedName name="안해" hidden="1">{#N/A,#N/A,FALSE,"이태원철근"}</definedName>
    <definedName name="안홍수" hidden="1">{#N/A,#N/A,FALSE,"지침";#N/A,#N/A,FALSE,"환경분석";#N/A,#N/A,FALSE,"Sheet16"}</definedName>
    <definedName name="안효진행">#REF!</definedName>
    <definedName name="안효청산">#REF!</definedName>
    <definedName name="않고가자" hidden="1">{#N/A,#N/A,FALSE,"단가표지"}</definedName>
    <definedName name="알">#REF!</definedName>
    <definedName name="알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로에" hidden="1">{#N/A,#N/A,FALSE,"생산성";#N/A,#N/A,FALSE,"인력1";#N/A,#N/A,FALSE,"인력2";#N/A,#N/A,FALSE,"인력3";#N/A,#N/A,FALSE,"인건1";#N/A,#N/A,FALSE,"인건2";#N/A,#N/A,FALSE,"인건3";#N/A,#N/A,FALSE,"인원증감";#N/A,#N/A,FALSE,"인건증감";#N/A,#N/A,FALSE,"표지등"}</definedName>
    <definedName name="알루미늄">#REF!</definedName>
    <definedName name="알미늄재고">#REF!</definedName>
    <definedName name="알수가없네">#REF!</definedName>
    <definedName name="알어러" localSheetId="0">BLCH</definedName>
    <definedName name="알어러">BLCH</definedName>
    <definedName name="알유형">#REF!</definedName>
    <definedName name="알지" hidden="1">{#N/A,#N/A,FALSE,"UNIT";#N/A,#N/A,FALSE,"UNIT";#N/A,#N/A,FALSE,"계정"}</definedName>
    <definedName name="알카리도">#REF!</definedName>
    <definedName name="알파">#REF!</definedName>
    <definedName name="알파1">#REF!</definedName>
    <definedName name="알파2">#REF!</definedName>
    <definedName name="알d">#REF!</definedName>
    <definedName name="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암1">#REF!</definedName>
    <definedName name="암거" hidden="1">#REF!</definedName>
    <definedName name="암거구체_재료_수량산출__1">#REF!</definedName>
    <definedName name="암거구체_토공_수량산출__2">#REF!</definedName>
    <definedName name="암거구체수량산출_1연">#N/A</definedName>
    <definedName name="암거구체수량산출1연_형식1">#N/A</definedName>
    <definedName name="암거구체수량산출1연_형식2">#N/A</definedName>
    <definedName name="암거구체수량산출2연_형식1">#N/A</definedName>
    <definedName name="암거구체수량산출2연_형식2">#N/A</definedName>
    <definedName name="암거구체수량산출3연_형식1">#N/A</definedName>
    <definedName name="암거구체수량산출3연_형식2">#N/A</definedName>
    <definedName name="암거날개벽">#REF!</definedName>
    <definedName name="암거날개벽_재료_및_토공_수량산출__1">#REF!</definedName>
    <definedName name="암거날개벽1">#REF!</definedName>
    <definedName name="암거재료집계">{"'중기작업1'!$A$1:$V$18"}</definedName>
    <definedName name="암거폭">#REF!</definedName>
    <definedName name="암라ㅣ" hidden="1">{#N/A,#N/A,FALSE,"2~8번"}</definedName>
    <definedName name="암러ㅣㅁ" hidden="1">{#N/A,#N/A,FALSE,"견적조건";#N/A,#N/A,FALSE,"산출근거"}</definedName>
    <definedName name="암면매트바닥50노">#REF!</definedName>
    <definedName name="암면매트바닥깔기">#REF!</definedName>
    <definedName name="암면뿜칠">#REF!</definedName>
    <definedName name="암면뿜칠노">#REF!</definedName>
    <definedName name="암모니아">#REF!</definedName>
    <definedName name="암사">#REF!</definedName>
    <definedName name="암사시영">#REF!</definedName>
    <definedName name="압력단위">"Pa"</definedName>
    <definedName name="압력단자">#N/A</definedName>
    <definedName name="압착터미널">#N/A</definedName>
    <definedName name="압축">#REF!</definedName>
    <definedName name="압축1">#REF!</definedName>
    <definedName name="압축강도">#REF!</definedName>
    <definedName name="압축내역">#REF!</definedName>
    <definedName name="압출스치로폴450노">#REF!</definedName>
    <definedName name="압출스치로폴630노">#REF!</definedName>
    <definedName name="압출스치로폴설치450">#REF!</definedName>
    <definedName name="압출스치로폴설치630">#REF!</definedName>
    <definedName name="앗공통">#REF!</definedName>
    <definedName name="앗그만">#REF!</definedName>
    <definedName name="앗분당코아공통비">#REF!</definedName>
    <definedName name="앗코아">#REF!</definedName>
    <definedName name="앙" hidden="1">{#N/A,#N/A,FALSE,"지침";#N/A,#N/A,FALSE,"환경분석";#N/A,#N/A,FALSE,"Sheet16"}</definedName>
    <definedName name="앙브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아ㅏ아아아ㅏㅇ아ㅏ아아ㅏ아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앙ㅇ"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앞굽높이">#REF!</definedName>
    <definedName name="앞들1호">#REF!</definedName>
    <definedName name="앞들2호">#REF!</definedName>
    <definedName name="앞성토">#REF!</definedName>
    <definedName name="앞장">#REF!</definedName>
    <definedName name="애경백화점" hidden="1">{#N/A,#N/A,FALSE,"현장 NCR 분석";#N/A,#N/A,FALSE,"현장품질감사";#N/A,#N/A,FALSE,"현장품질감사"}</definedName>
    <definedName name="애자" hidden="1">{#N/A,#N/A,FALSE,"현장 NCR 분석";#N/A,#N/A,FALSE,"현장품질감사";#N/A,#N/A,FALSE,"현장품질감사"}</definedName>
    <definedName name="앨보1">#REF!</definedName>
    <definedName name="앨c">#REF!</definedName>
    <definedName name="앨e">#REF!</definedName>
    <definedName name="앰프">#N/A</definedName>
    <definedName name="앵커">#REF!</definedName>
    <definedName name="앵커볼트">#REF!</definedName>
    <definedName name="야">#REF!,#REF!,#REF!,#REF!,#REF!,#REF!,#REF!,#REF!,#REF!,#REF!,#REF!,#REF!,#REF!,#REF!,#REF!,#REF!,#REF!,#REF!,#REF!</definedName>
    <definedName name="야간" hidden="1">{#N/A,#N/A,FALSE,"지침";#N/A,#N/A,FALSE,"환경분석";#N/A,#N/A,FALSE,"Sheet16"}</definedName>
    <definedName name="야간_1" hidden="1">{#N/A,#N/A,FALSE,"지침";#N/A,#N/A,FALSE,"환경분석";#N/A,#N/A,FALSE,"Sheet16"}</definedName>
    <definedName name="야간_2" hidden="1">{#N/A,#N/A,FALSE,"지침";#N/A,#N/A,FALSE,"환경분석";#N/A,#N/A,FALSE,"Sheet16"}</definedName>
    <definedName name="야간_3" hidden="1">{#N/A,#N/A,FALSE,"지침";#N/A,#N/A,FALSE,"환경분석";#N/A,#N/A,FALSE,"Sheet16"}</definedName>
    <definedName name="야간_4" hidden="1">{#N/A,#N/A,FALSE,"지침";#N/A,#N/A,FALSE,"환경분석";#N/A,#N/A,FALSE,"Sheet16"}</definedName>
    <definedName name="야간_5" hidden="1">{#N/A,#N/A,FALSE,"지침";#N/A,#N/A,FALSE,"환경분석";#N/A,#N/A,FALSE,"Sheet16"}</definedName>
    <definedName name="야외무대2" hidden="1">{#N/A,#N/A,FALSE,"운반시간"}</definedName>
    <definedName name="야자노">#REF!</definedName>
    <definedName name="야자재">#REF!</definedName>
    <definedName name="야적장">"Oval 143"</definedName>
    <definedName name="야헉ㄷ샤" hidden="1">{#N/A,#N/A,FALSE,"운반시간"}</definedName>
    <definedName name="야ㅕㄱ8ㅎㄹ" hidden="1">{#N/A,#N/A,FALSE,"단가표지"}</definedName>
    <definedName name="야ㅕㅕㅗㄹ" hidden="1">{#N/A,#N/A,FALSE,"혼합골재"}</definedName>
    <definedName name="약대건축">#REF!</definedName>
    <definedName name="약대기계">#REF!</definedName>
    <definedName name="약대소방">#REF!</definedName>
    <definedName name="약대전기">#REF!</definedName>
    <definedName name="약대토목">#REF!</definedName>
    <definedName name="약대통신">#REF!</definedName>
    <definedName name="양">#REF!</definedName>
    <definedName name="양___생___공">#N/A</definedName>
    <definedName name="양기용" hidden="1">{#N/A,#N/A,FALSE,"월공사비집계표양식 (7)";#N/A,#N/A,FALSE,"월공사비집계표양식 (7)"}</definedName>
    <definedName name="양도자">#REF!</definedName>
    <definedName name="양도자등록번호">#REF!</definedName>
    <definedName name="양도자사업자번호">#REF!</definedName>
    <definedName name="양도자상호">#REF!</definedName>
    <definedName name="양도자주소">#REF!</definedName>
    <definedName name="양매자0403">#REF!</definedName>
    <definedName name="양매자0505">#REF!</definedName>
    <definedName name="양매자0606">#REF!</definedName>
    <definedName name="양산1" localSheetId="0">BlankMacro1</definedName>
    <definedName name="양산1">BlankMacro1</definedName>
    <definedName name="양생경비">#REF!</definedName>
    <definedName name="양생노무비">#REF!</definedName>
    <definedName name="양생재료비">#REF!</definedName>
    <definedName name="양석">#REF!,#REF!,#REF!,#REF!,#REF!,#REF!,#REF!,#REF!,#REF!,#REF!,#REF!,#REF!,#REF!,#REF!,#REF!,#REF!,#REF!,#REF!,#REF!</definedName>
    <definedName name="양석김">#REF!</definedName>
    <definedName name="양수량">#REF!</definedName>
    <definedName name="양수압">#REF!</definedName>
    <definedName name="양수자">#REF!</definedName>
    <definedName name="양수자등록번호">#REF!</definedName>
    <definedName name="양수자사업자번호">#REF!</definedName>
    <definedName name="양수자상호">#REF!</definedName>
    <definedName name="양수자주소">#REF!</definedName>
    <definedName name="양식">#REF!</definedName>
    <definedName name="양식_1" hidden="1">{#N/A,#N/A,TRUE,"대외공문"}</definedName>
    <definedName name="양식_2" hidden="1">{#N/A,#N/A,TRUE,"대외공문"}</definedName>
    <definedName name="양식_3" hidden="1">{#N/A,#N/A,TRUE,"대외공문"}</definedName>
    <definedName name="양식10">{"'광피스표'!$A$3:$N$54"}</definedName>
    <definedName name="양식290" hidden="1">{#N/A,#N/A,TRUE,"대외공문"}</definedName>
    <definedName name="양식290_1" hidden="1">{#N/A,#N/A,TRUE,"대외공문"}</definedName>
    <definedName name="양식290_2" hidden="1">{#N/A,#N/A,TRUE,"대외공문"}</definedName>
    <definedName name="양식290_3" hidden="1">{#N/A,#N/A,TRUE,"대외공문"}</definedName>
    <definedName name="양식5">#N/A</definedName>
    <definedName name="양식6" hidden="1">255</definedName>
    <definedName name="양액기교체완료">{"'건축내역'!$A$1:$L$413"}</definedName>
    <definedName name="양재가치">OFFSET(#REF!,0,0,1,COUNTA(#REF!))</definedName>
    <definedName name="양재공실">OFFSET(#REF!,0,0,1,COUNT(#REF!))</definedName>
    <definedName name="양재동추가BH" hidden="1">#REF!</definedName>
    <definedName name="양재수익률">OFFSET(#REF!,0,0,1,COUNTA(#REF!))</definedName>
    <definedName name="양재수입">OFFSET(#REF!,0,0,1,COUNTA(#REF!))</definedName>
    <definedName name="양재승">#REF!</definedName>
    <definedName name="양재승1">#REF!</definedName>
    <definedName name="양재승11">#REF!</definedName>
    <definedName name="양재승1111">#REF!</definedName>
    <definedName name="양재승12">#REF!</definedName>
    <definedName name="양재승2">#REF!</definedName>
    <definedName name="양재승2222222" hidden="1">#REF!</definedName>
    <definedName name="양재승3">#REF!</definedName>
    <definedName name="양재승4">#REF!</definedName>
    <definedName name="양재승5">#REF!</definedName>
    <definedName name="양재승7">#REF!</definedName>
    <definedName name="양재승8">#REF!</definedName>
    <definedName name="양재지출">OFFSET(#REF!,0,0,1,COUNTA(#REF!))</definedName>
    <definedName name="양재NOI">OFFSET(#REF!,0,0,1,COUNTA(#REF!))</definedName>
    <definedName name="양중계획" hidden="1">{#N/A,#N/A,FALSE,"이태원철근"}</definedName>
    <definedName name="양호용" hidden="1">{#N/A,#N/A,FALSE,"단가표지"}</definedName>
    <definedName name="양호용2번" hidden="1">{#N/A,#N/A,FALSE,"2~8번"}</definedName>
    <definedName name="양호용골재소요량" hidden="1">{#N/A,#N/A,FALSE,"골재소요량";#N/A,#N/A,FALSE,"골재소요량"}</definedName>
    <definedName name="양호용단가표지" hidden="1">{#N/A,#N/A,FALSE,"단가표지"}</definedName>
    <definedName name="양호용조골재1" hidden="1">{#N/A,#N/A,FALSE,"조골재"}</definedName>
    <definedName name="양호용ss" hidden="1">{#N/A,#N/A,FALSE,"운반시간"}</definedName>
    <definedName name="어" hidden="1">{#N/A,#N/A,FALSE,"현장 NCR 분석";#N/A,#N/A,FALSE,"현장품질감사";#N/A,#N/A,FALSE,"현장품질감사"}</definedName>
    <definedName name="어디">#REF!,#REF!</definedName>
    <definedName name="어디까징갈래" hidden="1">{#N/A,#N/A,FALSE,"골재소요량";#N/A,#N/A,FALSE,"골재소요량"}</definedName>
    <definedName name="어랑너ㅣㄹㄴㅇ" hidden="1">{#N/A,"수불부",FALSE,"사급자재수불서";#N/A,"수불부",FALSE,"사급자재수불서"}</definedName>
    <definedName name="어랴ㅐㄱㄴ" hidden="1">{#N/A,#N/A,FALSE,"혼합골재"}</definedName>
    <definedName name="어러리" hidden="1">{#N/A,#N/A,FALSE,"지침";#N/A,#N/A,FALSE,"환경분석";#N/A,#N/A,FALSE,"Sheet16"}</definedName>
    <definedName name="어럴어" hidden="1">#REF!</definedName>
    <definedName name="어령ㄹ" hidden="1">{#N/A,#N/A,FALSE,"운반시간"}</definedName>
    <definedName name="어로겨" hidden="1">{#N/A,#N/A,FALSE,"단가표지"}</definedName>
    <definedName name="어로겯" hidden="1">{#N/A,#N/A,FALSE,"표지목차"}</definedName>
    <definedName name="어로결" hidden="1">{#N/A,#N/A,FALSE,"표지목차"}</definedName>
    <definedName name="어로ㅕㄱㄷ" hidden="1">{#N/A,#N/A,FALSE,"단가표지"}</definedName>
    <definedName name="어로ㅕㄱㅀㅌ" hidden="1">{#N/A,#N/A,FALSE,"혼합골재"}</definedName>
    <definedName name="어롣려ㅓㅇ" hidden="1">{#N/A,#N/A,FALSE,"단가표지"}</definedName>
    <definedName name="어롤호" hidden="1">{#N/A,#N/A,FALSE,"표지목차"}</definedName>
    <definedName name="어롯" hidden="1">{#N/A,#N/A,FALSE,"골재소요량";#N/A,#N/A,FALSE,"골재소요량"}</definedName>
    <definedName name="어롱ㅇ" hidden="1">{#N/A,#N/A,FALSE,"단가표지"}</definedName>
    <definedName name="어루" hidden="1">#REF!</definedName>
    <definedName name="어리가" hidden="1">{#N/A,#N/A,FALSE,"단가표지"}</definedName>
    <definedName name="어린어닐ㄴ" hidden="1">{#N/A,#N/A,FALSE,"사업총괄";#N/A,#N/A,FALSE,"장비사업";#N/A,#N/A,FALSE,"철구사업";#N/A,#N/A,FALSE,"준설사업"}</definedName>
    <definedName name="어링">#REF!</definedName>
    <definedName name="어솔" hidden="1">{#N/A,#N/A,FALSE,"운반시간"}</definedName>
    <definedName name="어스앙카">#REF!</definedName>
    <definedName name="어어" hidden="1">{#N/A,#N/A,FALSE,"기안지";#N/A,#N/A,FALSE,"통신지"}</definedName>
    <definedName name="어어_1" hidden="1">{#N/A,#N/A,FALSE,"이태원철근"}</definedName>
    <definedName name="어어_2" hidden="1">{#N/A,#N/A,FALSE,"이태원철근"}</definedName>
    <definedName name="어어_3" hidden="1">{#N/A,#N/A,FALSE,"이태원철근"}</definedName>
    <definedName name="어어온오알">#REF!</definedName>
    <definedName name="어연1_40">#REF!</definedName>
    <definedName name="어연2_25">#REF!</definedName>
    <definedName name="어연2_40">#REF!</definedName>
    <definedName name="어연3_25">#REF!</definedName>
    <definedName name="어음지급보증">#REF!</definedName>
    <definedName name="어쩌라구">#REF!</definedName>
    <definedName name="어쵸ㅗ요" hidden="1">{#N/A,#N/A,FALSE,"운반시간"}</definedName>
    <definedName name="어헛" hidden="1">{#N/A,#N/A,FALSE,"혼합골재"}</definedName>
    <definedName name="어호렿" hidden="1">{#N/A,#N/A,FALSE,"단가표지"}</definedName>
    <definedName name="어호ㅕㄱ" hidden="1">{#N/A,#N/A,FALSE,"단가표지"}</definedName>
    <definedName name="어호ㅛㅎㄱ" hidden="1">{#N/A,#N/A,FALSE,"단가표지"}</definedName>
    <definedName name="어호ㅛㅕㄹㅇ" hidden="1">{#N/A,#N/A,FALSE,"단가표지"}</definedName>
    <definedName name="어횩ㄷ" hidden="1">{#N/A,#N/A,FALSE,"단가표지"}</definedName>
    <definedName name="어ㅏㄴ강ㄹ혼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ㅏ놀" hidden="1">{#N/A,#N/A,FALSE,"조골재"}</definedName>
    <definedName name="어ㅏㄹ헣" hidden="1">{#N/A,#N/A,FALSE,"표지목차"}</definedName>
    <definedName name="어ㅏ롷" hidden="1">{#N/A,#N/A,FALSE,"운반시간"}</definedName>
    <definedName name="어ㅏ아" localSheetId="0">BLCH</definedName>
    <definedName name="어ㅏ아">BLCH</definedName>
    <definedName name="어ㅏ호곃" hidden="1">{#N/A,#N/A,FALSE,"운반시간"}</definedName>
    <definedName name="어ㅏㅗㄱㄷㅀ" hidden="1">{#N/A,#N/A,FALSE,"조골재"}</definedName>
    <definedName name="어ㅏㅗㄱ룡" hidden="1">{#N/A,#N/A,FALSE,"운반시간"}</definedName>
    <definedName name="어ㅏㅗ겯" hidden="1">{#N/A,#N/A,FALSE,"단가표지"}</definedName>
    <definedName name="어ㅏㅗ노" hidden="1">{#N/A,#N/A,FALSE,"단가표지"}</definedName>
    <definedName name="어ㅏㅗ됼" hidden="1">{#N/A,#N/A,FALSE,"운반시간"}</definedName>
    <definedName name="어ㅏㅗㄹㄹ" hidden="1">{#N/A,#N/A,FALSE,"단가표지"}</definedName>
    <definedName name="어ㅏㅗ료돈" hidden="1">{#N/A,#N/A,FALSE,"단가표지"}</definedName>
    <definedName name="어ㅏㅗ룡" hidden="1">{#N/A,#N/A,FALSE,"골재소요량";#N/A,#N/A,FALSE,"골재소요량"}</definedName>
    <definedName name="어ㅏㅗㅓㅕㄱ" hidden="1">{#N/A,#N/A,FALSE,"단가표지"}</definedName>
    <definedName name="어ㅏㅗㅕㅇㅀㅇ" hidden="1">{#N/A,#N/A,FALSE,"단가표지"}</definedName>
    <definedName name="어ㅏㅣ" hidden="1">{#N/A,#N/A,FALSE,"이태원철근"}</definedName>
    <definedName name="어ㅑㄱㅎ" hidden="1">{#N/A,#N/A,FALSE,"혼합골재"}</definedName>
    <definedName name="어ㅓㄴ">#REF!</definedName>
    <definedName name="어ㅓㄹ" hidden="1">{#N/A,#N/A,FALSE,"지침";#N/A,#N/A,FALSE,"환경분석";#N/A,#N/A,FALSE,"Sheet16"}</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ㅗ" hidden="1">{#N/A,#N/A,FALSE,"포장2"}</definedName>
    <definedName name="어ㅗ교" hidden="1">{#N/A,#N/A,FALSE,"표지목차"}</definedName>
    <definedName name="어ㅗㄷ료" hidden="1">{#N/A,#N/A,FALSE,"단가표지"}</definedName>
    <definedName name="어ㅗ뎔" hidden="1">{#N/A,#N/A,FALSE,"운반시간"}</definedName>
    <definedName name="어ㅗㄹ7ㄱ" hidden="1">{#N/A,#N/A,FALSE,"운반시간"}</definedName>
    <definedName name="어ㅗㄹ겨" hidden="1">{#N/A,#N/A,FALSE,"혼합골재"}</definedName>
    <definedName name="어ㅗㄹ결ㄷ" hidden="1">{#N/A,#N/A,FALSE,"전력간선"}</definedName>
    <definedName name="어ㅗ려" hidden="1">{#N/A,#N/A,FALSE,"단가표지"}</definedName>
    <definedName name="어ㅗ려얀" hidden="1">{#N/A,#N/A,FALSE,"단가표지"}</definedName>
    <definedName name="어ㅗ렫" hidden="1">{#N/A,#N/A,FALSE,"2~8번"}</definedName>
    <definedName name="어ㅗ쳐여롣ㄷ" hidden="1">{#N/A,#N/A,FALSE,"골재소요량";#N/A,#N/A,FALSE,"골재소요량"}</definedName>
    <definedName name="어ㅗㅍㅎ굫" hidden="1">{#N/A,#N/A,FALSE,"골재소요량";#N/A,#N/A,FALSE,"골재소요량"}</definedName>
    <definedName name="어ㅗㅎ" hidden="1">{#N/A,#N/A,FALSE,"2~8번"}</definedName>
    <definedName name="어ㅗㅎㅅ" hidden="1">{#N/A,#N/A,FALSE,"조골재"}</definedName>
    <definedName name="어ㅗㅎ욜ㄷ" hidden="1">{#N/A,#N/A,FALSE,"운반시간"}</definedName>
    <definedName name="어ㅗㅓ력" hidden="1">{#N/A,#N/A,FALSE,"2~8번"}</definedName>
    <definedName name="어ㅗㅕㄷㄱㄹ" hidden="1">{#N/A,#N/A,FALSE,"단가표지"}</definedName>
    <definedName name="어ㅗㅕㄺㅇ" hidden="1">{#N/A,#N/A,FALSE,"단가표지"}</definedName>
    <definedName name="어ㅗㅗ룡ㅎㄱ" hidden="1">{#N/A,#N/A,FALSE,"골재소요량";#N/A,#N/A,FALSE,"골재소요량"}</definedName>
    <definedName name="어ㅗㄺㄷㄹ" hidden="1">{#N/A,#N/A,FALSE,"조골재"}</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ㅚ"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ㅛㄱ" hidden="1">{#N/A,#N/A,FALSE,"단가표지"}</definedName>
    <definedName name="어ㅛㄷㄹ" hidden="1">{#N/A,#N/A,FALSE,"표지목차"}</definedName>
    <definedName name="어ㅜㄹ횯홍" hidden="1">{#N/A,#N/A,FALSE,"2~8번"}</definedName>
    <definedName name="어ㅡㅗ격" hidden="1">{#N/A,#N/A,FALSE,"조골재"}</definedName>
    <definedName name="어ㅣ.로ㅓㅣㅓㅛㅚ"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ㅣㅏㅓㄹ이" localSheetId="0">BlankMacro1</definedName>
    <definedName name="어ㅣㅏㅓㄹ이">BlankMacro1</definedName>
    <definedName name="억이상" hidden="1">{#N/A,#N/A,FALSE,"2~8번"}</definedName>
    <definedName name="억이상_1" hidden="1">{#N/A,#N/A,FALSE,"2~8번"}</definedName>
    <definedName name="언" hidden="1">#REF!</definedName>
    <definedName name="언양공장">#REF!</definedName>
    <definedName name="얻ㄹ" hidden="1">{#N/A,#N/A,FALSE,"골재소요량";#N/A,#N/A,FALSE,"골재소요량"}</definedName>
    <definedName name="얻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얼" hidden="1">{#N/A,#N/A,FALSE,"표지목차"}</definedName>
    <definedName name="얼낭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얼ㅇ" localSheetId="0">BlankMacro1</definedName>
    <definedName name="얼ㅇ">BlankMacro1</definedName>
    <definedName name="얼후흐" hidden="1">{#N/A,#N/A,FALSE,"단가표지"}</definedName>
    <definedName name="엃됼" hidden="1">{#N/A,#N/A,FALSE,"2~8번"}</definedName>
    <definedName name="엄" hidden="1">#REF!</definedName>
    <definedName name="엄궁동보할공정표" hidden="1">#REF!</definedName>
    <definedName name="엄궁보할" hidden="1">#REF!</definedName>
    <definedName name="엄정" hidden="1">{#N/A,#N/A,FALSE,"이태원철근"}</definedName>
    <definedName name="업" hidden="1">{#N/A,#N/A,FALSE,"집계";#N/A,#N/A,FALSE,"표지";#N/A,#N/A,FALSE,"터빈집계";#N/A,#N/A,FALSE,"터빈내역";#N/A,#N/A,FALSE,"주제어집계";#N/A,#N/A,FALSE,"주제어내역";#N/A,#N/A,FALSE,"보일러집계";#N/A,#N/A,FALSE,"보일러내역"}</definedName>
    <definedName name="업____체">#REF!</definedName>
    <definedName name="업_태">#REF!</definedName>
    <definedName name="업무" hidden="1">{#N/A,#N/A,FALSE,"이태원철근"}</definedName>
    <definedName name="업무9904" hidden="1">{#N/A,#N/A,FALSE,"요약";#N/A,#N/A,FALSE,"보고목차";#N/A,#N/A,FALSE,"1)서비스접수";#N/A,#N/A,FALSE,"2)상담";#N/A,#N/A,FALSE,"2.월별접수추이현황";#N/A,#N/A,FALSE,"3.상담내용";#N/A,#N/A,FALSE,"4.미처리현황"}</definedName>
    <definedName name="업무배분3" hidden="1">{"'관경확장'!$A$79:$M$98","'관경확장'!$A$54:$M$78"}</definedName>
    <definedName name="업무비" hidden="1">{#N/A,#N/A,TRUE,"대외공문"}</definedName>
    <definedName name="업무연락2" hidden="1">{#N/A,#N/A,FALSE,"생산성";#N/A,#N/A,FALSE,"인력1";#N/A,#N/A,FALSE,"인력2";#N/A,#N/A,FALSE,"인력3";#N/A,#N/A,FALSE,"인건1";#N/A,#N/A,FALSE,"인건2";#N/A,#N/A,FALSE,"인건3";#N/A,#N/A,FALSE,"인원증감";#N/A,#N/A,FALSE,"인건증감";#N/A,#N/A,FALSE,"표지등"}</definedName>
    <definedName name="업무추진비" hidden="1">{#N/A,#N/A,FALSE,"이태원철근"}</definedName>
    <definedName name="업무추진비1" hidden="1">{#N/A,#N/A,FALSE,"이태원철근"}</definedName>
    <definedName name="업무협력비" hidden="1">#REF!</definedName>
    <definedName name="업비" hidden="1">{#N/A,#N/A,FALSE,"이태원철근"}</definedName>
    <definedName name="업종" hidden="1">{#N/A,#N/A,FALSE,"포장2"}</definedName>
    <definedName name="업체" hidden="1">#REF!</definedName>
    <definedName name="업체_1" hidden="1">{#N/A,#N/A,FALSE,"구조2"}</definedName>
    <definedName name="업체1" hidden="1">{#N/A,#N/A,FALSE,"구조2"}</definedName>
    <definedName name="업체3">#REF!</definedName>
    <definedName name="업체견적서" localSheetId="0">BlankMacro1</definedName>
    <definedName name="업체견적서">BlankMacro1</definedName>
    <definedName name="업체기성" localSheetId="0">BlankMacro1</definedName>
    <definedName name="업체기성">BlankMacro1</definedName>
    <definedName name="업체기성지급" localSheetId="0">BlankMacro1</definedName>
    <definedName name="업체기성지급">BlankMacro1</definedName>
    <definedName name="업체내역" hidden="1">{#N/A,#N/A,FALSE,"표지"}</definedName>
    <definedName name="업체단가">#REF!</definedName>
    <definedName name="업체리스트">#REF!</definedName>
    <definedName name="업체명">#REF!</definedName>
    <definedName name="업체벼래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hidden="1">{#N/A,#N/A,FALSE,"배수2"}</definedName>
    <definedName name="업체요건" hidden="1">{#N/A,#N/A,FALSE,"표지목차"}</definedName>
    <definedName name="업체형틀" hidden="1">{#N/A,#N/A,FALSE,"월공사비집계표양식 (7)";#N/A,#N/A,FALSE,"월공사비집계표양식 (7)"}</definedName>
    <definedName name="업체LST" hidden="1">#REF!</definedName>
    <definedName name="업추" hidden="1">{#N/A,#N/A,TRUE,"대외공문"}</definedName>
    <definedName name="업추비" hidden="1">{#N/A,#N/A,FALSE,"이태원철근"}</definedName>
    <definedName name="업추세부" hidden="1">{#N/A,#N/A,TRUE,"대외공문"}</definedName>
    <definedName name="업추세부2" hidden="1">{#N/A,#N/A,TRUE,"대외공문"}</definedName>
    <definedName name="없음" hidden="1">{#N/A,#N/A,TRUE,"대외공문"}</definedName>
    <definedName name="없음_1" hidden="1">{#N/A,#N/A,TRUE,"대외공문"}</definedName>
    <definedName name="없음_2" hidden="1">{#N/A,#N/A,TRUE,"대외공문"}</definedName>
    <definedName name="없음_3" hidden="1">{#N/A,#N/A,TRUE,"대외공문"}</definedName>
    <definedName name="엉" hidden="1">{#N/A,#N/A,FALSE,"부대2"}</definedName>
    <definedName name="엉렁로ㅓㅇ러ㅗㅇ" hidden="1">{#N/A,#N/A,FALSE,"표지목차"}</definedName>
    <definedName name="엉머" hidden="1">{#N/A,#N/A,FALSE,"교리2"}</definedName>
    <definedName name="엉평ㄱㄹ" hidden="1">{#N/A,#N/A,FALSE,"2~8번"}</definedName>
    <definedName name="엊" localSheetId="0">BlankMacro1</definedName>
    <definedName name="엊">BlankMacro1</definedName>
    <definedName name="엏ㄷㅈㅎ" hidden="1">{#N/A,#N/A,FALSE,"조골재"}</definedName>
    <definedName name="에" hidden="1">#REF!</definedName>
    <definedName name="에154">#REF!</definedName>
    <definedName name="에라를">#REF!</definedName>
    <definedName name="에멀전페인트">#REF!</definedName>
    <definedName name="에스터">#REF!</definedName>
    <definedName name="엔치">#REF!</definedName>
    <definedName name="엘르빌정사서류" hidden="1">{#N/A,#N/A,FALSE,"Sheet1"}</definedName>
    <definedName name="엘지건설">#REF!</definedName>
    <definedName name="엥" hidden="1">{#N/A,#N/A,FALSE,"CCTV"}</definedName>
    <definedName name="여건22" hidden="1">#REF!</definedName>
    <definedName name="여건보고">#REF!</definedName>
    <definedName name="여과지동">#REF!</definedName>
    <definedName name="여덟월">#REF!</definedName>
    <definedName name="여분">#REF!</definedName>
    <definedName name="여비">#REF!</definedName>
    <definedName name="여섯월">#REF!</definedName>
    <definedName name="여수무선">#REF!</definedName>
    <definedName name="여유높이">#REF!</definedName>
    <definedName name="여유폭">#REF!</definedName>
    <definedName name="여의도">#REF!</definedName>
    <definedName name="여의도가치">OFFSET(#REF!,0,0,1,COUNTA(#REF!))</definedName>
    <definedName name="여의도수익률">OFFSET(#REF!,0,0,1,COUNTA(#REF!))</definedName>
    <definedName name="여의도수입">OFFSET(#REF!,0,0,1,COUNTA(#REF!))</definedName>
    <definedName name="여의도지출">OFFSET(#REF!,0,0,1,COUNTA(#REF!))</definedName>
    <definedName name="여의도NOI">OFFSET(#REF!,0,0,1,COUNTA(#REF!))</definedName>
    <definedName name="여자보통인부">#REF!</definedName>
    <definedName name="여자인부">#REF!</definedName>
    <definedName name="여주" hidden="1">0</definedName>
    <definedName name="여ㅓㅛㅓ">#REF!</definedName>
    <definedName name="여ㅜㅅㅅㄱㅇ" hidden="1">{#N/A,#N/A,FALSE,"골재소요량";#N/A,#N/A,FALSE,"골재소요량"}</definedName>
    <definedName name="여ㅣㅏ교ㅣㅕ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ㅏㅕㅛ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ㅛㅑㅓ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역______화______방______지______기">#REF!</definedName>
    <definedName name="역_T형옹벽_개소별명세">#REF!</definedName>
    <definedName name="역_T형옹벽_수량집계">#REF!</definedName>
    <definedName name="역가" localSheetId="0">BlankMacro1</definedName>
    <definedName name="역가">BlankMacro1</definedName>
    <definedName name="역사" hidden="1">#REF!</definedName>
    <definedName name="역옹벽">#REF!</definedName>
    <definedName name="역L형옹벽">#REF!</definedName>
    <definedName name="역T형" hidden="1">{#N/A,#N/A,FALSE,"2~8번"}</definedName>
    <definedName name="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___돌___공">#N/A</definedName>
    <definedName name="연___마___공">#REF!</definedName>
    <definedName name="연_면_적">#REF!</definedName>
    <definedName name="연1">#REF!</definedName>
    <definedName name="연강10">556000</definedName>
    <definedName name="연강13">553000</definedName>
    <definedName name="연강16">550000</definedName>
    <definedName name="연겅2" hidden="1">{#N/A,#N/A,FALSE,"단면 제원"}</definedName>
    <definedName name="연결관집계표" localSheetId="0">BlankMacro1</definedName>
    <definedName name="연결관집계표">BlankMacro1</definedName>
    <definedName name="연결단위1" hidden="1">{#N/A,#N/A,FALSE,"골재소요량";#N/A,#N/A,FALSE,"골재소요량"}</definedName>
    <definedName name="연결열부하">#REF!</definedName>
    <definedName name="연경1교" hidden="1">{#N/A,#N/A,FALSE,"단면 제원"}</definedName>
    <definedName name="연경1교1" hidden="1">{#N/A,#N/A,FALSE,"단면 제원"}</definedName>
    <definedName name="연경2교" hidden="1">{#N/A,#N/A,FALSE,"단면 제원"}</definedName>
    <definedName name="연금보">#REF!</definedName>
    <definedName name="연금보험">#REF!</definedName>
    <definedName name="연도" hidden="1">{#N/A,#N/A,FALSE,"전력간선"}</definedName>
    <definedName name="연도_1" hidden="1">{#N/A,#N/A,FALSE,"전력간선"}</definedName>
    <definedName name="연도.도금">#REF!</definedName>
    <definedName name="연도발주" hidden="1">{#N/A,#N/A,FALSE,"전력간선"}</definedName>
    <definedName name="연도발주_1" hidden="1">{#N/A,#N/A,FALSE,"전력간선"}</definedName>
    <definedName name="연동집계내역" hidden="1">#REF!</definedName>
    <definedName name="연동케이블" hidden="1">{#N/A,#N/A,FALSE,"현장 NCR 분석";#N/A,#N/A,FALSE,"현장품질감사";#N/A,#N/A,FALSE,"현장품질감사"}</definedName>
    <definedName name="연마공">#REF!</definedName>
    <definedName name="연마공001">#REF!</definedName>
    <definedName name="연마공002">#REF!</definedName>
    <definedName name="연마공011">#REF!</definedName>
    <definedName name="연마공982">#REF!</definedName>
    <definedName name="연마공991">#REF!</definedName>
    <definedName name="연마공992">#REF!</definedName>
    <definedName name="연마지">#REF!</definedName>
    <definedName name="연면적">#REF!</definedName>
    <definedName name="연면적_평">#REF!</definedName>
    <definedName name="연면적평">#REF!</definedName>
    <definedName name="연면적M2">#REF!</definedName>
    <definedName name="연못경">#N/A</definedName>
    <definedName name="연못노">#N/A</definedName>
    <definedName name="연못재">#N/A</definedName>
    <definedName name="연무" hidden="1">{#N/A,#N/A,FALSE,"기안지";#N/A,#N/A,FALSE,"통신지"}</definedName>
    <definedName name="연봉">#REF!</definedName>
    <definedName name="연속3M">#REF!</definedName>
    <definedName name="연속3Mu">#REF!</definedName>
    <definedName name="연습">#REF!</definedName>
    <definedName name="연습1">#REF!</definedName>
    <definedName name="연습2" hidden="1">#REF!</definedName>
    <definedName name="연습3">#REF!</definedName>
    <definedName name="연습9">#REF!</definedName>
    <definedName name="연습99">#REF!</definedName>
    <definedName name="연습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암">#REF!</definedName>
    <definedName name="연약지반보도구간" hidden="1">{#N/A,#N/A,FALSE,"운반시간"}</definedName>
    <definedName name="연이율">#REF!</definedName>
    <definedName name="연장">#REF!</definedName>
    <definedName name="연접도움말">#REF!</definedName>
    <definedName name="연접물량">#N/A</definedName>
    <definedName name="연집계" localSheetId="0">BlankMacro1</definedName>
    <definedName name="연집계">BlankMacro1</definedName>
    <definedName name="연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회">#REF!</definedName>
    <definedName name="열">#REF!</definedName>
    <definedName name="열교환기">#REF!</definedName>
    <definedName name="열둘월">#REF!</definedName>
    <definedName name="열량집계">#REF!</definedName>
    <definedName name="열월">#REF!</definedName>
    <definedName name="열차무선전화설비">#N/A</definedName>
    <definedName name="열하나월">#REF!</definedName>
    <definedName name="엵됼겨" hidden="1">{#N/A,#N/A,FALSE,"혼합골재"}</definedName>
    <definedName name="염" hidden="1">{#N/A,#N/A,FALSE,"전력간선"}</definedName>
    <definedName name="염색기술3" hidden="1">{#N/A,#N/A,TRUE,"손익보고"}</definedName>
    <definedName name="영">#REF!,#REF!</definedName>
    <definedName name="영_림__기_사">#N/A</definedName>
    <definedName name="영건" hidden="1">{#N/A,#N/A,FALSE,"현장 NCR 분석";#N/A,#N/A,FALSE,"현장품질감사";#N/A,#N/A,FALSE,"현장품질감사"}</definedName>
    <definedName name="영건2" hidden="1">{#N/A,#N/A,FALSE,"현장 NCR 분석";#N/A,#N/A,FALSE,"현장품질감사";#N/A,#N/A,FALSE,"현장품질감사"}</definedName>
    <definedName name="영견적수량" hidden="1">{#N/A,#N/A,FALSE,"기안지";#N/A,#N/A,FALSE,"통신지"}</definedName>
    <definedName name="영광">#REF!,#REF!</definedName>
    <definedName name="영광원자력56호기">#N/A</definedName>
    <definedName name="영남">#REF!</definedName>
    <definedName name="영동총" hidden="1">{#N/A,#N/A,TRUE,"대외공문"}</definedName>
    <definedName name="영동총_1" hidden="1">{#N/A,#N/A,TRUE,"대외공문"}</definedName>
    <definedName name="영동총_2" hidden="1">{#N/A,#N/A,TRUE,"대외공문"}</definedName>
    <definedName name="영동총_3" hidden="1">{#N/A,#N/A,TRUE,"대외공문"}</definedName>
    <definedName name="영문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미">#REF!</definedName>
    <definedName name="영산홍">#REF!</definedName>
    <definedName name="영산홍10노무">#REF!</definedName>
    <definedName name="영산홍10재료">#REF!</definedName>
    <definedName name="영산홍3노무">#REF!</definedName>
    <definedName name="영산홍3재료">#REF!</definedName>
    <definedName name="영산홍4노무">#REF!</definedName>
    <definedName name="영산홍4재료">#REF!</definedName>
    <definedName name="영산홍5노무">#REF!</definedName>
    <definedName name="영산홍5재료">#REF!</definedName>
    <definedName name="영산홍6노무">#REF!</definedName>
    <definedName name="영산홍6재료">#REF!</definedName>
    <definedName name="영산홍H0.3">#REF!</definedName>
    <definedName name="영암실행" hidden="1">{#N/A,#N/A,FALSE,"전력간선"}</definedName>
    <definedName name="영업" hidden="1">{#N/A,#N/A,FALSE,"지침";#N/A,#N/A,FALSE,"환경분석";#N/A,#N/A,FALSE,"Sheet16"}</definedName>
    <definedName name="영업법인세">#REF!</definedName>
    <definedName name="영업소" hidden="1">{#N/A,#N/A,FALSE,"기안지";#N/A,#N/A,FALSE,"통신지"}</definedName>
    <definedName name="영업외" hidden="1">#REF!</definedName>
    <definedName name="영업외손익">#REF!</definedName>
    <definedName name="영업외수" hidden="1">#REF!</definedName>
    <definedName name="영업외수익.비용">#REF!</definedName>
    <definedName name="영업외수익.비용.">#REF!</definedName>
    <definedName name="영업외수익비용">#REF!</definedName>
    <definedName name="영업이익" hidden="1">{#N/A,#N/A,FALSE,"지침";#N/A,#N/A,FALSE,"환경분석";#N/A,#N/A,FALSE,"Sheet16"}</definedName>
    <definedName name="영업지원">#REF!</definedName>
    <definedName name="영업현금" hidden="1">{#N/A,#N/A,FALSE,"지침";#N/A,#N/A,FALSE,"환경분석";#N/A,#N/A,FALSE,"Sheet16"}</definedName>
    <definedName name="영역">#REF!</definedName>
    <definedName name="영역1">#REF!</definedName>
    <definedName name="영영영"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영원" hidden="1">{#N/A,#N/A,FALSE,"현장 NCR 분석";#N/A,#N/A,FALSE,"현장품질감사";#N/A,#N/A,FALSE,"현장품질감사"}</definedName>
    <definedName name="영원무역" hidden="1">{#N/A,#N/A,TRUE,"총괄"}</definedName>
    <definedName name="영조" hidden="1">{#N/A,#N/A,FALSE,"전력간선"}</definedName>
    <definedName name="영종" hidden="1">{#N/A,#N/A,FALSE,"CCTV"}</definedName>
    <definedName name="영천">#REF!</definedName>
    <definedName name="영풍산업" hidden="1">{#N/A,#N/A,FALSE,"현장 NCR 분석";#N/A,#N/A,FALSE,"현장품질감사";#N/A,#N/A,FALSE,"현장품질감사"}</definedName>
    <definedName name="영풍산업_1" hidden="1">{#N/A,#N/A,FALSE,"현장 NCR 분석";#N/A,#N/A,FALSE,"현장품질감사";#N/A,#N/A,FALSE,"현장품질감사"}</definedName>
    <definedName name="영풍산업_2" hidden="1">{#N/A,#N/A,FALSE,"현장 NCR 분석";#N/A,#N/A,FALSE,"현장품질감사";#N/A,#N/A,FALSE,"현장품질감사"}</definedName>
    <definedName name="영풍산업_3" hidden="1">{#N/A,#N/A,FALSE,"현장 NCR 분석";#N/A,#N/A,FALSE,"현장품질감사";#N/A,#N/A,FALSE,"현장품질감사"}</definedName>
    <definedName name="영하">#REF!</definedName>
    <definedName name="예">#REF!</definedName>
    <definedName name="예가1">#REF!</definedName>
    <definedName name="예가10">#REF!</definedName>
    <definedName name="예가11">#REF!</definedName>
    <definedName name="예가12">#REF!</definedName>
    <definedName name="예가13">#REF!</definedName>
    <definedName name="예가14">#REF!</definedName>
    <definedName name="예가15">#REF!</definedName>
    <definedName name="예가2">#REF!</definedName>
    <definedName name="예가3">#REF!</definedName>
    <definedName name="예가4">#REF!</definedName>
    <definedName name="예가5">#REF!</definedName>
    <definedName name="예가6">#REF!</definedName>
    <definedName name="예가7">#REF!</definedName>
    <definedName name="예가8">#REF!</definedName>
    <definedName name="예가9">#REF!</definedName>
    <definedName name="예가기초">#REF!</definedName>
    <definedName name="예산" hidden="1">{"'매출계획'!$D$2"}</definedName>
    <definedName name="예산_3" hidden="1">{#N/A,#N/A,FALSE,"사업총괄";#N/A,#N/A,FALSE,"장비사업";#N/A,#N/A,FALSE,"철구사업";#N/A,#N/A,FALSE,"준설사업"}</definedName>
    <definedName name="예산갑지2" localSheetId="0">Dlog_Show</definedName>
    <definedName name="예산갑지2">Dlog_Show</definedName>
    <definedName name="예산내역" hidden="1">{#N/A,#N/A,FALSE,"이태원철근"}</definedName>
    <definedName name="예산내역GI"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예산서">#REF!</definedName>
    <definedName name="예산서1">#N/A</definedName>
    <definedName name="예산요" hidden="1">{#N/A,#N/A,FALSE,"사업총괄";#N/A,#N/A,FALSE,"장비사업";#N/A,#N/A,FALSE,"철구사업";#N/A,#N/A,FALSE,"준설사업"}</definedName>
    <definedName name="예산요약3" hidden="1">{#N/A,#N/A,FALSE,"사업총괄";#N/A,#N/A,FALSE,"장비사업";#N/A,#N/A,FALSE,"철구사업";#N/A,#N/A,FALSE,"준설사업"}</definedName>
    <definedName name="예산조서" hidden="1">{#N/A,#N/A,FALSE,"현장 NCR 분석";#N/A,#N/A,FALSE,"현장품질감사";#N/A,#N/A,FALSE,"현장품질감사"}</definedName>
    <definedName name="예산집계">#REF!</definedName>
    <definedName name="예산집계1">#REF!</definedName>
    <definedName name="예산집계표1">#REF!</definedName>
    <definedName name="예산표">#N/A</definedName>
    <definedName name="예상">{"Book1","킥오프원.xls","킥오프투.xls","덕소킥오프31.27xls.xls"}</definedName>
    <definedName name="예상계획" hidden="1">{#N/A,#N/A,FALSE,"집계표"}</definedName>
    <definedName name="예상도급내역" hidden="1">{#N/A,#N/A,FALSE,"CCTV"}</definedName>
    <definedName name="예스폼">#REF!</definedName>
    <definedName name="예시11" hidden="1">{#N/A,#N/A,FALSE,"생산성";#N/A,#N/A,FALSE,"인력1";#N/A,#N/A,FALSE,"인력2";#N/A,#N/A,FALSE,"인력3";#N/A,#N/A,FALSE,"인건1";#N/A,#N/A,FALSE,"인건2";#N/A,#N/A,FALSE,"인건3";#N/A,#N/A,FALSE,"인원증감";#N/A,#N/A,FALSE,"인건증감";#N/A,#N/A,FALSE,"표지등"}</definedName>
    <definedName name="예신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예정" hidden="1">{#N/A,#N/A,TRUE,"1";#N/A,#N/A,TRUE,"2";#N/A,#N/A,TRUE,"3";#N/A,#N/A,TRUE,"4";#N/A,#N/A,TRUE,"5";#N/A,#N/A,TRUE,"6";#N/A,#N/A,TRUE,"7"}</definedName>
    <definedName name="예정가" hidden="1">{#N/A,#N/A,FALSE,"포장2"}</definedName>
    <definedName name="예정공정표">#REF!</definedName>
    <definedName name="예정공정표4월분" hidden="1">{#N/A,#N/A,TRUE,"1";#N/A,#N/A,TRUE,"2";#N/A,#N/A,TRUE,"3";#N/A,#N/A,TRUE,"4";#N/A,#N/A,TRUE,"5";#N/A,#N/A,TRUE,"6";#N/A,#N/A,TRUE,"7"}</definedName>
    <definedName name="예정공정표제출" hidden="1">{#N/A,#N/A,FALSE,"손익표지";#N/A,#N/A,FALSE,"손익계산";#N/A,#N/A,FALSE,"일반관리비";#N/A,#N/A,FALSE,"영업외수익";#N/A,#N/A,FALSE,"영업외비용";#N/A,#N/A,FALSE,"매출액";#N/A,#N/A,FALSE,"요약손익";#N/A,#N/A,FALSE,"요약대차";#N/A,#N/A,FALSE,"매출채권현황";#N/A,#N/A,FALSE,"매출채권명세"}</definedName>
    <definedName name="오">#REF!</definedName>
    <definedName name="오." hidden="1">{#N/A,#N/A,FALSE,"UNIT";#N/A,#N/A,FALSE,"UNIT";#N/A,#N/A,FALSE,"계정"}</definedName>
    <definedName name="오.." hidden="1">{#N/A,#N/A,FALSE,"UNIT";#N/A,#N/A,FALSE,"UNIT";#N/A,#N/A,FALSE,"계정"}</definedName>
    <definedName name="오1">#REF!</definedName>
    <definedName name="오2">#REF!</definedName>
    <definedName name="오3">#REF!</definedName>
    <definedName name="오골" hidden="1">{#N/A,#N/A,FALSE,"단가표지"}</definedName>
    <definedName name="오공" hidden="1">{#N/A,#N/A,FALSE,"단가표지"}</definedName>
    <definedName name="오교소" hidden="1">{#N/A,#N/A,FALSE,"조골재"}</definedName>
    <definedName name="오나멘트">#REF!</definedName>
    <definedName name="오남" hidden="1">{#N/A,#N/A,FALSE,"현장 NCR 분석";#N/A,#N/A,FALSE,"현장품질감사";#N/A,#N/A,FALSE,"현장품질감사"}</definedName>
    <definedName name="오남2" hidden="1">{#N/A,#N/A,FALSE,"현장 NCR 분석";#N/A,#N/A,FALSE,"현장품질감사";#N/A,#N/A,FALSE,"현장품질감사"}</definedName>
    <definedName name="오늘" hidden="1">{#N/A,#N/A,FALSE,"생산성";#N/A,#N/A,FALSE,"인력1";#N/A,#N/A,FALSE,"인력2";#N/A,#N/A,FALSE,"인력3";#N/A,#N/A,FALSE,"인건1";#N/A,#N/A,FALSE,"인건2";#N/A,#N/A,FALSE,"인건3";#N/A,#N/A,FALSE,"인원증감";#N/A,#N/A,FALSE,"인건증감";#N/A,#N/A,FALSE,"표지등"}</definedName>
    <definedName name="오늘도">{"Book1","TOTAL.xls"}</definedName>
    <definedName name="오라1">#REF!</definedName>
    <definedName name="오랴대ㅕㄱㄹ" hidden="1">{#N/A,#N/A,FALSE,"2~8번"}</definedName>
    <definedName name="오러기" hidden="1">{#N/A,#N/A,FALSE,"골재소요량";#N/A,#N/A,FALSE,"골재소요량"}</definedName>
    <definedName name="오렫ㄹ" hidden="1">{#N/A,#N/A,FALSE,"조골재"}</definedName>
    <definedName name="오료ㅕㄱㄷㄹ" hidden="1">{#N/A,#N/A,FALSE,"운반시간"}</definedName>
    <definedName name="오룓ㄹ" hidden="1">{#N/A,#N/A,FALSE,"2~8번"}</definedName>
    <definedName name="오리" hidden="1">#REF!</definedName>
    <definedName name="오만원">#REF!</definedName>
    <definedName name="오배수" hidden="1">{#N/A,#N/A,TRUE,"천상그린44PY"}</definedName>
    <definedName name="오배수배관">#REF!</definedName>
    <definedName name="오배수입상" hidden="1">{#N/A,#N/A,TRUE,"천상그린44PY"}</definedName>
    <definedName name="오번">#REF!</definedName>
    <definedName name="오번세대수">#REF!</definedName>
    <definedName name="오벽높이">#REF!</definedName>
    <definedName name="오성엽" hidden="1">{#N/A,#N/A,FALSE,"생산성";#N/A,#N/A,FALSE,"인력1";#N/A,#N/A,FALSE,"인력2";#N/A,#N/A,FALSE,"인력3";#N/A,#N/A,FALSE,"인건1";#N/A,#N/A,FALSE,"인건2";#N/A,#N/A,FALSE,"인건3";#N/A,#N/A,FALSE,"인원증감";#N/A,#N/A,FALSE,"인건증감";#N/A,#N/A,FALSE,"표지등"}</definedName>
    <definedName name="오수" hidden="1">{#N/A,#N/A,FALSE,"포장단가"}</definedName>
    <definedName name="오수공">#REF!</definedName>
    <definedName name="오수관1" localSheetId="0">BlankMacro1</definedName>
    <definedName name="오수관1">BlankMacro1</definedName>
    <definedName name="오수관로연장조서2" hidden="1">{#N/A,#N/A,FALSE,"운반시간"}</definedName>
    <definedName name="오수맨홀위치">{"'Sheet1'!$A$4","'Sheet1'!$A$9:$G$28"}</definedName>
    <definedName name="오수수리계산">#REF!</definedName>
    <definedName name="오수중계지급">[0]!gpgmd</definedName>
    <definedName name="오수토공" hidden="1">{#N/A,#N/A,FALSE,"기안지";#N/A,#N/A,FALSE,"통신지"}</definedName>
    <definedName name="오수토공_1" hidden="1">{#N/A,#N/A,FALSE,"기안지";#N/A,#N/A,FALSE,"통신지"}</definedName>
    <definedName name="오십만원">#REF!</definedName>
    <definedName name="오ㅇ" hidden="1">{#N/A,#N/A,FALSE,"기안지";#N/A,#N/A,FALSE,"통신지"}</definedName>
    <definedName name="오영한"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오영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오오" localSheetId="0">BlankMacro1</definedName>
    <definedName name="오오">BlankMacro1</definedName>
    <definedName name="오오오">#REF!</definedName>
    <definedName name="오오오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오오오">#N/A</definedName>
    <definedName name="오옹벽">#N/A</definedName>
    <definedName name="오욝" hidden="1">{#N/A,#N/A,FALSE,"조골재"}</definedName>
    <definedName name="오월">#REF!</definedName>
    <definedName name="오전">#REF!</definedName>
    <definedName name="오주1호">#REF!</definedName>
    <definedName name="오주2호">#REF!</definedName>
    <definedName name="오주3호">#REF!</definedName>
    <definedName name="오주4호">#REF!</definedName>
    <definedName name="오천원">#REF!</definedName>
    <definedName name="오천원이하">#REF!</definedName>
    <definedName name="오케" hidden="1">#REF!</definedName>
    <definedName name="오케이">#REF!</definedName>
    <definedName name="오폐수시설" hidden="1">{#N/A,#N/A,FALSE,"명세표"}</definedName>
    <definedName name="오프로">#REF!</definedName>
    <definedName name="오호표">#REF!</definedName>
    <definedName name="오호ㅛㅎ" hidden="1">{#N/A,#N/A,FALSE,"골재소요량";#N/A,#N/A,FALSE,"골재소요량"}</definedName>
    <definedName name="오홇" hidden="1">{#N/A,#N/A,FALSE,"단가표지"}</definedName>
    <definedName name="오효ㅕㄱㅎㄱ" hidden="1">{#N/A,#N/A,FALSE,"운반시간"}</definedName>
    <definedName name="오후" hidden="1">{#N/A,#N/A,FALSE,"단가표지"}</definedName>
    <definedName name="오흋ㅇ" hidden="1">{#N/A,#N/A,FALSE,"골재소요량";#N/A,#N/A,FALSE,"골재소요량"}</definedName>
    <definedName name="오ㅓㄹ호" hidden="1">{#N/A,#N/A,FALSE,"골재소요량";#N/A,#N/A,FALSE,"골재소요량"}</definedName>
    <definedName name="오ㅓ러ㅏ"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오ㅓ로ㅗㄹ" hidden="1">{#N/A,#N/A,FALSE,"혼합골재"}</definedName>
    <definedName name="오ㅓㅎㄱㄷ" hidden="1">{#N/A,#N/A,FALSE,"단가표지"}</definedName>
    <definedName name="오ㅓㅎ룡ㄹ" hidden="1">{#N/A,#N/A,FALSE,"운반시간"}</definedName>
    <definedName name="오ㅓ횬ㄷㄹ" hidden="1">{#N/A,#N/A,FALSE,"혼합골재"}</definedName>
    <definedName name="오ㅓ횯ㄹ" hidden="1">{#N/A,#N/A,FALSE,"표지목차"}</definedName>
    <definedName name="오ㅓㅏ횶" hidden="1">{#N/A,#N/A,FALSE,"골재소요량";#N/A,#N/A,FALSE,"골재소요량"}</definedName>
    <definedName name="오ㅕㄱㅎㄱ" hidden="1">{#N/A,#N/A,FALSE,"표지목차"}</definedName>
    <definedName name="오ㅕㅎ" hidden="1">{#N/A,#N/A,FALSE,"2~8번"}</definedName>
    <definedName name="오ㅗ">#N/A</definedName>
    <definedName name="오ㅗㅓㅗ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ㅛㄱ" hidden="1">{#N/A,#N/A,FALSE,"조골재"}</definedName>
    <definedName name="오ㅛㄹ" hidden="1">{#N/A,#N/A,FALSE,"2~8번"}</definedName>
    <definedName name="오ㅛㅇㄹ" hidden="1">{#N/A,#N/A,FALSE,"혼합골재"}</definedName>
    <definedName name="오ㅠ쵸얄ㄷ" hidden="1">{#N/A,#N/A,FALSE,"운반시간"}</definedName>
    <definedName name="오ㅠㄿ" hidden="1">{#N/A,#N/A,FALSE,"조골재"}</definedName>
    <definedName name="옥">#REF!</definedName>
    <definedName name="옥내" hidden="1">{#N/A,#N/A,FALSE,"이태원철근"}</definedName>
    <definedName name="옥ㄹ" hidden="1">{#N/A,#N/A,FALSE,"조골재"}</definedName>
    <definedName name="옥매화6노무">#REF!</definedName>
    <definedName name="옥매화6재료">#REF!</definedName>
    <definedName name="옥상_계단_배수구_덮개_미설치">#REF!</definedName>
    <definedName name="옥상난간대">#REF!</definedName>
    <definedName name="옥상난간대노">#REF!</definedName>
    <definedName name="옥외공사" hidden="1">{#N/A,#N/A,FALSE,"이태원철근"}</definedName>
    <definedName name="옥외공사_1" hidden="1">{#N/A,#N/A,FALSE,"이태원철근"}</definedName>
    <definedName name="옥외공사_2" hidden="1">{#N/A,#N/A,FALSE,"이태원철근"}</definedName>
    <definedName name="옥외공사_3" hidden="1">{#N/A,#N/A,FALSE,"이태원철근"}</definedName>
    <definedName name="옥외대비" hidden="1">{#N/A,#N/A,FALSE,"이태원철근"}</definedName>
    <definedName name="옥외대비_1" hidden="1">{#N/A,#N/A,FALSE,"이태원철근"}</definedName>
    <definedName name="옥외대비_2" hidden="1">{#N/A,#N/A,FALSE,"이태원철근"}</definedName>
    <definedName name="옥외대비_3" hidden="1">{#N/A,#N/A,FALSE,"이태원철근"}</definedName>
    <definedName name="옥외대비_4" hidden="1">{#N/A,#N/A,FALSE,"이태원철근"}</definedName>
    <definedName name="옥외등철거공구손료">#REF!</definedName>
    <definedName name="옥외등철거공비">#REF!</definedName>
    <definedName name="옥외토공" localSheetId="0">BlankMacro1</definedName>
    <definedName name="옥외토공">BlankMacro1</definedName>
    <definedName name="옥잠화3노무">#REF!</definedName>
    <definedName name="옥잠화3재료">#REF!</definedName>
    <definedName name="옥잠화5노무">#REF!</definedName>
    <definedName name="옥잠화5재료">#REF!</definedName>
    <definedName name="옥탑층" hidden="1">{#N/A,#N/A,FALSE,"Sheet1"}</definedName>
    <definedName name="옥향">#REF!</definedName>
    <definedName name="옥향10노무">#REF!</definedName>
    <definedName name="옥향10재료">#REF!</definedName>
    <definedName name="옥향4노무">#REF!</definedName>
    <definedName name="옥향4재료">#REF!</definedName>
    <definedName name="옥향5노무">#REF!</definedName>
    <definedName name="옥향5재료">#REF!</definedName>
    <definedName name="옥향6노무">#REF!</definedName>
    <definedName name="옥향6재료">#REF!</definedName>
    <definedName name="옥향8노무">#REF!</definedName>
    <definedName name="옥향8재료">#REF!</definedName>
    <definedName name="옥향H0.5">#REF!</definedName>
    <definedName name="온___돌___공">#N/A</definedName>
    <definedName name="온도">#REF!</definedName>
    <definedName name="온도조절">#REF!</definedName>
    <definedName name="온도조절열량">#REF!</definedName>
    <definedName name="온돌마루" hidden="1">{#N/A,#N/A,TRUE,"대외공문"}</definedName>
    <definedName name="온라인">#REF!</definedName>
    <definedName name="온ㅁ이">#REF!</definedName>
    <definedName name="온수보일러">#REF!</definedName>
    <definedName name="온ㄳ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옫룔ㅇ" hidden="1">{#N/A,#N/A,FALSE,"단가표지"}</definedName>
    <definedName name="올ㅇ숈ㄱ" hidden="1">{#N/A,#N/A,FALSE,"혼합골재"}</definedName>
    <definedName name="올욜" hidden="1">{#N/A,#N/A,FALSE,"2~8번"}</definedName>
    <definedName name="올욣ㅇㄴ" hidden="1">{#N/A,#N/A,FALSE,"단가표지"}</definedName>
    <definedName name="올혹됴" hidden="1">{#N/A,#N/A,FALSE,"단가표지"}</definedName>
    <definedName name="올훀" hidden="1">{#N/A,#N/A,FALSE,"혼합골재"}</definedName>
    <definedName name="옳ㄱ" hidden="1">{#N/A,#N/A,FALSE,"골재소요량";#N/A,#N/A,FALSE,"골재소요량"}</definedName>
    <definedName name="옳ㄱㄷ" hidden="1">{#N/A,#N/A,FALSE,"단가표지"}</definedName>
    <definedName name="옳ㄴㅇㅎ.ㅇㅎ로" hidden="1">{#N/A,#N/A,FALSE,"배수2"}</definedName>
    <definedName name="옳둉" hidden="1">{#N/A,#N/A,FALSE,"조골재"}</definedName>
    <definedName name="옳ㅇ로" hidden="1">{#N/A,#N/A,FALSE,"손익표지";#N/A,#N/A,FALSE,"손익계산";#N/A,#N/A,FALSE,"일반관리비";#N/A,#N/A,FALSE,"영업외수익";#N/A,#N/A,FALSE,"영업외비용";#N/A,#N/A,FALSE,"매출액";#N/A,#N/A,FALSE,"요약손익";#N/A,#N/A,FALSE,"요약대차";#N/A,#N/A,FALSE,"매출채권현황";#N/A,#N/A,FALSE,"매출채권명세"}</definedName>
    <definedName name="옴오ㅓ" hidden="1">{#N/A,#N/A,FALSE,"교리2"}</definedName>
    <definedName name="옵션">#REF!</definedName>
    <definedName name="옹" hidden="1">{#N/A,#N/A,FALSE,"골재소요량";#N/A,#N/A,FALSE,"골재소요량"}</definedName>
    <definedName name="옹2되">#REF!</definedName>
    <definedName name="옹2부">#REF!</definedName>
    <definedName name="옹2블캡">#REF!</definedName>
    <definedName name="옹2블표">#REF!</definedName>
    <definedName name="옹2상">#REF!</definedName>
    <definedName name="옹2속">#REF!</definedName>
    <definedName name="옹2잔">#REF!</definedName>
    <definedName name="옹2잡">#REF!</definedName>
    <definedName name="옹2지1">#REF!</definedName>
    <definedName name="옹2지2">#REF!</definedName>
    <definedName name="옹2지3">#REF!</definedName>
    <definedName name="옹2터">#REF!</definedName>
    <definedName name="옹2합">#REF!</definedName>
    <definedName name="옹되">#REF!</definedName>
    <definedName name="옹ㄹ" hidden="1">{#N/A,#N/A,FALSE,"조골재"}</definedName>
    <definedName name="옹벼집계" hidden="1">{#N/A,#N/A,FALSE,"혼합골재"}</definedName>
    <definedName name="옹벽" hidden="1">{#N/A,#N/A,FALSE,"혼합골재"}</definedName>
    <definedName name="옹벽111" hidden="1">{#N/A,#N/A,FALSE,"단가표지"}</definedName>
    <definedName name="옹벽2">#N/A</definedName>
    <definedName name="옹벽공" hidden="1">#REF!</definedName>
    <definedName name="옹벽공사">#REF!</definedName>
    <definedName name="옹벽공사1">#REF!</definedName>
    <definedName name="옹벽공집계표">#REF!</definedName>
    <definedName name="옹벽내역" hidden="1">#REF!</definedName>
    <definedName name="옹벽단위" hidden="1">#REF!</definedName>
    <definedName name="옹벽단위수량" hidden="1">{#N/A,#N/A,FALSE,"혼합골재"}</definedName>
    <definedName name="옹벽부용수로">#REF!</definedName>
    <definedName name="옹벽부용수로2">#REF!</definedName>
    <definedName name="옹벽수량" hidden="1">#REF!</definedName>
    <definedName name="옹벽수량산출2.0" hidden="1">#REF!</definedName>
    <definedName name="옹벽수량집계표" hidden="1">{#N/A,#N/A,FALSE,"2~8번"}</definedName>
    <definedName name="옹벽수량집계표총괄" hidden="1">{#N/A,#N/A,FALSE,"혼합골재"}</definedName>
    <definedName name="옹벽지" hidden="1">{#N/A,#N/A,FALSE,"혼합골재"}</definedName>
    <definedName name="옹벽집계" hidden="1">#REF!</definedName>
    <definedName name="옹벽토공산출" hidden="1">#REF!</definedName>
    <definedName name="옹부">#REF!</definedName>
    <definedName name="옹블캡">#REF!</definedName>
    <definedName name="옹블표">#REF!</definedName>
    <definedName name="옹상">#REF!</definedName>
    <definedName name="옹속">#REF!</definedName>
    <definedName name="옹잔">#REF!</definedName>
    <definedName name="옹잡">#REF!</definedName>
    <definedName name="옹지1">#REF!</definedName>
    <definedName name="옹지2">#REF!</definedName>
    <definedName name="옹지3">#REF!</definedName>
    <definedName name="옹터">#REF!</definedName>
    <definedName name="옹합">#REF!</definedName>
    <definedName name="옾ㅎ룔ㅇㄴ" hidden="1">{#N/A,#N/A,FALSE,"단가표지"}</definedName>
    <definedName name="옿ㄱ" hidden="1">{#N/A,#N/A,FALSE,"운반시간"}</definedName>
    <definedName name="옿ㄱㅎ" hidden="1">{#N/A,#N/A,FALSE,"단가표지"}</definedName>
    <definedName name="옿굫" hidden="1">{#N/A,#N/A,FALSE,"운반시간"}</definedName>
    <definedName name="옿ㄹ됻" hidden="1">{#N/A,#N/A,FALSE,"단가표지"}</definedName>
    <definedName name="옿ㄹ숒" hidden="1">{#N/A,#N/A,FALSE,"단가표지"}</definedName>
    <definedName name="옿룓" hidden="1">{#N/A,#N/A,FALSE,"단가표지"}</definedName>
    <definedName name="옿룕" hidden="1">{#N/A,#N/A,FALSE,"골재소요량";#N/A,#N/A,FALSE,"골재소요량"}</definedName>
    <definedName name="옿숑ㄽㄴ" hidden="1">{#N/A,#N/A,FALSE,"단가표지"}</definedName>
    <definedName name="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와이드형" hidden="1">#REF!</definedName>
    <definedName name="와이아메쉬깔기">#REF!</definedName>
    <definedName name="와이어노무">#REF!</definedName>
    <definedName name="와이어메쉬">#REF!</definedName>
    <definedName name="와이어메쉬노">#REF!</definedName>
    <definedName name="와이어재료">#REF!</definedName>
    <definedName name="완공">#REF!</definedName>
    <definedName name="완공3" hidden="1">#REF!</definedName>
    <definedName name="完工工事_計">#N/A</definedName>
    <definedName name="완도" hidden="1">{#N/A,#N/A,FALSE,"포장2"}</definedName>
    <definedName name="완료">#REF!</definedName>
    <definedName name="완료예정일자1">#REF!</definedName>
    <definedName name="완료예정일자2">#REF!</definedName>
    <definedName name="완어" hidden="1">#REF!</definedName>
    <definedName name="왕림31_40">#REF!</definedName>
    <definedName name="왕림32_25">#REF!</definedName>
    <definedName name="왕림32_40">#REF!</definedName>
    <definedName name="왕림33_25">#REF!</definedName>
    <definedName name="왕림피시" hidden="1">#REF!</definedName>
    <definedName name="왕벗">#REF!</definedName>
    <definedName name="왕벚나무">#REF!</definedName>
    <definedName name="왕벚나무H4.5">#REF!</definedName>
    <definedName name="왕암내역">#REF!</definedName>
    <definedName name="왜" hidden="1">{#N/A,#N/A,FALSE,"기안지";#N/A,#N/A,FALSE,"통신지"}</definedName>
    <definedName name="왜2" hidden="1">{#N/A,#N/A,FALSE,"기안지";#N/A,#N/A,FALSE,"통신지"}</definedName>
    <definedName name="왜그래">#REF!</definedName>
    <definedName name="왜성도라지">#REF!</definedName>
    <definedName name="외">#REF!</definedName>
    <definedName name="외경높이">#N/A</definedName>
    <definedName name="외경폭">#N/A</definedName>
    <definedName name="외관디자인" hidden="1">{#N/A,#N/A,FALSE,"현장 NCR 분석";#N/A,#N/A,FALSE,"현장품질감사";#N/A,#N/A,FALSE,"현장품질감사"}</definedName>
    <definedName name="외등">#N/A</definedName>
    <definedName name="외벽">#REF!</definedName>
    <definedName name="외벽1">#REF!</definedName>
    <definedName name="외벽2">#REF!</definedName>
    <definedName name="외부">#REF!</definedName>
    <definedName name="외자"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외자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외주">#REF!</definedName>
    <definedName name="외주1">#REF!</definedName>
    <definedName name="외주견적대비">#REF!</definedName>
    <definedName name="외주견적의뢰">#REF!</definedName>
    <definedName name="외주견적의뢰2">#REF!</definedName>
    <definedName name="외주비" hidden="1">{#N/A,#N/A,FALSE,"기안지";#N/A,#N/A,FALSE,"통신지"}</definedName>
    <definedName name="외주비교" hidden="1">{#N/A,#N/A,FALSE,"결의서";#N/A,#N/A,FALSE,"내역서";#N/A,#N/A,FALSE,"도급예상";#N/A,#N/A,FALSE,"시방서"}</definedName>
    <definedName name="외주비율">#REF!</definedName>
    <definedName name="외주산출">{"'용역비'!$A$4:$C$8"}</definedName>
    <definedName name="외주의뢰1" hidden="1">#REF!</definedName>
    <definedName name="외주집계">{"'용역비'!$A$4:$C$8"}</definedName>
    <definedName name="외줍비">#N/A</definedName>
    <definedName name="외ㅐ니">#REF!</definedName>
    <definedName name="요동1호">#REF!</definedName>
    <definedName name="요동2호">#REF!</definedName>
    <definedName name="요리" hidden="1">{#N/A,#N/A,FALSE,"혼합골재"}</definedName>
    <definedName name="요샤ㅏ아히ㅏㅐㅛ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요약3" hidden="1">{#N/A,#N/A,FALSE,"사업총괄";#N/A,#N/A,FALSE,"장비사업";#N/A,#N/A,FALSE,"철구사업";#N/A,#N/A,FALSE,"준설사업"}</definedName>
    <definedName name="요약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문">#REF!</definedName>
    <definedName name="요약표" hidden="1">{#N/A,#N/A,FALSE,"생산성";#N/A,#N/A,FALSE,"인력1";#N/A,#N/A,FALSE,"인력2";#N/A,#N/A,FALSE,"인력3";#N/A,#N/A,FALSE,"인건1";#N/A,#N/A,FALSE,"인건2";#N/A,#N/A,FALSE,"인건3";#N/A,#N/A,FALSE,"인원증감";#N/A,#N/A,FALSE,"인건증감";#N/A,#N/A,FALSE,"표지등"}</definedName>
    <definedName name="요양상실" hidden="1">{#N/A,#N/A,FALSE,"단가표지"}</definedName>
    <definedName name="요울">#REF!</definedName>
    <definedName name="요울1">#REF!</definedName>
    <definedName name="요율">#REF!</definedName>
    <definedName name="요율인쇄">#REF!</definedName>
    <definedName name="요철개수">#REF!</definedName>
    <definedName name="요철거푸집">#REF!</definedName>
    <definedName name="요철거푸집노">#REF!</definedName>
    <definedName name="요철체적">#REF!</definedName>
    <definedName name="요호겫ㅎ" hidden="1">{#N/A,#N/A,FALSE,"혼합골재"}</definedName>
    <definedName name="욕실수납장노">#REF!</definedName>
    <definedName name="욕실수납재">#REF!</definedName>
    <definedName name="용" hidden="1">{#N/A,#N/A,FALSE,"구조1"}</definedName>
    <definedName name="용도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용동교" hidden="1">{#N/A,#N/A,FALSE,"배수1"}</definedName>
    <definedName name="용두동글로리" hidden="1">#REF!</definedName>
    <definedName name="용마" localSheetId="0">BlankMacro1</definedName>
    <definedName name="용마">BlankMacro1</definedName>
    <definedName name="용마1" localSheetId="0">BlankMacro1</definedName>
    <definedName name="용마1">BlankMacro1</definedName>
    <definedName name="용소1_40">#REF!</definedName>
    <definedName name="용소2_25">#REF!</definedName>
    <definedName name="용소2_40">#REF!</definedName>
    <definedName name="용소3_25">#REF!</definedName>
    <definedName name="용수">#REF!</definedName>
    <definedName name="용역">#REF!</definedName>
    <definedName name="용역비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용역투입현황1" hidden="1">#REF!</definedName>
    <definedName name="용용" hidden="1">{#N/A,#N/A,FALSE,"포장2"}</definedName>
    <definedName name="용용1" hidden="1">{#N/A,#N/A,FALSE,"포장2"}</definedName>
    <definedName name="용인">{"Book1","TOTAL.xls"}</definedName>
    <definedName name="용인1">{"Book1","TOTAL.xls"}</definedName>
    <definedName name="용인마북리" hidden="1">{#N/A,#N/A,FALSE,"사업총괄";#N/A,#N/A,FALSE,"장비사업";#N/A,#N/A,FALSE,"철구사업";#N/A,#N/A,FALSE,"준설사업"}</definedName>
    <definedName name="용인착공">#N/A</definedName>
    <definedName name="용인축산" hidden="1">{#N/A,#N/A,FALSE,"Sheet1"}</definedName>
    <definedName name="용접">#REF!</definedName>
    <definedName name="용접2004">#REF!</definedName>
    <definedName name="용접200경비">#REF!</definedName>
    <definedName name="용접300경비">#REF!</definedName>
    <definedName name="용접공">#REF!</definedName>
    <definedName name="용접공_일반">#REF!</definedName>
    <definedName name="용접공_일반001">#REF!</definedName>
    <definedName name="용접공_일반002">#REF!</definedName>
    <definedName name="용접공_일반011">#REF!</definedName>
    <definedName name="용접공_일반982">#REF!</definedName>
    <definedName name="용접공_일반991">#REF!</definedName>
    <definedName name="용접공_일반992">#REF!</definedName>
    <definedName name="용접공_철도">#REF!</definedName>
    <definedName name="용접공_철도001">#REF!</definedName>
    <definedName name="용접공_철도002">#REF!</definedName>
    <definedName name="용접공_철도011">#REF!</definedName>
    <definedName name="용접공_철도982">#REF!</definedName>
    <definedName name="용접공_철도991">#REF!</definedName>
    <definedName name="용접공_철도992">#REF!</definedName>
    <definedName name="용접공2004">#REF!</definedName>
    <definedName name="용접봉">#REF!</definedName>
    <definedName name="용접봉산출1" hidden="1">#REF!</definedName>
    <definedName name="용접식_이음">#REF!</definedName>
    <definedName name="용환" hidden="1">{#N/A,#N/A,FALSE,"기안지";#N/A,#N/A,FALSE,"통신지"}</definedName>
    <definedName name="우">#REF!</definedName>
    <definedName name="우___물___공">#N/A</definedName>
    <definedName name="우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가" hidden="1">{#N/A,#N/A,FALSE,"이태원철근"}</definedName>
    <definedName name="우강공감율">#REF!</definedName>
    <definedName name="우강기본율">#REF!</definedName>
    <definedName name="우강사업율">#REF!</definedName>
    <definedName name="우강세부율">#REF!</definedName>
    <definedName name="우경호1" hidden="1">{#N/A,#N/A,FALSE,"사업총괄";#N/A,#N/A,FALSE,"장비사업";#N/A,#N/A,FALSE,"철구사업";#N/A,#N/A,FALSE,"준설사업"}</definedName>
    <definedName name="우곡3교" hidden="1">#REF!</definedName>
    <definedName name="우남">#REF!</definedName>
    <definedName name="우너" hidden="1">#REF!</definedName>
    <definedName name="우너강ㅍㄹ" hidden="1">{#N/A,#N/A,FALSE,"지침";#N/A,#N/A,FALSE,"환경분석";#N/A,#N/A,FALSE,"Sheet16"}</definedName>
    <definedName name="우라나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록제">#REF!</definedName>
    <definedName name="우록제제방">#REF!</definedName>
    <definedName name="우료돋" hidden="1">{#N/A,#N/A,FALSE,"단가표지"}</definedName>
    <definedName name="우룓" hidden="1">{#N/A,#N/A,FALSE,"2~8번"}</definedName>
    <definedName name="우리" hidden="1">{#N/A,#N/A,FALSE,"이태원철근"}</definedName>
    <definedName name="우리_10_2">DG</definedName>
    <definedName name="우리_22_2" localSheetId="0">DGF_1</definedName>
    <definedName name="우리_22_2">DGF_1</definedName>
    <definedName name="우리_26_2" localSheetId="0">DGF_3</definedName>
    <definedName name="우리_26_2">DGF_3</definedName>
    <definedName name="우리_26_73">#N/A</definedName>
    <definedName name="우리_26_74">[0]!DGVAFD</definedName>
    <definedName name="우리_34_74">[0]!DISTANCE</definedName>
    <definedName name="우리_9_2">[0]!DJAJSL</definedName>
    <definedName name="우리_9_73">djdjdj</definedName>
    <definedName name="우리_9_74">djdjdj9</definedName>
    <definedName name="우리나라" hidden="1">{#N/A,#N/A,FALSE,"전력간선"}</definedName>
    <definedName name="우리빈" hidden="1">{"'용역비'!$A$4:$C$8"}</definedName>
    <definedName name="우림" hidden="1">{#N/A,#N/A,FALSE,"단가표지"}</definedName>
    <definedName name="우링" hidden="1">{#N/A,#N/A,FALSE,"현장 NCR 분석";#N/A,#N/A,FALSE,"현장품질감사";#N/A,#N/A,FALSE,"현장품질감사"}</definedName>
    <definedName name="우면" hidden="1">{#N/A,#N/A,FALSE,"현장IDEA공모"}</definedName>
    <definedName name="우물통_굴착토사">#REF!</definedName>
    <definedName name="우물통굴착_리핑암">#REF!</definedName>
    <definedName name="우물통굴착_발파암">#REF!</definedName>
    <definedName name="우물통제외" hidden="1">{#N/A,#N/A,FALSE,"골재소요량";#N/A,#N/A,FALSE,"골재소요량"}</definedName>
    <definedName name="우미" hidden="1">{#N/A,#N/A,FALSE,"단가표지"}</definedName>
    <definedName name="우배수공" hidden="1">{#N/A,#N/A,FALSE,"전력간선"}</definedName>
    <definedName name="우산">#REF!</definedName>
    <definedName name="우성">#REF!</definedName>
    <definedName name="우수">#REF!</definedName>
    <definedName name="우수13">#REF!</definedName>
    <definedName name="우수200수량" hidden="1">{#N/A,#N/A,FALSE,"운반시간"}</definedName>
    <definedName name="우수공">#REF!</definedName>
    <definedName name="우수관수량산출">#REF!</definedName>
    <definedName name="우수관집계" hidden="1">{#N/A,#N/A,FALSE,"포장단가"}</definedName>
    <definedName name="우수받이단량" localSheetId="0">BlankMacro1</definedName>
    <definedName name="우수받이단량">BlankMacro1</definedName>
    <definedName name="우수받이산근" hidden="1">{#N/A,#N/A,FALSE,"부대2"}</definedName>
    <definedName name="우수받이수량집계" localSheetId="0">BlankMacro1</definedName>
    <definedName name="우수받이수량집계">BlankMacro1</definedName>
    <definedName name="우수받이토공총집계표">#REF!</definedName>
    <definedName name="우수집수정" hidden="1">#REF!</definedName>
    <definedName name="우수총괄" hidden="1">{#N/A,#N/A,FALSE,"골재소요량";#N/A,#N/A,FALSE,"골재소요량"}</definedName>
    <definedName name="우오수공" hidden="1">{#N/A,#N/A,FALSE,"기안지";#N/A,#N/A,FALSE,"통신지"}</definedName>
    <definedName name="우오수공_1" hidden="1">{#N/A,#N/A,FALSE,"기안지";#N/A,#N/A,FALSE,"통신지"}</definedName>
    <definedName name="우우">#REF!</definedName>
    <definedName name="우우우">#REF!</definedName>
    <definedName name="우이사">#REF!</definedName>
    <definedName name="우일">#REF!</definedName>
    <definedName name="우절">#REF!</definedName>
    <definedName name="우출" localSheetId="0">BlankMacro1</definedName>
    <definedName name="우출">BlankMacro1</definedName>
    <definedName name="우측여분">#REF!</definedName>
    <definedName name="우편물반송함">#REF!</definedName>
    <definedName name="우편물수취함">#REF!</definedName>
    <definedName name="우ㅏ무리" hidden="1">{#N/A,#N/A,FALSE,"생산성";#N/A,#N/A,FALSE,"인력1";#N/A,#N/A,FALSE,"인력2";#N/A,#N/A,FALSE,"인력3";#N/A,#N/A,FALSE,"인건1";#N/A,#N/A,FALSE,"인건2";#N/A,#N/A,FALSE,"인건3";#N/A,#N/A,FALSE,"인원증감";#N/A,#N/A,FALSE,"인건증감";#N/A,#N/A,FALSE,"표지등"}</definedName>
    <definedName name="우ㅕㄱ혼" hidden="1">{#N/A,#N/A,FALSE,"골재소요량";#N/A,#N/A,FALSE,"골재소요량"}</definedName>
    <definedName name="우ㅗ륟ㄹㅇ" hidden="1">{#N/A,#N/A,FALSE,"전력간선"}</definedName>
    <definedName name="우ㅗ홓ㅇ" hidden="1">{#N/A,#N/A,FALSE,"조골재"}</definedName>
    <definedName name="우ㅛㄷ홍" hidden="1">{#N/A,#N/A,FALSE,"운반시간"}</definedName>
    <definedName name="우ㅛ동" hidden="1">{#N/A,#N/A,FALSE,"표지목차"}</definedName>
    <definedName name="운">#REF!</definedName>
    <definedName name="운1">#REF!</definedName>
    <definedName name="운가" hidden="1">{#N/A,#N/A,FALSE,"전력간선"}</definedName>
    <definedName name="운반">#REF!</definedName>
    <definedName name="운반2">#REF!</definedName>
    <definedName name="운반공">#REF!</definedName>
    <definedName name="운반구간">#REF!</definedName>
    <definedName name="운반량집계표" hidden="1">{#N/A,#N/A,FALSE,"전력간선"}</definedName>
    <definedName name="운반비">#REF!</definedName>
    <definedName name="운반비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운반비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운반비경비10">#REF!</definedName>
    <definedName name="운반비경비15">#REF!</definedName>
    <definedName name="운반비경비20">#REF!</definedName>
    <definedName name="운반비경비25">#REF!</definedName>
    <definedName name="운반비경비30">#REF!</definedName>
    <definedName name="운반비경비35">#REF!</definedName>
    <definedName name="운반비경비40">#REF!</definedName>
    <definedName name="운반비경비45">#REF!</definedName>
    <definedName name="운반비경비5">#REF!</definedName>
    <definedName name="운반비경비50">#REF!</definedName>
    <definedName name="운반비노무비10">#REF!</definedName>
    <definedName name="운반비노무비15">#REF!</definedName>
    <definedName name="운반비노무비20">#REF!</definedName>
    <definedName name="운반비노무비25">#REF!</definedName>
    <definedName name="운반비노무비30">#REF!</definedName>
    <definedName name="운반비노무비35">#REF!</definedName>
    <definedName name="운반비노무비40">#REF!</definedName>
    <definedName name="운반비노무비45">#REF!</definedName>
    <definedName name="운반비노무비5">#REF!</definedName>
    <definedName name="운반비노무비50">#REF!</definedName>
    <definedName name="운반비재료비10">#REF!</definedName>
    <definedName name="운반비재료비15">#REF!</definedName>
    <definedName name="운반비재료비20">#REF!</definedName>
    <definedName name="운반비재료비25">#REF!</definedName>
    <definedName name="운반비재료비30">#REF!</definedName>
    <definedName name="운반비재료비35">#REF!</definedName>
    <definedName name="운반비재료비40">#REF!</definedName>
    <definedName name="운반비재료비45">#REF!</definedName>
    <definedName name="운반비재료비5">#REF!</definedName>
    <definedName name="운반비재료비50">#REF!</definedName>
    <definedName name="운반산출">#REF!</definedName>
    <definedName name="운반시간" hidden="1">{#N/A,#N/A,FALSE,"운반시간"}</definedName>
    <definedName name="운반중량1" hidden="1">#REF!</definedName>
    <definedName name="운반집계" hidden="1">{#N/A,#N/A,FALSE,"전력간선"}</definedName>
    <definedName name="운반집계표" hidden="1">{#N/A,#N/A,FALSE,"전력간선"}</definedName>
    <definedName name="운반차">#REF!</definedName>
    <definedName name="운반차운전사">#REF!</definedName>
    <definedName name="운암">#REF!</definedName>
    <definedName name="운양건설" hidden="1">{#N/A,#N/A,FALSE,"단가표지"}</definedName>
    <definedName name="운영비" hidden="1">{#N/A,#N/A,FALSE,"단가표지"}</definedName>
    <definedName name="운잔">#REF!</definedName>
    <definedName name="운전">#REF!</definedName>
    <definedName name="운전기사">#REF!</definedName>
    <definedName name="운전사">#REF!</definedName>
    <definedName name="운전사_기계">#REF!</definedName>
    <definedName name="운전사_기계001">#REF!</definedName>
    <definedName name="운전사_기계002">#REF!</definedName>
    <definedName name="운전사_기계011">#REF!</definedName>
    <definedName name="운전사_기계982">#REF!</definedName>
    <definedName name="운전사_기계991">#REF!</definedName>
    <definedName name="운전사_기계992">#REF!</definedName>
    <definedName name="운전사_운반">#REF!</definedName>
    <definedName name="운전사_운반차">#REF!</definedName>
    <definedName name="운전사_운반차001">#REF!</definedName>
    <definedName name="운전사_운반차002">#REF!</definedName>
    <definedName name="운전사_운반차011">#REF!</definedName>
    <definedName name="운전사_운반차982">#REF!</definedName>
    <definedName name="운전사_운반차991">#REF!</definedName>
    <definedName name="운전사_운반차992">#REF!</definedName>
    <definedName name="운전조">#REF!</definedName>
    <definedName name="운전조수">#REF!</definedName>
    <definedName name="운호1호">#REF!</definedName>
    <definedName name="운호2호">#REF!</definedName>
    <definedName name="운호3호">#REF!</definedName>
    <definedName name="울경">#REF!</definedName>
    <definedName name="울노">#REF!</definedName>
    <definedName name="울사">#REF!</definedName>
    <definedName name="울사급">#REF!</definedName>
    <definedName name="울산" hidden="1">{#N/A,#N/A,FALSE,"물량산출"}</definedName>
    <definedName name="울산가치">OFFSET(#REF!,0,0,1,COUNTA(#REF!))</definedName>
    <definedName name="울산공실">OFFSET(#REF!,0,0,1,COUNT(#REF!))</definedName>
    <definedName name="울산노무" hidden="1">{#N/A,#N/A,FALSE,"손익표지";#N/A,#N/A,FALSE,"손익계산";#N/A,#N/A,FALSE,"일반관리비";#N/A,#N/A,FALSE,"영업외수익";#N/A,#N/A,FALSE,"영업외비용";#N/A,#N/A,FALSE,"매출액";#N/A,#N/A,FALSE,"요약손익";#N/A,#N/A,FALSE,"요약대차";#N/A,#N/A,FALSE,"매출채권현황";#N/A,#N/A,FALSE,"매출채권명세"}</definedName>
    <definedName name="울산수익률">OFFSET(#REF!,0,0,1,COUNTA(#REF!))</definedName>
    <definedName name="울산수입">OFFSET(#REF!,0,0,1,COUNTA(#REF!))</definedName>
    <definedName name="울산지출">OFFSET(#REF!,0,0,1,COUNTA(#REF!))</definedName>
    <definedName name="울산프랜지">#REF!</definedName>
    <definedName name="울산NOI">OFFSET(#REF!,0,0,1,COUNTA(#REF!))</definedName>
    <definedName name="울운">#REF!</definedName>
    <definedName name="울운반">#REF!</definedName>
    <definedName name="울재">#REF!</definedName>
    <definedName name="웃겨" localSheetId="0">BlankMacro1</definedName>
    <definedName name="웃겨">BlankMacro1</definedName>
    <definedName name="웃겨라" hidden="1">{#N/A,#N/A,FALSE,"운반시간"}</definedName>
    <definedName name="웃ㅇ국ㅇ" hidden="1">{#N/A,#N/A,FALSE,"혼합골재"}</definedName>
    <definedName name="우J">#REF!</definedName>
    <definedName name="원">#REF!</definedName>
    <definedName name="원_가_계_산_서">#REF!</definedName>
    <definedName name="원가">#N/A</definedName>
    <definedName name="원가_1" hidden="1">{#N/A,#N/A,FALSE,"운반시간"}</definedName>
    <definedName name="원가1" hidden="1">{#N/A,#N/A,FALSE,"현장 NCR 분석";#N/A,#N/A,FALSE,"현장품질감사";#N/A,#N/A,FALSE,"현장품질감사"}</definedName>
    <definedName name="원가2">#REF!</definedName>
    <definedName name="원가2안" hidden="1">{#N/A,#N/A,FALSE,"운반시간"}</definedName>
    <definedName name="원가45" hidden="1">{#N/A,#N/A,FALSE,"변경관리예산";#N/A,#N/A,FALSE,"변경장비예산";#N/A,#N/A,FALSE,"변경준설예산";#N/A,#N/A,FALSE,"변경철구예산"}</definedName>
    <definedName name="원가계">#REF!</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#N/A</definedName>
    <definedName name="원가계산1" hidden="1">{#N/A,#N/A,FALSE,"단가표지"}</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명">#REF!</definedName>
    <definedName name="원가계산서">#REF!</definedName>
    <definedName name="원가계산서1" hidden="1">{#N/A,#N/A,TRUE,"총괄"}</definedName>
    <definedName name="원가계산집계표">#REF!</definedName>
    <definedName name="원가계산창">[0]!___________A22</definedName>
    <definedName name="원가계산총괄표" hidden="1">{#N/A,#N/A,FALSE,"현장 NCR 분석";#N/A,#N/A,FALSE,"현장품질감사";#N/A,#N/A,FALSE,"현장품질감사"}</definedName>
    <definedName name="원가교정" hidden="1">{#N/A,#N/A,FALSE,"전열산출서"}</definedName>
    <definedName name="원가기계">{"Book1","수시.XLS"}</definedName>
    <definedName name="원가내역서">#REF!</definedName>
    <definedName name="원가내역서총괄표" hidden="1">{#N/A,#N/A,FALSE,"CCTV"}</definedName>
    <definedName name="원가보" hidden="1">{#N/A,#N/A,FALSE,"지침";#N/A,#N/A,FALSE,"환경분석";#N/A,#N/A,FALSE,"Sheet16"}</definedName>
    <definedName name="원가수정" hidden="1">{#N/A,#N/A,FALSE,"전열산출서"}</definedName>
    <definedName name="원가월별">#REF!</definedName>
    <definedName name="원가율" hidden="1">{#N/A,#N/A,FALSE,"운반시간"}</definedName>
    <definedName name="원가작성">#REF!</definedName>
    <definedName name="원가절감" hidden="1">{#N/A,#N/A,FALSE,"현장 NCR 분석";#N/A,#N/A,FALSE,"현장품질감사";#N/A,#N/A,FALSE,"현장품질감사"}</definedName>
    <definedName name="원가표" hidden="1">{#N/A,#N/A,FALSE,"명세표"}</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개발소">#REF!</definedName>
    <definedName name="원격검침" localSheetId="0">BlankMacro1</definedName>
    <definedName name="원격검침">BlankMacro1</definedName>
    <definedName name="원계획대비" hidden="1">{#N/A,#N/A,FALSE,"지침";#N/A,#N/A,FALSE,"환경분석";#N/A,#N/A,FALSE,"Sheet16"}</definedName>
    <definedName name="원금">#REF!</definedName>
    <definedName name="원기경">#REF!</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노">#REF!</definedName>
    <definedName name="원기재">#REF!</definedName>
    <definedName name="원길">#N/A</definedName>
    <definedName name="원길이">#N/A</definedName>
    <definedName name="원남내역" hidden="1">#REF!</definedName>
    <definedName name="원복경">#REF!</definedName>
    <definedName name="원복노">#REF!</definedName>
    <definedName name="원복재">#REF!</definedName>
    <definedName name="원본선투자잔액">{"'자리배치도'!$AG$1:$CI$28"}</definedName>
    <definedName name="원상경">#REF!</definedName>
    <definedName name="원상노">#REF!</definedName>
    <definedName name="원상재">#REF!</definedName>
    <definedName name="원아경">#REF!</definedName>
    <definedName name="원아노">#REF!</definedName>
    <definedName name="원아재">#REF!</definedName>
    <definedName name="원운1호">#REF!</definedName>
    <definedName name="원운2호">#REF!</definedName>
    <definedName name="원인" hidden="1">{#N/A,#N/A,FALSE,"지침";#N/A,#N/A,FALSE,"환경분석";#N/A,#N/A,FALSE,"Sheet16"}</definedName>
    <definedName name="원자" hidden="1">#REF!</definedName>
    <definedName name="원자력계장공">#REF!</definedName>
    <definedName name="원자력계장공001">#REF!</definedName>
    <definedName name="원자력계장공002">#REF!</definedName>
    <definedName name="원자력계장공011">#REF!</definedName>
    <definedName name="원자력계장공982">#REF!</definedName>
    <definedName name="원자력계장공991">#REF!</definedName>
    <definedName name="원자력계장공992">#REF!</definedName>
    <definedName name="원자력기계설치공">#REF!</definedName>
    <definedName name="원자력기계설치공001">#REF!</definedName>
    <definedName name="원자력기계설치공002">#REF!</definedName>
    <definedName name="원자력기계설치공011">#REF!</definedName>
    <definedName name="원자력기계설치공982">#REF!</definedName>
    <definedName name="원자력기계설치공991">#REF!</definedName>
    <definedName name="원자력기계설치공992">#REF!</definedName>
    <definedName name="원자력기술자">#REF!</definedName>
    <definedName name="원자력기술자001">#REF!</definedName>
    <definedName name="원자력기술자002">#REF!</definedName>
    <definedName name="원자력기술자011">#REF!</definedName>
    <definedName name="원자력기술자982">#REF!</definedName>
    <definedName name="원자력기술자991">#REF!</definedName>
    <definedName name="원자력기술자992">#REF!</definedName>
    <definedName name="원자력덕트공">#REF!</definedName>
    <definedName name="원자력덕트공001">#REF!</definedName>
    <definedName name="원자력덕트공002">#REF!</definedName>
    <definedName name="원자력덕트공011">#REF!</definedName>
    <definedName name="원자력덕트공982">#REF!</definedName>
    <definedName name="원자력덕트공991">#REF!</definedName>
    <definedName name="원자력덕트공992">#REF!</definedName>
    <definedName name="원자력배관공">#REF!</definedName>
    <definedName name="원자력배관공001">#REF!</definedName>
    <definedName name="원자력배관공002">#REF!</definedName>
    <definedName name="원자력배관공011">#REF!</definedName>
    <definedName name="원자력배관공982">#REF!</definedName>
    <definedName name="원자력배관공991">#REF!</definedName>
    <definedName name="원자력배관공992">#REF!</definedName>
    <definedName name="원자력보온공">#REF!</definedName>
    <definedName name="원자력보온공001">#REF!</definedName>
    <definedName name="원자력보온공002">#REF!</definedName>
    <definedName name="원자력보온공011">#REF!</definedName>
    <definedName name="원자력보온공982">#REF!</definedName>
    <definedName name="원자력보온공991">#REF!</definedName>
    <definedName name="원자력보온공992">#REF!</definedName>
    <definedName name="원자력용접공">#REF!</definedName>
    <definedName name="원자력용접공001">#REF!</definedName>
    <definedName name="원자력용접공002">#REF!</definedName>
    <definedName name="원자력용접공011">#REF!</definedName>
    <definedName name="원자력용접공982">#REF!</definedName>
    <definedName name="원자력용접공991">#REF!</definedName>
    <definedName name="원자력용접공992">#REF!</definedName>
    <definedName name="원자력제관공">#REF!</definedName>
    <definedName name="원자력제관공001">#REF!</definedName>
    <definedName name="원자력제관공002">#REF!</definedName>
    <definedName name="원자력제관공011">#REF!</definedName>
    <definedName name="원자력제관공982">#REF!</definedName>
    <definedName name="원자력제관공991">#REF!</definedName>
    <definedName name="원자력제관공992">#REF!</definedName>
    <definedName name="원자력케이블전공">#REF!</definedName>
    <definedName name="원자력케이블전공001">#REF!</definedName>
    <definedName name="원자력케이블전공002">#REF!</definedName>
    <definedName name="원자력케이블전공011">#REF!</definedName>
    <definedName name="원자력케이블전공982">#REF!</definedName>
    <definedName name="원자력케이블전공991">#REF!</definedName>
    <definedName name="원자력케이블전공992">#REF!</definedName>
    <definedName name="원자력특별인부">#REF!</definedName>
    <definedName name="원자력특별인부001">#REF!</definedName>
    <definedName name="원자력특별인부002">#REF!</definedName>
    <definedName name="원자력특별인부011">#REF!</definedName>
    <definedName name="원자력특별인부982">#REF!</definedName>
    <definedName name="원자력특별인부991">#REF!</definedName>
    <definedName name="원자력특별인부992">#REF!</definedName>
    <definedName name="원자력품질관리사">#REF!</definedName>
    <definedName name="원자력품질관리사001">#REF!</definedName>
    <definedName name="원자력품질관리사002">#REF!</definedName>
    <definedName name="원자력품질관리사011">#REF!</definedName>
    <definedName name="원자력품질관리사982">#REF!</definedName>
    <definedName name="원자력품질관리사991">#REF!</definedName>
    <definedName name="원자력품질관리사992">#REF!</definedName>
    <definedName name="원자력플랜트전공">#REF!</definedName>
    <definedName name="원자력플랜트전공001">#REF!</definedName>
    <definedName name="원자력플랜트전공002">#REF!</definedName>
    <definedName name="원자력플랜트전공011">#REF!</definedName>
    <definedName name="원자력플랜트전공982">#REF!</definedName>
    <definedName name="원자력플랜트전공991">#REF!</definedName>
    <definedName name="원자력플랜트전공992">#REF!</definedName>
    <definedName name="원지경">#REF!</definedName>
    <definedName name="원지노">#REF!</definedName>
    <definedName name="원지반경">#REF!</definedName>
    <definedName name="원지반노">#REF!</definedName>
    <definedName name="원지반다짐">#REF!</definedName>
    <definedName name="원지반재">#REF!</definedName>
    <definedName name="원지재">#REF!</definedName>
    <definedName name="원진단가" hidden="1">{#N/A,#N/A,FALSE,"골재소요량";#N/A,#N/A,FALSE,"골재소요량"}</definedName>
    <definedName name="원진주철" hidden="1">{#N/A,#N/A,FALSE,"현장 NCR 분석";#N/A,#N/A,FALSE,"현장품질감사";#N/A,#N/A,FALSE,"현장품질감사"}</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추2노무">#REF!</definedName>
    <definedName name="원추2재료">#REF!</definedName>
    <definedName name="원파고라노">#REF!</definedName>
    <definedName name="원파고라재">#REF!</definedName>
    <definedName name="원풍" hidden="1">{#N/A,#N/A,FALSE,"생산성";#N/A,#N/A,FALSE,"인력1";#N/A,#N/A,FALSE,"인력2";#N/A,#N/A,FALSE,"인력3";#N/A,#N/A,FALSE,"인건1";#N/A,#N/A,FALSE,"인건2";#N/A,#N/A,FALSE,"인건3";#N/A,#N/A,FALSE,"인원증감";#N/A,#N/A,FALSE,"인건증감";#N/A,#N/A,FALSE,"표지등"}</definedName>
    <definedName name="원형3회">#REF!</definedName>
    <definedName name="원형4회">#REF!</definedName>
    <definedName name="월">#REF!</definedName>
    <definedName name="월×인상용직가설전공">#REF!</definedName>
    <definedName name="월×인상용직경비원">#REF!</definedName>
    <definedName name="월×인상용직노무">#REF!</definedName>
    <definedName name="월×인상용직사무보조청소원">#REF!</definedName>
    <definedName name="월×인상용직시험보조">#REF!</definedName>
    <definedName name="월×인상용직안전">#REF!</definedName>
    <definedName name="월×인상용직운전원">#REF!</definedName>
    <definedName name="월×인상용직자재보조">#REF!</definedName>
    <definedName name="월×인상용직측량보조원">#REF!</definedName>
    <definedName name="월×인상용직합">#REF!</definedName>
    <definedName name="월×인상용직현장정리원남">#REF!</definedName>
    <definedName name="월×인상용직현장정리원여">#REF!</definedName>
    <definedName name="월×인직원합">#REF!</definedName>
    <definedName name="월간" hidden="1">{#N/A,#N/A,FALSE,"CCTV"}</definedName>
    <definedName name="월간공정현황" hidden="1">{#N/A,#N/A,FALSE,"현장 NCR 분석";#N/A,#N/A,FALSE,"현장품질감사";#N/A,#N/A,FALSE,"현장품질감사"}</definedName>
    <definedName name="월드건설" hidden="1">{#N/A,#N/A,FALSE,"이태원철근"}</definedName>
    <definedName name="월드건설_1" hidden="1">{#N/A,#N/A,FALSE,"이태원철근"}</definedName>
    <definedName name="월드건설_2" hidden="1">{#N/A,#N/A,FALSE,"이태원철근"}</definedName>
    <definedName name="월드건설_3" hidden="1">{#N/A,#N/A,FALSE,"이태원철근"}</definedName>
    <definedName name="월드건설_4" hidden="1">{#N/A,#N/A,FALSE,"이태원철근"}</definedName>
    <definedName name="월드수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월마트" hidden="1">{#N/A,#N/A,FALSE,"생산성";#N/A,#N/A,FALSE,"인력1";#N/A,#N/A,FALSE,"인력2";#N/A,#N/A,FALSE,"인력3";#N/A,#N/A,FALSE,"인건1";#N/A,#N/A,FALSE,"인건2";#N/A,#N/A,FALSE,"인건3";#N/A,#N/A,FALSE,"인원증감";#N/A,#N/A,FALSE,"인건증감";#N/A,#N/A,FALSE,"표지등"}</definedName>
    <definedName name="월별" hidden="1">{#N/A,#N/A,FALSE,"현장 NCR 분석";#N/A,#N/A,FALSE,"현장품질감사";#N/A,#N/A,FALSE,"현장품질감사"}</definedName>
    <definedName name="월별1">#REF!</definedName>
    <definedName name="월별계획" hidden="1">{#N/A,#N/A,FALSE,"현장 NCR 분석";#N/A,#N/A,FALSE,"현장품질감사";#N/A,#N/A,FALSE,"현장품질감사"}</definedName>
    <definedName name="월별분양" hidden="1">{#N/A,#N/A,FALSE,"현장 NCR 분석";#N/A,#N/A,FALSE,"현장품질감사";#N/A,#N/A,FALSE,"현장품질감사"}</definedName>
    <definedName name="월별영업">#REF!</definedName>
    <definedName name="월별조직표" hidden="1">{#N/A,#N/A,FALSE,"이태원철근"}</definedName>
    <definedName name="월별투입" hidden="1">{#N/A,#N/A,FALSE,"지침";#N/A,#N/A,FALSE,"환경분석";#N/A,#N/A,FALSE,"Sheet16"}</definedName>
    <definedName name="월별투입_1" hidden="1">{#N/A,#N/A,FALSE,"지침";#N/A,#N/A,FALSE,"환경분석";#N/A,#N/A,FALSE,"Sheet16"}</definedName>
    <definedName name="월별투입_2" hidden="1">{#N/A,#N/A,FALSE,"지침";#N/A,#N/A,FALSE,"환경분석";#N/A,#N/A,FALSE,"Sheet16"}</definedName>
    <definedName name="월별투입_3" hidden="1">{#N/A,#N/A,FALSE,"지침";#N/A,#N/A,FALSE,"환경분석";#N/A,#N/A,FALSE,"Sheet16"}</definedName>
    <definedName name="월별투입_4" hidden="1">{#N/A,#N/A,FALSE,"지침";#N/A,#N/A,FALSE,"환경분석";#N/A,#N/A,FALSE,"Sheet16"}</definedName>
    <definedName name="월별투입_5" hidden="1">{#N/A,#N/A,FALSE,"지침";#N/A,#N/A,FALSE,"환경분석";#N/A,#N/A,FALSE,"Sheet16"}</definedName>
    <definedName name="월별mh1">#REF!</definedName>
    <definedName name="월별mh2">#REF!</definedName>
    <definedName name="월상용직가설전공">#REF!</definedName>
    <definedName name="월상용직경비원">#REF!</definedName>
    <definedName name="월상용직노무">#REF!</definedName>
    <definedName name="월상용직사무보조청소원">#REF!</definedName>
    <definedName name="월상용직시험보조">#REF!</definedName>
    <definedName name="월상용직안전">#REF!</definedName>
    <definedName name="월상용직운전원">#REF!</definedName>
    <definedName name="월상용직자재보조">#REF!</definedName>
    <definedName name="월상용직측량보조원">#REF!</definedName>
    <definedName name="월상용직현장정리원남">#REF!</definedName>
    <definedName name="월상용직현장정리원여">#REF!</definedName>
    <definedName name="웧ㄹㄷㄹ" hidden="1">{#N/A,#N/A,FALSE,"골재소요량";#N/A,#N/A,FALSE,"골재소요량"}</definedName>
    <definedName name="위">#REF!</definedName>
    <definedName name="위___생___공">#REF!</definedName>
    <definedName name="위1">#REF!</definedName>
    <definedName name="위락경관">#REF!</definedName>
    <definedName name="위병면회소">#REF!</definedName>
    <definedName name="위생">#REF!</definedName>
    <definedName name="위생_1" hidden="1">{#N/A,#N/A,FALSE,"전력간선"}</definedName>
    <definedName name="위생감액">88%</definedName>
    <definedName name="위생공">#REF!</definedName>
    <definedName name="위생공001">#REF!</definedName>
    <definedName name="위생공002">#REF!</definedName>
    <definedName name="위생공011">#REF!</definedName>
    <definedName name="위생공982">#REF!</definedName>
    <definedName name="위생공991">#REF!</definedName>
    <definedName name="위생공992">#REF!</definedName>
    <definedName name="위생공중보건">#REF!</definedName>
    <definedName name="위생기구" hidden="1">{#N/A,#N/A,FALSE,"전력간선"}</definedName>
    <definedName name="위생기구_1" hidden="1">{#N/A,#N/A,FALSE,"전력간선"}</definedName>
    <definedName name="위샤캡">#N/A</definedName>
    <definedName name="위스키" hidden="1">{#N/A,#N/A,FALSE,"생산성";#N/A,#N/A,FALSE,"인력1";#N/A,#N/A,FALSE,"인력2";#N/A,#N/A,FALSE,"인력3";#N/A,#N/A,FALSE,"인건1";#N/A,#N/A,FALSE,"인건2";#N/A,#N/A,FALSE,"인건3";#N/A,#N/A,FALSE,"인원증감";#N/A,#N/A,FALSE,"인건증감";#N/A,#N/A,FALSE,"표지등"}</definedName>
    <definedName name="위치">#N/A</definedName>
    <definedName name="위치도" hidden="1">{#N/A,#N/A,FALSE,"지침";#N/A,#N/A,FALSE,"환경분석";#N/A,#N/A,FALSE,"Sheet16"}</definedName>
    <definedName name="위치도1" hidden="1">{#N/A,#N/A,FALSE,"현장 NCR 분석";#N/A,#N/A,FALSE,"현장품질감사";#N/A,#N/A,FALSE,"현장품질감사"}</definedName>
    <definedName name="위치별">#REF!</definedName>
    <definedName name="윈치경">#REF!</definedName>
    <definedName name="윈치노">#REF!</definedName>
    <definedName name="윈치재">#REF!</definedName>
    <definedName name="윗변">#REF!</definedName>
    <definedName name="유">#REF!</definedName>
    <definedName name="유___리___공">#REF!</definedName>
    <definedName name="유1">#REF!</definedName>
    <definedName name="유2">#REF!</definedName>
    <definedName name="유3">#REF!</definedName>
    <definedName name="有價__券.1.A">#REF!</definedName>
    <definedName name="유니트" hidden="1">{#N/A,#N/A,FALSE,"Sheet1"}</definedName>
    <definedName name="유도등">#N/A</definedName>
    <definedName name="유도및점자수량산출" hidden="1">{#N/A,#N/A,FALSE,"골재소요량";#N/A,#N/A,FALSE,"골재소요량"}</definedName>
    <definedName name="유도및점자수량산출_중로" hidden="1">{#N/A,#N/A,FALSE,"골재소요량";#N/A,#N/A,FALSE,"골재소요량"}</definedName>
    <definedName name="유동">#N/A</definedName>
    <definedName name="유동1" hidden="1">#REF!</definedName>
    <definedName name="유동부채">#REF!</definedName>
    <definedName name="유동비율">#REF!</definedName>
    <definedName name="유동임동">{"'자리배치도'!$AG$1:$CI$28"}</definedName>
    <definedName name="유동자산">#REF!</definedName>
    <definedName name="유로폼">#REF!</definedName>
    <definedName name="유로폼1">#REF!</definedName>
    <definedName name="유로폼1노">#REF!</definedName>
    <definedName name="유로폼노">#REF!</definedName>
    <definedName name="유류비">#REF!</definedName>
    <definedName name="유리">#N/A</definedName>
    <definedName name="유리_유리끼우고닦기포함">#REF!</definedName>
    <definedName name="유리22MM" hidden="1">{#N/A,#N/A,FALSE,"현장 NCR 분석";#N/A,#N/A,FALSE,"현장품질감사";#N/A,#N/A,FALSE,"현장품질감사"}</definedName>
    <definedName name="유리갑지" hidden="1">{#N/A,#N/A,TRUE,"토적및재료집계";#N/A,#N/A,TRUE,"토적및재료집계";#N/A,#N/A,TRUE,"단위량"}</definedName>
    <definedName name="유리경비">#REF!</definedName>
    <definedName name="유리공">#REF!</definedName>
    <definedName name="유리공001">#REF!</definedName>
    <definedName name="유리공002">#REF!</definedName>
    <definedName name="유리공011">#REF!</definedName>
    <definedName name="유리공982">#REF!</definedName>
    <definedName name="유리공991">#REF!</definedName>
    <definedName name="유리공992">#REF!</definedName>
    <definedName name="유리공사">#REF!</definedName>
    <definedName name="유리노">#REF!</definedName>
    <definedName name="유리노무">#REF!</definedName>
    <definedName name="유리재">#REF!</definedName>
    <definedName name="유리재료">#REF!</definedName>
    <definedName name="유리A소계">#REF!</definedName>
    <definedName name="유리B소계">#REF!</definedName>
    <definedName name="유문" hidden="1">{#N/A,#N/A,FALSE,"월공사비집계표양식 (7)";#N/A,#N/A,FALSE,"월공사비집계표양식 (7)"}</definedName>
    <definedName name="유보금액">#REF!</definedName>
    <definedName name="유보율">#REF!</definedName>
    <definedName name="유볼트" localSheetId="0">BlankMacro1</definedName>
    <definedName name="유볼트">BlankMacro1</definedName>
    <definedName name="유상진">#REF!</definedName>
    <definedName name="유수지" hidden="1">{#N/A,#N/A,FALSE,"골재소요량";#N/A,#N/A,FALSE,"골재소요량"}</definedName>
    <definedName name="유신">#REF!,#REF!</definedName>
    <definedName name="유월">#REF!</definedName>
    <definedName name="유이주비">#REF!</definedName>
    <definedName name="유입1">#REF!</definedName>
    <definedName name="유입2">#REF!</definedName>
    <definedName name="유입3">#REF!</definedName>
    <definedName name="유입공">{"'결과(하)'!$L$24"}</definedName>
    <definedName name="유입부산근" hidden="1">{"'산출근거'!$B$4:$D$8"}</definedName>
    <definedName name="유입부산근33" hidden="1">{"'산출근거'!$B$4:$D$8"}</definedName>
    <definedName name="유지관리비" hidden="1">#REF!</definedName>
    <definedName name="유추ㅗ곹촎" hidden="1">{#N/A,#N/A,FALSE,"혼합골재"}</definedName>
    <definedName name="유출4a" hidden="1">{#N/A,#N/A,FALSE,"배수1"}</definedName>
    <definedName name="유출관경">#REF!</definedName>
    <definedName name="유치선본선PC1LINE" hidden="1">{#N/A,#N/A,FALSE,"혼합골재"}</definedName>
    <definedName name="유카">#REF!</definedName>
    <definedName name="유카4노무">#REF!</definedName>
    <definedName name="유카4재료">#REF!</definedName>
    <definedName name="유카5노무">#REF!</definedName>
    <definedName name="유카5재료">#REF!</definedName>
    <definedName name="유토지">#REF!</definedName>
    <definedName name="유통" hidden="1">{#N/A,#N/A,FALSE,"생산성";#N/A,#N/A,FALSE,"인력1";#N/A,#N/A,FALSE,"인력2";#N/A,#N/A,FALSE,"인력3";#N/A,#N/A,FALSE,"인건1";#N/A,#N/A,FALSE,"인건2";#N/A,#N/A,FALSE,"인건3";#N/A,#N/A,FALSE,"인원증감";#N/A,#N/A,FALSE,"인건증감";#N/A,#N/A,FALSE,"표지등"}</definedName>
    <definedName name="유통물가">#REF!</definedName>
    <definedName name="유화재고">#REF!</definedName>
    <definedName name="유ㅗ굫" hidden="1">{#N/A,#N/A,FALSE,"혼합골재"}</definedName>
    <definedName name="유ㅛㅕㅜ" hidden="1">{#N/A,#N/A,FALSE,"단가표지"}</definedName>
    <definedName name="유ㅜㄹ횱" hidden="1">{#N/A,#N/A,FALSE,"조골재"}</definedName>
    <definedName name="육">#REF!</definedName>
    <definedName name="육리1호">#REF!</definedName>
    <definedName name="육리2호">#REF!</definedName>
    <definedName name="육번방호">#N/A</definedName>
    <definedName name="육상0_3">#REF!</definedName>
    <definedName name="육상3_6">#REF!</definedName>
    <definedName name="육상6_9">#REF!</definedName>
    <definedName name="육상9_12">#REF!</definedName>
    <definedName name="육상동식물">#REF!</definedName>
    <definedName name="육상면정리및청소">#REF!</definedName>
    <definedName name="육상합">#REF!</definedName>
    <definedName name="육수동식물">#REF!</definedName>
    <definedName name="육육">#N/A</definedName>
    <definedName name="육육육">#N/A</definedName>
    <definedName name="육육육육">#N/A</definedName>
    <definedName name="육호표">#REF!</definedName>
    <definedName name="윤">#REF!,#REF!,#REF!,#REF!,#REF!,#REF!,#REF!,#REF!,#REF!,#REF!,#REF!,#REF!,#REF!,#REF!,#REF!,#REF!,#REF!,#REF!,#REF!</definedName>
    <definedName name="윤동ㅎ" hidden="1">{#N/A,#N/A,FALSE,"손익표지";#N/A,#N/A,FALSE,"손익계산";#N/A,#N/A,FALSE,"일반관리비";#N/A,#N/A,FALSE,"영업외수익";#N/A,#N/A,FALSE,"영업외비용";#N/A,#N/A,FALSE,"매출액";#N/A,#N/A,FALSE,"요약손익";#N/A,#N/A,FALSE,"요약대차";#N/A,#N/A,FALSE,"매출채권현황";#N/A,#N/A,FALSE,"매출채권명세"}</definedName>
    <definedName name="율이아빠" hidden="1">{"'Sheet1'!$A$4:$M$21","'Sheet1'!$J$17:$K$19"}</definedName>
    <definedName name="윰" hidden="1">{#N/A,#N/A,FALSE,"현장 NCR 분석";#N/A,#N/A,FALSE,"현장품질감사";#N/A,#N/A,FALSE,"현장품질감사"}</definedName>
    <definedName name="융" hidden="1">{#N/A,#N/A,FALSE,"현장 NCR 분석";#N/A,#N/A,FALSE,"현장품질감사";#N/A,#N/A,FALSE,"현장품질감사"}</definedName>
    <definedName name="융찬" hidden="1">#REF!</definedName>
    <definedName name="융창" hidden="1">#REF!</definedName>
    <definedName name="융창할증">{"서울냉천 3차( 5. 6-7).xls","Sheet1"}</definedName>
    <definedName name="융창할증8">{"서울냉천 3차( 5. 6-7).xls","Sheet1"}</definedName>
    <definedName name="윷됴ㅕ" hidden="1">{#N/A,#N/A,FALSE,"단가표지"}</definedName>
    <definedName name="으름" hidden="1">{#N/A,#N/A,FALSE,"지침";#N/A,#N/A,FALSE,"환경분석";#N/A,#N/A,FALSE,"Sheet16"}</definedName>
    <definedName name="으으" hidden="1">{#N/A,#N/A,FALSE,"지침";#N/A,#N/A,FALSE,"환경분석";#N/A,#N/A,FALSE,"Sheet16"}</definedName>
    <definedName name="으호ㅛㄱ" hidden="1">{#N/A,#N/A,FALSE,"운반시간"}</definedName>
    <definedName name="으횬ㅇ" hidden="1">{#N/A,#N/A,FALSE,"혼합골재"}</definedName>
    <definedName name="으횽ㄹ" hidden="1">{#N/A,#N/A,FALSE,"운반시간"}</definedName>
    <definedName name="으ㅏㅜ럭ㄹ" hidden="1">{#N/A,#N/A,FALSE,"골재소요량";#N/A,#N/A,FALSE,"골재소요량"}</definedName>
    <definedName name="으ㅗ뎌" hidden="1">{#N/A,#N/A,FALSE,"전력간선"}</definedName>
    <definedName name="으ㅗ뎔" hidden="1">{#N/A,#N/A,FALSE,"운반시간"}</definedName>
    <definedName name="으ㅗㅎㄱ" hidden="1">{#N/A,#N/A,FALSE,"단가표지"}</definedName>
    <definedName name="으ㅗㅓㅎ" hidden="1">{#N/A,#N/A,FALSE,"단가표지"}</definedName>
    <definedName name="으ㅗㅕㄱ" hidden="1">{#N/A,#N/A,FALSE,"혼합골재"}</definedName>
    <definedName name="으ㅜㅇㅎ룓ㄹ" hidden="1">{#N/A,#N/A,FALSE,"골재소요량";#N/A,#N/A,FALSE,"골재소요량"}</definedName>
    <definedName name="으ㅜㅎ욜ㅇㄴ" hidden="1">{#N/A,#N/A,FALSE,"단가표지"}</definedName>
    <definedName name="으ㅜ횽ㄹ" hidden="1">{#N/A,#N/A,FALSE,"단가표지"}</definedName>
    <definedName name="으ㅜㅗ혀" hidden="1">{#N/A,#N/A,FALSE,"운반시간"}</definedName>
    <definedName name="윽아">#REF!</definedName>
    <definedName name="윽호겨" hidden="1">{#N/A,#N/A,FALSE,"단가표지"}</definedName>
    <definedName name="은산1호">#REF!</definedName>
    <definedName name="은산2호">#REF!</definedName>
    <definedName name="은산3호">#REF!</definedName>
    <definedName name="은산4호">#REF!</definedName>
    <definedName name="은산토건" hidden="1">{#N/A,#N/A,FALSE,"운반시간"}</definedName>
    <definedName name="은행12">#REF!</definedName>
    <definedName name="은행15">#REF!</definedName>
    <definedName name="은행6">#REF!</definedName>
    <definedName name="은행8">#REF!</definedName>
    <definedName name="은행나무">#REF!</definedName>
    <definedName name="은행나무H3.5">#REF!</definedName>
    <definedName name="을" hidden="1">{#N/A,#N/A,FALSE,"도급대비시행율";#N/A,#N/A,FALSE,"결의서";#N/A,#N/A,FALSE,"내역서";#N/A,#N/A,FALSE,"도급예상"}</definedName>
    <definedName name="을1">#REF!</definedName>
    <definedName name="을1a">#REF!</definedName>
    <definedName name="을1b">#REF!</definedName>
    <definedName name="을부담품목별중량계">#REF!</definedName>
    <definedName name="을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지1" hidden="1">{#N/A,#N/A,TRUE,"1";#N/A,#N/A,TRUE,"2";#N/A,#N/A,TRUE,"3";#N/A,#N/A,TRUE,"4";#N/A,#N/A,TRUE,"5";#N/A,#N/A,TRUE,"6";#N/A,#N/A,TRUE,"7"}</definedName>
    <definedName name="을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지3" hidden="1">{#N/A,#N/A,FALSE,"개략금액";#N/A,#N/A,FALSE,"공사개요 ";#N/A,#N/A,FALSE,"견적조건";#N/A,#N/A,FALSE,"산출근거";#N/A,#N/A,FALSE,"EL금액";#N/A,#N/A,FALSE,"무인경비"}</definedName>
    <definedName name="을지로">#REF!</definedName>
    <definedName name="을지양식">#REF!</definedName>
    <definedName name="을횩" hidden="1">{#N/A,#N/A,FALSE,"조골재"}</definedName>
    <definedName name="을후ㅕㅓㅅ" hidden="1">{#N/A,#N/A,FALSE,"2~8번"}</definedName>
    <definedName name="읅ㄷㄹ" hidden="1">{#N/A,#N/A,FALSE,"단가표지"}</definedName>
    <definedName name="읋ㄱ" hidden="1">{#N/A,#N/A,FALSE,"표지목차"}</definedName>
    <definedName name="음식2" hidden="1">{#N/A,#N/A,FALSE,"생산성";#N/A,#N/A,FALSE,"인력1";#N/A,#N/A,FALSE,"인력2";#N/A,#N/A,FALSE,"인력3";#N/A,#N/A,FALSE,"인건1";#N/A,#N/A,FALSE,"인건2";#N/A,#N/A,FALSE,"인건3";#N/A,#N/A,FALSE,"인원증감";#N/A,#N/A,FALSE,"인건증감";#N/A,#N/A,FALSE,"표지등"}</definedName>
    <definedName name="응암개략산정표">#REF!</definedName>
    <definedName name="응암개략집계표">#REF!</definedName>
    <definedName name="응용">{"'용역비'!$A$4:$C$8"}</definedName>
    <definedName name="읗교" hidden="1">{#N/A,#N/A,FALSE,"단가표지"}</definedName>
    <definedName name="읗ㄹ굗" hidden="1">{#N/A,#N/A,FALSE,"표지목차"}</definedName>
    <definedName name="의">#REF!</definedName>
    <definedName name="의_1" hidden="1">{#N/A,#N/A,FALSE,"운반시간"}</definedName>
    <definedName name="의무비">#REF!</definedName>
    <definedName name="의영">#REF!</definedName>
    <definedName name="의정부" hidden="1">{#N/A,#N/A,FALSE,"전력간선"}</definedName>
    <definedName name="이" hidden="1">{#N/A,#N/A,FALSE,"견적조건";#N/A,#N/A,FALSE,"산출근거"}</definedName>
    <definedName name="이______________윤">#N/A</definedName>
    <definedName name="이______전______비">#N/A</definedName>
    <definedName name="이1">#REF!</definedName>
    <definedName name="이2">#REF!</definedName>
    <definedName name="이3">#REF!</definedName>
    <definedName name="이가" hidden="1">{"'Firr(선)'!$AS$1:$AY$62","'Firr(사)'!$AS$1:$AY$62","'Firr(회)'!$AS$1:$AY$62","'Firr(선)'!$L$1:$V$62","'Firr(사)'!$L$1:$V$62","'Firr(회)'!$L$1:$V$62"}</definedName>
    <definedName name="이각">#REF!</definedName>
    <definedName name="이각노">#REF!</definedName>
    <definedName name="이각재">#REF!</definedName>
    <definedName name="이각지주목">#REF!</definedName>
    <definedName name="이각B형">#REF!</definedName>
    <definedName name="이강" hidden="1">{#N/A,#N/A,FALSE,"월공사비집계표양식 (7)";#N/A,#N/A,FALSE,"월공사비집계표양식 (7)"}</definedName>
    <definedName name="이강환" hidden="1">{#N/A,#N/A,FALSE,"월공사비집계표양식 (7)";#N/A,#N/A,FALSE,"월공사비집계표양식 (7)"}</definedName>
    <definedName name="이경희" hidden="1">{#N/A,#N/A,FALSE,"부대2"}</definedName>
    <definedName name="이공구">#REF!,#REF!</definedName>
    <definedName name="이공구가설비">#REF!</definedName>
    <definedName name="이공구간접노무비">#REF!</definedName>
    <definedName name="이공구공사원가">#REF!</definedName>
    <definedName name="이공구기계경비">#REF!</definedName>
    <definedName name="이공구기타경비">#REF!</definedName>
    <definedName name="이공구부가가치세">#REF!</definedName>
    <definedName name="이공구산재보험료">#REF!</definedName>
    <definedName name="이공구안전관리비">#REF!</definedName>
    <definedName name="이공구이윤">#REF!</definedName>
    <definedName name="이공구일반관리비">#REF!</definedName>
    <definedName name="이공구직접노무비">#REF!</definedName>
    <definedName name="이공구직접재료비">#REF!</definedName>
    <definedName name="이공구품질관리비">#REF!</definedName>
    <definedName name="이광기" hidden="1">{#N/A,#N/A,FALSE,"구조1"}</definedName>
    <definedName name="이광훈11" hidden="1">{#N/A,#N/A,FALSE,"명세표"}</definedName>
    <definedName name="이광훈15" hidden="1">{#N/A,#N/A,FALSE,"명세표"}</definedName>
    <definedName name="이광훈16" hidden="1">{#N/A,#N/A,FALSE,"명세표"}</definedName>
    <definedName name="이광훈17" hidden="1">{#N/A,#N/A,FALSE,"명세표"}</definedName>
    <definedName name="이광훈18" hidden="1">{#N/A,#N/A,FALSE,"명세표"}</definedName>
    <definedName name="이광훈2" hidden="1">{#N/A,#N/A,FALSE,"명세표"}</definedName>
    <definedName name="이광훈20" hidden="1">{#N/A,#N/A,FALSE,"명세표"}</definedName>
    <definedName name="이광훈21" hidden="1">{#N/A,#N/A,FALSE,"명세표"}</definedName>
    <definedName name="이광훈22" hidden="1">{#N/A,#N/A,FALSE,"명세표"}</definedName>
    <definedName name="이광훈23" hidden="1">{#N/A,#N/A,FALSE,"명세표"}</definedName>
    <definedName name="이광훈24" hidden="1">{#N/A,#N/A,FALSE,"명세표"}</definedName>
    <definedName name="이광훈4" hidden="1">{#N/A,#N/A,FALSE,"명세표"}</definedName>
    <definedName name="이광훈6" hidden="1">{#N/A,#N/A,FALSE,"명세표"}</definedName>
    <definedName name="이광훈7" hidden="1">{#N/A,#N/A,FALSE,"명세표"}</definedName>
    <definedName name="이광훈8" hidden="1">{#N/A,#N/A,FALSE,"명세표"}</definedName>
    <definedName name="이광훈9" hidden="1">{#N/A,#N/A,FALSE,"명세표"}</definedName>
    <definedName name="이남식"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남식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이노">#REF!</definedName>
    <definedName name="이단">#REF!</definedName>
    <definedName name="이단희">#REF!</definedName>
    <definedName name="이단희2">#REF!</definedName>
    <definedName name="이단희3">#REF!</definedName>
    <definedName name="이단희5">#REF!</definedName>
    <definedName name="이대GROSS">#N/A</definedName>
    <definedName name="이도" hidden="1">{#N/A,#N/A,FALSE,"현장 NCR 분석";#N/A,#N/A,FALSE,"현장품질감사";#N/A,#N/A,FALSE,"현장품질감사"}</definedName>
    <definedName name="이도령" hidden="1">{#N/A,#N/A,FALSE,"단가표지"}</definedName>
    <definedName name="이동" hidden="1">{#N/A,#N/A,FALSE,"조골재"}</definedName>
    <definedName name="이동_레미콘기타주요현안">#REF!</definedName>
    <definedName name="이동_레미콘매출액입력테이블">#REF!</definedName>
    <definedName name="이동_몰탈기타주요현안">#REF!</definedName>
    <definedName name="이동_몰탈매출액입력테이블">#REF!</definedName>
    <definedName name="이동_몰탈판매물량입력테이블">#REF!</definedName>
    <definedName name="이동_특수기타주요현안">#REF!</definedName>
    <definedName name="이동_특수매출액입력테이블">#REF!</definedName>
    <definedName name="이동_특수판매물량입력테이블">#REF!</definedName>
    <definedName name="이동_파일기타주요현안">#REF!</definedName>
    <definedName name="이동_파일매출액입력테이블">#REF!</definedName>
    <definedName name="이동_파일판매물량입력테이블">#REF!</definedName>
    <definedName name="이동수" hidden="1">{#N/A,#N/A,FALSE,"현장 NCR 분석";#N/A,#N/A,FALSE,"현장품질감사";#N/A,#N/A,FALSE,"현장품질감사"}</definedName>
    <definedName name="이동수1" hidden="1">{#N/A,#N/A,FALSE,"현장 NCR 분석";#N/A,#N/A,FALSE,"현장품질감사";#N/A,#N/A,FALSE,"현장품질감사"}</definedName>
    <definedName name="이동타설" hidden="1">{#N/A,#N/A,FALSE,"현장 NCR 분석";#N/A,#N/A,FALSE,"현장품질감사";#N/A,#N/A,FALSE,"현장품질감사"}</definedName>
    <definedName name="이라" hidden="1">#REF!</definedName>
    <definedName name="이러">#REF!</definedName>
    <definedName name="이러댤" hidden="1">{#N/A,#N/A,FALSE,"운반시간"}</definedName>
    <definedName name="이런" hidden="1">{#N/A,#N/A,FALSE,"이태원철근"}</definedName>
    <definedName name="이런1" localSheetId="0">BlankMacro1</definedName>
    <definedName name="이런1">BlankMacro1</definedName>
    <definedName name="이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이름_1" hidden="1">{#N/A,#N/A,FALSE,"이태원철근"}</definedName>
    <definedName name="이름_2" hidden="1">{#N/A,#N/A,FALSE,"이태원철근"}</definedName>
    <definedName name="이름_3" hidden="1">{#N/A,#N/A,FALSE,"구조1"}</definedName>
    <definedName name="이름_4" hidden="1">{#N/A,#N/A,FALSE,"이태원철근"}</definedName>
    <definedName name="이름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명수" hidden="1">{#N/A,#N/A,FALSE,"Sheet1"}</definedName>
    <definedName name="이름모름">{"'별표'!$N$220"}</definedName>
    <definedName name="이름ㅇㅇ" hidden="1">{#N/A,#N/A,FALSE,"포장단가"}</definedName>
    <definedName name="이름충돌" hidden="1">{#N/A,#N/A,FALSE,"포장2"}</definedName>
    <definedName name="이름표" hidden="1">{#N/A,#N/A,FALSE,"단가표지"}</definedName>
    <definedName name="이릉" hidden="1">#REF!</definedName>
    <definedName name="이리">#REF!,#REF!</definedName>
    <definedName name="이릴" hidden="1">{#N/A,#N/A,FALSE,"지침";#N/A,#N/A,FALSE,"환경분석";#N/A,#N/A,FALSE,"Sheet16"}</definedName>
    <definedName name="이림" hidden="1">{#N/A,#N/A,FALSE,"단가표지"}</definedName>
    <definedName name="이믈" hidden="1">{#N/A,#N/A,FALSE,"이태원철근"}</definedName>
    <definedName name="이미" hidden="1">{#N/A,#N/A,FALSE,"전력간선"}</definedName>
    <definedName name="이미기억" hidden="1">{#N/A,#N/A,FALSE,"Sheet1"}</definedName>
    <definedName name="이민상" hidden="1">#REF!</definedName>
    <definedName name="이벤트금주">#REF!</definedName>
    <definedName name="이벤트차주">#REF!</definedName>
    <definedName name="이사" hidden="1">{#N/A,#N/A,FALSE,"2~8번"}</definedName>
    <definedName name="이사보_인당복리후생비">#REF!</definedName>
    <definedName name="이삼">#REF!</definedName>
    <definedName name="이상">#REF!</definedName>
    <definedName name="이상익" hidden="1">{#N/A,#N/A,FALSE,"현장 NCR 분석";#N/A,#N/A,FALSE,"현장품질감사";#N/A,#N/A,FALSE,"현장품질감사"}</definedName>
    <definedName name="이상하군">#REF!</definedName>
    <definedName name="이상해" hidden="1">{#N/A,#N/A,FALSE,"골재소요량";#N/A,#N/A,FALSE,"골재소요량"}</definedName>
    <definedName name="이성" hidden="1">{#N/A,#N/A,FALSE,"골재소요량";#N/A,#N/A,FALSE,"골재소요량"}</definedName>
    <definedName name="이성기">#REF!</definedName>
    <definedName name="이성진" hidden="1">{#N/A,#N/A,FALSE,"조골재"}</definedName>
    <definedName name="이수호">#REF!</definedName>
    <definedName name="이슈" hidden="1">{#N/A,#N/A,FALSE,"지침";#N/A,#N/A,FALSE,"환경분석";#N/A,#N/A,FALSE,"Sheet16"}</definedName>
    <definedName name="이승진" hidden="1">{#N/A,#N/A,FALSE,"생산성";#N/A,#N/A,FALSE,"인력1";#N/A,#N/A,FALSE,"인력2";#N/A,#N/A,FALSE,"인력3";#N/A,#N/A,FALSE,"인건1";#N/A,#N/A,FALSE,"인건2";#N/A,#N/A,FALSE,"인건3";#N/A,#N/A,FALSE,"인원증감";#N/A,#N/A,FALSE,"인건증감";#N/A,#N/A,FALSE,"표지등"}</definedName>
    <definedName name="이식">#REF!</definedName>
    <definedName name="이식1">#REF!</definedName>
    <definedName name="이식단가">#REF!</definedName>
    <definedName name="이식단가1">#REF!</definedName>
    <definedName name="이식일위">#REF!</definedName>
    <definedName name="이십사호표">#REF!</definedName>
    <definedName name="이십삼호표">#REF!</definedName>
    <definedName name="이십오호표">#REF!</definedName>
    <definedName name="이십이호표">#REF!</definedName>
    <definedName name="이십일호표">#REF!</definedName>
    <definedName name="이십호표">#REF!</definedName>
    <definedName name="이야">#REF!</definedName>
    <definedName name="이용">#REF!</definedName>
    <definedName name="이웃" hidden="1">{#N/A,#N/A,FALSE,"표지목차"}</definedName>
    <definedName name="이월">#REF!</definedName>
    <definedName name="이월32">#REF!</definedName>
    <definedName name="移越工事__小計">#REF!</definedName>
    <definedName name="이윤">#REF!</definedName>
    <definedName name="이윤_산식">#N/A</definedName>
    <definedName name="이윤1">#REF!</definedName>
    <definedName name="이윤2">#REF!</definedName>
    <definedName name="이윤및일반관리비">#REF!</definedName>
    <definedName name="이윤요율">#REF!</definedName>
    <definedName name="이윤율">#REF!</definedName>
    <definedName name="이윤지분공제">#REF!</definedName>
    <definedName name="이윤표">#REF!</definedName>
    <definedName name="이은미">{"Book1","부대-(표지판,데리,가드).xls","부대-(낙,차,중분대).xls"}</definedName>
    <definedName name="이응각">#REF!</definedName>
    <definedName name="이의동" hidden="1">{#N/A,#N/A,FALSE,"사업총괄";#N/A,#N/A,FALSE,"장비사업";#N/A,#N/A,FALSE,"철구사업";#N/A,#N/A,FALSE,"준설사업"}</definedName>
    <definedName name="이의동2" hidden="1">{#N/A,#N/A,FALSE,"사업총괄";#N/A,#N/A,FALSE,"장비사업";#N/A,#N/A,FALSE,"철구사업";#N/A,#N/A,FALSE,"준설사업"}</definedName>
    <definedName name="이이" localSheetId="0">BlankMacro1</definedName>
    <definedName name="이이">BlankMacro1</definedName>
    <definedName name="이이이">#N/A</definedName>
    <definedName name="이이이이">#N/A</definedName>
    <definedName name="이이잉">#REF!</definedName>
    <definedName name="이익수" localSheetId="0">BlankMacro1</definedName>
    <definedName name="이익수">BlankMacro1</definedName>
    <definedName name="이익잉여금처분계산" hidden="1">#REF!</definedName>
    <definedName name="이인자" hidden="1">{#N/A,#N/A,FALSE,"현장 NCR 분석";#N/A,#N/A,FALSE,"현장품질감사";#N/A,#N/A,FALSE,"현장품질감사"}</definedName>
    <definedName name="이인자_1" hidden="1">{#N/A,#N/A,FALSE,"현장 NCR 분석";#N/A,#N/A,FALSE,"현장품질감사";#N/A,#N/A,FALSE,"현장품질감사"}</definedName>
    <definedName name="이인자_2" hidden="1">{#N/A,#N/A,FALSE,"현장 NCR 분석";#N/A,#N/A,FALSE,"현장품질감사";#N/A,#N/A,FALSE,"현장품질감사"}</definedName>
    <definedName name="이인자_3" hidden="1">{#N/A,#N/A,FALSE,"현장 NCR 분석";#N/A,#N/A,FALSE,"현장품질감사";#N/A,#N/A,FALSE,"현장품질감사"}</definedName>
    <definedName name="이일" hidden="1">#REF!</definedName>
    <definedName name="이잉"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자">#REF!</definedName>
    <definedName name="이자보상">#REF!</definedName>
    <definedName name="이자보상비율">#REF!</definedName>
    <definedName name="이자율">0.125</definedName>
    <definedName name="이재">#REF!</definedName>
    <definedName name="이전">#REF!</definedName>
    <definedName name="이전비">#REF!</definedName>
    <definedName name="이전화면">#REF!</definedName>
    <definedName name="이전화면1">#REF!</definedName>
    <definedName name="이정" hidden="1">{#N/A,#N/A,FALSE,"2~8번"}</definedName>
    <definedName name="이정석">#REF!,#REF!</definedName>
    <definedName name="이정표" hidden="1">{#N/A,#N/A,FALSE,"이정표"}</definedName>
    <definedName name="이정환" hidden="1">{#N/A,#N/A,FALSE,"교리2"}</definedName>
    <definedName name="이제그만" hidden="1">{#N/A,#N/A,FALSE,"이태원철근"}</definedName>
    <definedName name="이종구" hidden="1">{#N/A,#N/A,FALSE,"배수1"}</definedName>
    <definedName name="이종열">#REF!</definedName>
    <definedName name="이종훈" hidden="1">#REF!</definedName>
    <definedName name="이주비이자">#REF!</definedName>
    <definedName name="이준석">{"서울냉천 3차( 5. 6-7).xls","Sheet1"}</definedName>
    <definedName name="이준호">#REF!</definedName>
    <definedName name="이지" hidden="1">{#N/A,#N/A,FALSE,"지침";#N/A,#N/A,FALSE,"환경분석";#N/A,#N/A,FALSE,"Sheet16"}</definedName>
    <definedName name="이지호" hidden="1">{#N/A,#N/A,FALSE,"생산성";#N/A,#N/A,FALSE,"인력1";#N/A,#N/A,FALSE,"인력2";#N/A,#N/A,FALSE,"인력3";#N/A,#N/A,FALSE,"인건1";#N/A,#N/A,FALSE,"인건2";#N/A,#N/A,FALSE,"인건3";#N/A,#N/A,FALSE,"인원증감";#N/A,#N/A,FALSE,"인건증감";#N/A,#N/A,FALSE,"표지등"}</definedName>
    <definedName name="이천">#REF!</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철" hidden="1">{#N/A,#N/A,FALSE,"사업총괄";#N/A,#N/A,FALSE,"장비사업";#N/A,#N/A,FALSE,"철구사업";#N/A,#N/A,FALSE,"준설사업"}</definedName>
    <definedName name="이티">#REF!</definedName>
    <definedName name="이팝나무H3.5">#REF!</definedName>
    <definedName name="이행구성원">#REF!</definedName>
    <definedName name="이허ㅑㅎ" hidden="1">{#N/A,#N/A,FALSE,"조골재"}</definedName>
    <definedName name="이형관">#REF!</definedName>
    <definedName name="이형철근">266523</definedName>
    <definedName name="이호표">#REF!</definedName>
    <definedName name="이화연">{"Book1","TOTAL.xls"}</definedName>
    <definedName name="이회장">#N/A</definedName>
    <definedName name="이희선">#REF!,#REF!</definedName>
    <definedName name="이희영" hidden="1">{#N/A,#N/A,FALSE,"생산성";#N/A,#N/A,FALSE,"인력1";#N/A,#N/A,FALSE,"인력2";#N/A,#N/A,FALSE,"인력3";#N/A,#N/A,FALSE,"인건1";#N/A,#N/A,FALSE,"인건2";#N/A,#N/A,FALSE,"인건3";#N/A,#N/A,FALSE,"인원증감";#N/A,#N/A,FALSE,"인건증감";#N/A,#N/A,FALSE,"표지등"}</definedName>
    <definedName name="이ㅏ러ㅑㄷㅇㄴㅌ" hidden="1">{#N/A,#N/A,FALSE,"단가표지"}</definedName>
    <definedName name="이ㅏ로ㅕㄷㄹ" hidden="1">{#N/A,#N/A,FALSE,"단가표지"}</definedName>
    <definedName name="이ㅏㅊ갿ㄹ" hidden="1">{#N/A,#N/A,FALSE,"조골재"}</definedName>
    <definedName name="이ㅏㅎ" hidden="1">{#N/A,#N/A,FALSE,"이태원철근"}</definedName>
    <definedName name="이ㅏ허ㅠ" hidden="1">{#N/A,#N/A,FALSE,"단가표지"}</definedName>
    <definedName name="이ㅓ니ㅣㅓㅇ">0</definedName>
    <definedName name="이ㅓ랻ㄹ" hidden="1">{#N/A,#N/A,FALSE,"혼합골재"}</definedName>
    <definedName name="이ㅓ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ㅗㅕㄱ" hidden="1">{#N/A,#N/A,FALSE,"골재소요량";#N/A,#N/A,FALSE,"골재소요량"}</definedName>
    <definedName name="익산" hidden="1">{#N/A,#N/A,FALSE,"전력간선"}</definedName>
    <definedName name="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2" hidden="1">{#N/A,#N/A,FALSE,"단가표지"}</definedName>
    <definedName name="인가번호">#REF!</definedName>
    <definedName name="인건">#REF!</definedName>
    <definedName name="인건비">#REF!</definedName>
    <definedName name="인건비2">#N/A</definedName>
    <definedName name="인공">#REF!</definedName>
    <definedName name="인공지반층맹암거" hidden="1">{#N/A,#N/A,FALSE,"포장단가"}</definedName>
    <definedName name="인구">#REF!</definedName>
    <definedName name="인동덩쿨">#REF!</definedName>
    <definedName name="인력" hidden="1">{#N/A,#N/A,FALSE,"이태원철근"}</definedName>
    <definedName name="인력_1" hidden="1">{#N/A,#N/A,FALSE,"이태원철근"}</definedName>
    <definedName name="인력_2" hidden="1">{#N/A,#N/A,FALSE,"이태원철근"}</definedName>
    <definedName name="인력_3" hidden="1">{#N/A,#N/A,FALSE,"이태원철근"}</definedName>
    <definedName name="인력2" hidden="1">{#N/A,#N/A,FALSE,"이태원철근"}</definedName>
    <definedName name="인력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운영계획1" hidden="1">{#N/A,#N/A,FALSE,"Sheet1"}</definedName>
    <definedName name="인력운용계획안" hidden="1">{#N/A,#N/A,FALSE,"Sheet1"}</definedName>
    <definedName name="인력투입">#REF!</definedName>
    <definedName name="인력투입계획" hidden="1">{#N/A,#N/A,FALSE,"전력간선"}</definedName>
    <definedName name="인력품">#REF!</definedName>
    <definedName name="인모">#REF!</definedName>
    <definedName name="인발측정">#REF!</definedName>
    <definedName name="인버트두께">#REF!</definedName>
    <definedName name="인부">#REF!</definedName>
    <definedName name="인부신상">#N/A</definedName>
    <definedName name="인부신상자료">#N/A</definedName>
    <definedName name="인사" hidden="1">{#N/A,#N/A,FALSE,"단가표지"}</definedName>
    <definedName name="인사런" hidden="1">{#N/A,#N/A,FALSE,"단가표지"}</definedName>
    <definedName name="인상용직가설전공">#REF!</definedName>
    <definedName name="인상용직경비원">#REF!</definedName>
    <definedName name="인상용직노무">#REF!</definedName>
    <definedName name="인상용직사무보조청소원">#REF!</definedName>
    <definedName name="인상용직시험보조">#REF!</definedName>
    <definedName name="인상용직안전">#REF!</definedName>
    <definedName name="인상용직운전원">#REF!</definedName>
    <definedName name="인상용직자재보조">#REF!</definedName>
    <definedName name="인상용직측량보조원">#REF!</definedName>
    <definedName name="인상용직현장정리원남">#REF!</definedName>
    <definedName name="인상용직현장정리원여">#REF!</definedName>
    <definedName name="인상익" localSheetId="0">BlankMacro1</definedName>
    <definedName name="인상익">BlankMacro1</definedName>
    <definedName name="인샐러ㅑㄱ" hidden="1">{#N/A,#N/A,FALSE,"단가표지"}</definedName>
    <definedName name="인생은무" hidden="1">{#N/A,#N/A,FALSE,"혼합골재"}</definedName>
    <definedName name="인생자막" hidden="1">{#N/A,#N/A,FALSE,"표지목차"}</definedName>
    <definedName name="인샣" hidden="1">{#N/A,#N/A,FALSE,"골재소요량";#N/A,#N/A,FALSE,"골재소요량"}</definedName>
    <definedName name="인쇄">#REF!,#REF!</definedName>
    <definedName name="인쇄01">#REF!</definedName>
    <definedName name="인쇄02">#REF!</definedName>
    <definedName name="인쇄03">#REF!</definedName>
    <definedName name="인쇄범위">#REF!</definedName>
    <definedName name="인쇄양식">[0]!___stp176</definedName>
    <definedName name="인쇄양식1">#N/A</definedName>
    <definedName name="인쇄양식2">#N/A</definedName>
    <definedName name="인쇄양식3">#N/A</definedName>
    <definedName name="인쇄영역">#REF!</definedName>
    <definedName name="인쇄영역2">#REF!</definedName>
    <definedName name="인쇄제목">#REF!</definedName>
    <definedName name="인쇄하기">#REF!</definedName>
    <definedName name="인쇄BU" hidden="1">{#N/A,#N/A,FALSE,"지침";#N/A,#N/A,FALSE,"환경분석";#N/A,#N/A,FALSE,"Sheet16"}</definedName>
    <definedName name="인식">#REF!</definedName>
    <definedName name="인식코드">#REF!</definedName>
    <definedName name="인용">#REF!,#REF!,#REF!,#REF!,#REF!,#REF!</definedName>
    <definedName name="인원">#REF!</definedName>
    <definedName name="인원조직" hidden="1">0</definedName>
    <definedName name="인원증명사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투입1" hidden="1">{#N/A,#N/A,FALSE,"표지"}</definedName>
    <definedName name="인원투입계획">#REF!</definedName>
    <definedName name="인원현황">#REF!</definedName>
    <definedName name="인입">#REF!</definedName>
    <definedName name="인입공사">#REF!</definedName>
    <definedName name="인입공사비">#REF!</definedName>
    <definedName name="인입비">#N/A</definedName>
    <definedName name="인자" hidden="1">{#N/A,#N/A,FALSE,"단가표지"}</definedName>
    <definedName name="인정" hidden="1">{#N/A,#N/A,FALSE,"현장 NCR 분석";#N/A,#N/A,FALSE,"현장품질감사";#N/A,#N/A,FALSE,"현장품질감사"}</definedName>
    <definedName name="인조마블씰">#REF!</definedName>
    <definedName name="인조마블씰노">#REF!</definedName>
    <definedName name="인천">#REF!</definedName>
    <definedName name="인천가치">OFFSET(#REF!,0,0,1,COUNTA(#REF!))</definedName>
    <definedName name="인천공실">OFFSET(#REF!,0,0,1,COUNT(#REF!))</definedName>
    <definedName name="인천수익률">OFFSET(#REF!,0,0,1,COUNTA(#REF!))</definedName>
    <definedName name="인천수입">OFFSET(#REF!,0,0,1,COUNTA(#REF!))</definedName>
    <definedName name="인천여1">#REF!</definedName>
    <definedName name="인천점일위대가" hidden="1">{#N/A,#N/A,FALSE,"Sheet1"}</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출">OFFSET(#REF!,0,0,1,COUNTA(#REF!))</definedName>
    <definedName name="인천NOI">OFFSET(#REF!,0,0,1,COUNTA(#REF!))</definedName>
    <definedName name="인터베스트공정">#REF!</definedName>
    <definedName name="인터베스트스케쥴">#REF!</definedName>
    <definedName name="인테리어">#REF!</definedName>
    <definedName name="인테리어집계표" hidden="1">{#N/A,#N/A,FALSE,"지침";#N/A,#N/A,FALSE,"환경분석";#N/A,#N/A,FALSE,"Sheet16"}</definedName>
    <definedName name="인하대" hidden="1">{#N/A,#N/A,FALSE,"단가표지"}</definedName>
    <definedName name="인할">#REF!</definedName>
    <definedName name="인허가">#REF!</definedName>
    <definedName name="인호건설" hidden="1">{#N/A,#N/A,FALSE,"이태원철근"}</definedName>
    <definedName name="일">#REF!</definedName>
    <definedName name="일__반___관__리__비">#N/A</definedName>
    <definedName name="일.화장실및관리실">#N/A</definedName>
    <definedName name="일각">#REF!</definedName>
    <definedName name="일갸" hidden="1">{#N/A,#N/A,FALSE,"혼합골재"}</definedName>
    <definedName name="일곱월">#REF!</definedName>
    <definedName name="일공구가설">#REF!</definedName>
    <definedName name="일공구가설비">#N/A</definedName>
    <definedName name="일공구간노">#REF!</definedName>
    <definedName name="일공구간접노무비">#N/A</definedName>
    <definedName name="일공구공사">#REF!</definedName>
    <definedName name="일공구공사원가">#N/A</definedName>
    <definedName name="일공구기계경비">#N/A</definedName>
    <definedName name="일공구기타경">#REF!</definedName>
    <definedName name="일공구기타경비">#N/A</definedName>
    <definedName name="일공구도급공사비">#N/A</definedName>
    <definedName name="일공구부가">#REF!</definedName>
    <definedName name="일공구부가가치세">#N/A</definedName>
    <definedName name="일공구산재">#REF!</definedName>
    <definedName name="일공구산재보험료">#N/A</definedName>
    <definedName name="일공구안전관리비">#N/A</definedName>
    <definedName name="일공구이윤">#N/A</definedName>
    <definedName name="일공구일반">#REF!</definedName>
    <definedName name="일공구일반관리비">#N/A</definedName>
    <definedName name="일공구직영비">#REF!</definedName>
    <definedName name="일공구직접노무비">#N/A</definedName>
    <definedName name="일공구직접재료비">#N/A</definedName>
    <definedName name="일공구품질">#REF!</definedName>
    <definedName name="일공구품질관리비">#N/A</definedName>
    <definedName name="일공일" hidden="1">{#N/A,#N/A,FALSE,"이태원철근"}</definedName>
    <definedName name="일관">#REF!</definedName>
    <definedName name="일관1">#REF!</definedName>
    <definedName name="일구">#REF!</definedName>
    <definedName name="일단">#REF!</definedName>
    <definedName name="일대">#REF!</definedName>
    <definedName name="일대1">#REF!</definedName>
    <definedName name="일라인마카경비">#REF!</definedName>
    <definedName name="일라인마카노무비">#REF!</definedName>
    <definedName name="일라인마카재료비">#REF!</definedName>
    <definedName name="일람">#REF!</definedName>
    <definedName name="일람이지">#REF!</definedName>
    <definedName name="일반">#REF!</definedName>
    <definedName name="일반1">#REF!</definedName>
    <definedName name="일반2">#REF!</definedName>
    <definedName name="일반가구" hidden="1">{#N/A,#N/A,FALSE,"현장 NCR 분석";#N/A,#N/A,FALSE,"현장품질감사";#N/A,#N/A,FALSE,"현장품질감사"}</definedName>
    <definedName name="일반건설공사_갑">#REF!</definedName>
    <definedName name="일반건설공사_을">#REF!</definedName>
    <definedName name="일반관리">#REF!</definedName>
    <definedName name="일반관리비">#REF!</definedName>
    <definedName name="일반관리비_산식">#N/A</definedName>
    <definedName name="일반관리비요율">#REF!</definedName>
    <definedName name="일반관리비율">#REF!</definedName>
    <definedName name="일반관리비표">#REF!</definedName>
    <definedName name="일반부" hidden="1">{#N/A,#N/A,FALSE,"조골재"}</definedName>
    <definedName name="일반부_1" hidden="1">{#N/A,#N/A,FALSE,"조골재"}</definedName>
    <definedName name="일반수량931" localSheetId="0">ErrorHandler_1</definedName>
    <definedName name="일반수량931">ErrorHandler_1</definedName>
    <definedName name="일반수량표지2" localSheetId="0">ErrorHandler_1</definedName>
    <definedName name="일반수량표지2">ErrorHandler_1</definedName>
    <definedName name="일반전기" hidden="1">{#N/A,#N/A,FALSE,"물량산출"}</definedName>
    <definedName name="일반전기하도승인">#N/A</definedName>
    <definedName name="일반전등" hidden="1">#REF!</definedName>
    <definedName name="일반조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반조건2">#REF!,#REF!</definedName>
    <definedName name="일반통신설비">#REF!</definedName>
    <definedName name="일본">#REF!</definedName>
    <definedName name="일부" hidden="1">{#N/A,#N/A,FALSE,"생산성";#N/A,#N/A,FALSE,"인력1";#N/A,#N/A,FALSE,"인력2";#N/A,#N/A,FALSE,"인력3";#N/A,#N/A,FALSE,"인건1";#N/A,#N/A,FALSE,"인건2";#N/A,#N/A,FALSE,"인건3";#N/A,#N/A,FALSE,"인원증감";#N/A,#N/A,FALSE,"인건증감";#N/A,#N/A,FALSE,"표지등"}</definedName>
    <definedName name="일산">{"'용역비'!$A$4:$C$8"}</definedName>
    <definedName name="일산219" hidden="1">{#N/A,#N/A,FALSE,"혼합골재"}</definedName>
    <definedName name="일산사업팀" localSheetId="0">BlankMacro1</definedName>
    <definedName name="일산사업팀">BlankMacro1</definedName>
    <definedName name="일산신도시">#REF!</definedName>
    <definedName name="일선종건" hidden="1">{#N/A,#N/A,FALSE,"현장 NCR 분석";#N/A,#N/A,FALSE,"현장품질감사";#N/A,#N/A,FALSE,"현장품질감사"}</definedName>
    <definedName name="일선종건_1" hidden="1">{#N/A,#N/A,FALSE,"현장 NCR 분석";#N/A,#N/A,FALSE,"현장품질감사";#N/A,#N/A,FALSE,"현장품질감사"}</definedName>
    <definedName name="일선종건_2" hidden="1">{#N/A,#N/A,FALSE,"현장 NCR 분석";#N/A,#N/A,FALSE,"현장품질감사";#N/A,#N/A,FALSE,"현장품질감사"}</definedName>
    <definedName name="일선종건_3" hidden="1">{#N/A,#N/A,FALSE,"현장 NCR 분석";#N/A,#N/A,FALSE,"현장품질감사";#N/A,#N/A,FALSE,"현장품질감사"}</definedName>
    <definedName name="일수">DAY(#REF!)</definedName>
    <definedName name="일양">#REF!</definedName>
    <definedName name="일월">#REF!</definedName>
    <definedName name="일위">#REF!,#REF!</definedName>
    <definedName name="일위1">#REF!</definedName>
    <definedName name="일위2">{"'용역비'!$A$4:$C$8"}</definedName>
    <definedName name="일위규격매크로">#REF!</definedName>
    <definedName name="일위다" hidden="1">{"'제10장(표)'!$A$5:$L$10"}</definedName>
    <definedName name="일위단가">#REF!</definedName>
    <definedName name="일위대" hidden="1">{"'제10장(표)'!$A$5:$L$10"}</definedName>
    <definedName name="일위대가">#REF!</definedName>
    <definedName name="일위대가1">#REF!</definedName>
    <definedName name="일위대가11">#REF!</definedName>
    <definedName name="일위대가2">#REF!</definedName>
    <definedName name="일위대가목록" localSheetId="0">BlankMacro1</definedName>
    <definedName name="일위대가목록">BlankMacro1</definedName>
    <definedName name="일위대가목록_2">#REF!</definedName>
    <definedName name="일위대가목록_2_1">#REF!</definedName>
    <definedName name="일위대가목록_2_2">#REF!</definedName>
    <definedName name="일위대가목록_3">#REF!</definedName>
    <definedName name="일위대가집계표">#REF!</definedName>
    <definedName name="일위대가집계표_36_73">NA()</definedName>
    <definedName name="일위대가집계표_36_74">NA()</definedName>
    <definedName name="일위대가폼">#REF!</definedName>
    <definedName name="일위대가표">#REF!</definedName>
    <definedName name="일위목록">#REF!</definedName>
    <definedName name="일위목록2">#N/A</definedName>
    <definedName name="일위산출">#REF!</definedName>
    <definedName name="일위산출1">#REF!</definedName>
    <definedName name="일위수량">#REF!</definedName>
    <definedName name="일위신설">#REF!</definedName>
    <definedName name="일위코드입력매크로">#REF!</definedName>
    <definedName name="일위호표">#REF!</definedName>
    <definedName name="일위화면복귀매크로">#REF!</definedName>
    <definedName name="일의01">#REF!</definedName>
    <definedName name="일일">#N/A</definedName>
    <definedName name="일일실적" hidden="1">{#N/A,#N/A,FALSE,"생산성";#N/A,#N/A,FALSE,"인력1";#N/A,#N/A,FALSE,"인력2";#N/A,#N/A,FALSE,"인력3";#N/A,#N/A,FALSE,"인건1";#N/A,#N/A,FALSE,"인건2";#N/A,#N/A,FALSE,"인건3";#N/A,#N/A,FALSE,"인원증감";#N/A,#N/A,FALSE,"인건증감";#N/A,#N/A,FALSE,"표지등"}</definedName>
    <definedName name="일일일">#N/A</definedName>
    <definedName name="일일일일">#N/A</definedName>
    <definedName name="일자1">#REF!</definedName>
    <definedName name="일자10">#REF!</definedName>
    <definedName name="일자11">#REF!</definedName>
    <definedName name="일자12">#REF!</definedName>
    <definedName name="일자13">#REF!</definedName>
    <definedName name="일자2">#REF!</definedName>
    <definedName name="일자3">#REF!</definedName>
    <definedName name="일자4">#REF!</definedName>
    <definedName name="일자5">#REF!</definedName>
    <definedName name="일자6">#REF!</definedName>
    <definedName name="일자7">#REF!</definedName>
    <definedName name="일자8">#REF!</definedName>
    <definedName name="일자9">#REF!</definedName>
    <definedName name="일정"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일정97" hidden="1">#REF!</definedName>
    <definedName name="일정표" hidden="1">{#N/A,#N/A,FALSE,"이태원철근"}</definedName>
    <definedName name="일정표0124" hidden="1">{#N/A,#N/A,FALSE,"이태원철근"}</definedName>
    <definedName name="일조장해">#REF!</definedName>
    <definedName name="일집" hidden="1">#REF!</definedName>
    <definedName name="일토">#REF!</definedName>
    <definedName name="일호표">#REF!</definedName>
    <definedName name="일B0.6">#REF!</definedName>
    <definedName name="일B6">#REF!</definedName>
    <definedName name="임" hidden="1">{#N/A,#N/A,FALSE,"현장 NCR 분석";#N/A,#N/A,FALSE,"현장품질감사";#N/A,#N/A,FALSE,"현장품질감사"}</definedName>
    <definedName name="임규수" hidden="1">{#N/A,#N/A,FALSE,"현장 NCR 분석";#N/A,#N/A,FALSE,"현장품질감사";#N/A,#N/A,FALSE,"현장품질감사"}</definedName>
    <definedName name="임금">#REF!</definedName>
    <definedName name="임금채권">0.05%</definedName>
    <definedName name="임대" hidden="1">{#N/A,#N/A,FALSE,"현장 NCR 분석";#N/A,#N/A,FALSE,"현장품질감사";#N/A,#N/A,FALSE,"현장품질감사"}</definedName>
    <definedName name="임상건축">#REF!</definedName>
    <definedName name="임상기계">#REF!</definedName>
    <definedName name="임상소방">#REF!</definedName>
    <definedName name="임상전기">#REF!</definedName>
    <definedName name="임상조경">#REF!</definedName>
    <definedName name="임상토목">#REF!</definedName>
    <definedName name="임상통신">#REF!</definedName>
    <definedName name="임선화" hidden="1">{#N/A,#N/A,FALSE,"전력간선"}</definedName>
    <definedName name="임수">#N/A</definedName>
    <definedName name="임시" hidden="1">{#N/A,#N/A,FALSE,"현장 NCR 분석";#N/A,#N/A,FALSE,"현장품질감사";#N/A,#N/A,FALSE,"현장품질감사"}</definedName>
    <definedName name="임시1" hidden="1">{#N/A,#N/A,FALSE,"전력간선"}</definedName>
    <definedName name="임시2" hidden="1">{#N/A,#N/A,FALSE,"전력간선"}</definedName>
    <definedName name="임시동력">#REF!</definedName>
    <definedName name="임용태">#N/A</definedName>
    <definedName name="임직">#REF!</definedName>
    <definedName name="임채진">#REF!</definedName>
    <definedName name="임형" hidden="1">{#N/A,#N/A,FALSE,"포장2"}</definedName>
    <definedName name="입">#REF!</definedName>
    <definedName name="입력">#REF!,#REF!,#REF!,#REF!,#REF!,#REF!,#REF!,#REF!,#REF!,#REF!,#REF!,#REF!</definedName>
    <definedName name="입력란">#REF!</definedName>
    <definedName name="입력선택">#REF!</definedName>
    <definedName name="입력전체">#REF!</definedName>
    <definedName name="입안">#REF!</definedName>
    <definedName name="입안1호">#REF!</definedName>
    <definedName name="입안2호">#REF!</definedName>
    <definedName name="입안3호">#REF!</definedName>
    <definedName name="입안4호">#REF!</definedName>
    <definedName name="입안기존2">#REF!</definedName>
    <definedName name="입찰" hidden="1">{#N/A,#N/A,FALSE,"구조2"}</definedName>
    <definedName name="입찰1">#N/A</definedName>
    <definedName name="입찰2">#N/A</definedName>
    <definedName name="입찰견적보고서">{"Book1","TOTAL.xls"}</definedName>
    <definedName name="입찰견적초청현황">#REF!</definedName>
    <definedName name="입찰공고현황_공고_목록">#REF!</definedName>
    <definedName name="입찰금액">#REF!</definedName>
    <definedName name="입찰금액안" hidden="1">#REF!</definedName>
    <definedName name="입찰내역">#REF!</definedName>
    <definedName name="입찰방식">#REF!</definedName>
    <definedName name="입찰서상순공사원가이외금액">#REF!</definedName>
    <definedName name="입찰처">"Text 64"</definedName>
    <definedName name="잉" hidden="1">{#N/A,#N/A,FALSE,"지침";#N/A,#N/A,FALSE,"환경분석";#N/A,#N/A,FALSE,"Sheet16"}</definedName>
    <definedName name="잉크" hidden="1">{#N/A,#N/A,FALSE,"이태원철근"}</definedName>
    <definedName name="ㅇㄳ">#REF!</definedName>
    <definedName name="ㅇㄶ" hidden="1">#REF!</definedName>
    <definedName name="ㅇㄶㄱㄷ" hidden="1">{#N/A,#N/A,FALSE,"단가표지"}</definedName>
    <definedName name="ㅇㄶㄱㄷㅎ" hidden="1">{#N/A,#N/A,FALSE,"단가표지"}</definedName>
    <definedName name="ㅇㄶㄱㄷㅎㄹㅇ" hidden="1">{#N/A,#N/A,FALSE,"단가표지"}</definedName>
    <definedName name="ㅇㄶㄱㄷㅎㅇㄹ" hidden="1">{#N/A,#N/A,FALSE,"혼합골재"}</definedName>
    <definedName name="ㅇㄶㄱㅎ" hidden="1">{#N/A,#N/A,FALSE,"단가표지"}</definedName>
    <definedName name="ㅇㄶㄷㄱㅎㄷㄱㅎ" hidden="1">{#N/A,#N/A,FALSE,"2~8번"}</definedName>
    <definedName name="ㅇㄶㄹ" hidden="1">#REF!</definedName>
    <definedName name="ㅇㄶㄹㄷㄱㄹㅈ" hidden="1">{#N/A,"수불부",FALSE,"사급자재수불서";#N/A,"수불부",FALSE,"사급자재수불서"}</definedName>
    <definedName name="ㅇㄶㄹ숃ㄹㄷ" hidden="1">{#N/A,#N/A,FALSE,"운반시간"}</definedName>
    <definedName name="ㅇㄶ력ㅎ" hidden="1">{#N/A,#N/A,FALSE,"단가표지"}</definedName>
    <definedName name="ㅇㄶㅁㄴㄱㄷ" hidden="1">{#N/A,"수불부",FALSE,"사급자재수불서";#N/A,"수불부",FALSE,"사급자재수불서"}</definedName>
    <definedName name="ㅇㄶㅁㄷㄱㄹㅈ" hidden="1">{#N/A,"수불부",FALSE,"사급자재수불서";#N/A,"수불부",FALSE,"사급자재수불서"}</definedName>
    <definedName name="ㅇㄶㅇㄹ" hidden="1">{#N/A,#N/A,FALSE,"운반시간"}</definedName>
    <definedName name="ㅇㄶㅇ롤" hidden="1">{#N/A,#N/A,FALSE,"지침";#N/A,#N/A,FALSE,"환경분석";#N/A,#N/A,FALSE,"Sheet16"}</definedName>
    <definedName name="ㅇㄺ" hidden="1">{#N/A,#N/A,FALSE,"운반시간"}</definedName>
    <definedName name="ㅇㄺㄷㅎ" hidden="1">{#N/A,#N/A,FALSE,"골재소요량";#N/A,#N/A,FALSE,"골재소요량"}</definedName>
    <definedName name="ㅇㄺㄹ" hidden="1">{#N/A,#N/A,FALSE,"단가표지"}</definedName>
    <definedName name="ㅇㄺㄹㅇㅍㄹㅇ" hidden="1">{#N/A,#N/A,FALSE,"단가표지"}</definedName>
    <definedName name="ㅇㄺㅎ" hidden="1">{#N/A,#N/A,FALSE,"단가표지"}</definedName>
    <definedName name="ㅇㄻ" hidden="1">{#N/A,#N/A,FALSE,"BS";#N/A,#N/A,FALSE,"PL";#N/A,#N/A,FALSE,"처분";#N/A,#N/A,FALSE,"현금";#N/A,#N/A,FALSE,"매출";#N/A,#N/A,FALSE,"원가";#N/A,#N/A,FALSE,"경영"}</definedName>
    <definedName name="ㅇㄻㄴㅁㄴㄻ" hidden="1">{#N/A,#N/A,FALSE,"단가표지"}</definedName>
    <definedName name="ㅇㄻㄴㅇㄻㄴㅇㄹ" hidden="1">#REF!</definedName>
    <definedName name="ㅇㄻㄴㅀ" hidden="1">{#N/A,"수불부",FALSE,"사급자재수불서";#N/A,"수불부",FALSE,"사급자재수불서"}</definedName>
    <definedName name="ㅇㄻㄴㄻ" hidden="1">{#N/A,#N/A,FALSE,"기안지";#N/A,#N/A,FALSE,"통신지"}</definedName>
    <definedName name="ㅇㄻㄹㅇ">{"'자리배치도'!$AG$1:$CI$28"}</definedName>
    <definedName name="ㅇㄻㅇㄻㄴㄹ" hidden="1">{#N/A,#N/A,FALSE,"단가표지"}</definedName>
    <definedName name="ㅇㄻㄻㄹ">#REF!</definedName>
    <definedName name="ㅇㄽㄱ" hidden="1">{#N/A,#N/A,FALSE,"전력간선"}</definedName>
    <definedName name="ㅇㄿ">#N/A</definedName>
    <definedName name="ㅇㄿㄴㄹ" hidden="1">{#N/A,#N/A,FALSE,"생산성";#N/A,#N/A,FALSE,"인력1";#N/A,#N/A,FALSE,"인력2";#N/A,#N/A,FALSE,"인력3";#N/A,#N/A,FALSE,"인건1";#N/A,#N/A,FALSE,"인건2";#N/A,#N/A,FALSE,"인건3";#N/A,#N/A,FALSE,"인원증감";#N/A,#N/A,FALSE,"인건증감";#N/A,#N/A,FALSE,"표지등"}</definedName>
    <definedName name="ㅇㄿㄹㅇ" hidden="1">{#N/A,#N/A,FALSE,"표지목차"}</definedName>
    <definedName name="ㅇㄿㄹㅇㅇ" hidden="1">{#N/A,#N/A,FALSE,"단가표지"}</definedName>
    <definedName name="ㅇㄿㄹ윳휴" hidden="1">{#N/A,#N/A,FALSE,"조골재"}</definedName>
    <definedName name="ㅇㄿㄹ윻ㅇ" hidden="1">{#N/A,#N/A,FALSE,"혼합골재"}</definedName>
    <definedName name="ㅇㄿㅇㄿ" hidden="1">{#N/A,#N/A,FALSE,"골재소요량";#N/A,#N/A,FALSE,"골재소요량"}</definedName>
    <definedName name="ㅇㄿㅎㄹㅇㅎㅍㄱ" hidden="1">{#N/A,#N/A,FALSE,"단가표지"}</definedName>
    <definedName name="ㅇㄿㅎㄹㅇㅎㄳ" hidden="1">{#N/A,#N/A,FALSE,"2~8번"}</definedName>
    <definedName name="ㅈ" hidden="1">{#N/A,#N/A,FALSE,"혼합골재"}</definedName>
    <definedName name="ㅈ24">#REF!</definedName>
    <definedName name="ㅈ3ㅈㅈㄷㅈㅇ" localSheetId="0">BlankMacro1</definedName>
    <definedName name="ㅈ3ㅈㅈㄷㅈㅇ">BlankMacro1</definedName>
    <definedName name="ㅈ4" hidden="1">{#N/A,#N/A,FALSE,"현장 NCR 분석";#N/A,#N/A,FALSE,"현장품질감사";#N/A,#N/A,FALSE,"현장품질감사"}</definedName>
    <definedName name="ㅈ56ㅕ">{"'용역비'!$A$4:$C$8"}</definedName>
    <definedName name="ㅈㄱ" hidden="1">{#N/A,#N/A,FALSE,"조골재"}</definedName>
    <definedName name="ㅈㄱ_1" hidden="1">{#N/A,#N/A,FALSE,"조골재"}</definedName>
    <definedName name="ㅈㄱㄱㄷ">#REF!</definedName>
    <definedName name="ㅈㄱㄷㄷㅈ">#N/A</definedName>
    <definedName name="ㅈㄱㄷㅁㄹㄴ" hidden="1">#REF!</definedName>
    <definedName name="ㅈㄱ셔ㅛㅈ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셪교ㅑㅕㅈ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ㅈㄱ" hidden="1">{#N/A,#N/A,FALSE,"CCTV"}</definedName>
    <definedName name="ㅈㄱㅎ">#REF!</definedName>
    <definedName name="ㅈ걋ㄷ" hidden="1">{#N/A,#N/A,FALSE,"CCTV"}</definedName>
    <definedName name="ㅈ거ㅛㄴ저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ㅕㅛㄱ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ㅓ쟞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ㅕㅕ5죠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겻ㅈ겻">#REF!</definedName>
    <definedName name="ㅈ겾교ㅑ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곶"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ㅅㅅㅅ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좃"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곶ㄳ">#REF!</definedName>
    <definedName name="ㅈ교ㅓ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ㅗㅕㅛㅅㅈ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ㅕ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구" hidden="1">{#N/A,#N/A,FALSE,"CCTV"}</definedName>
    <definedName name="ㅈㄴ" hidden="1">{#N/A,#N/A,FALSE,"이태원철근"}</definedName>
    <definedName name="ㅈ너ㅗㅓㅛ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ㅛ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뇨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 hidden="1">{#N/A,#N/A,FALSE,"혼합골재"}</definedName>
    <definedName name="ㅈㄷㄱ" hidden="1">{#N/A,#N/A,FALSE,"기안지";#N/A,#N/A,FALSE,"통신지"}</definedName>
    <definedName name="ㅈㄷㄱㄷ" hidden="1">#REF!</definedName>
    <definedName name="ㅈㄷㄱㄷㄱㄷ">{"'용역비'!$A$4:$C$8"}</definedName>
    <definedName name="ㅈㄷㄱㄷㄹㄴㅇ" hidden="1">{#N/A,#N/A,FALSE,"요약";#N/A,#N/A,FALSE,"보고목차";#N/A,#N/A,FALSE,"1)서비스접수";#N/A,#N/A,FALSE,"2)상담";#N/A,#N/A,FALSE,"2.월별접수추이현황";#N/A,#N/A,FALSE,"3.상담내용";#N/A,#N/A,FALSE,"4.미처리현황"}</definedName>
    <definedName name="ㅈㄷㄱㄷㅈ" hidden="1">{#N/A,#N/A,FALSE,"생산성";#N/A,#N/A,FALSE,"인력1";#N/A,#N/A,FALSE,"인력2";#N/A,#N/A,FALSE,"인력3";#N/A,#N/A,FALSE,"인건1";#N/A,#N/A,FALSE,"인건2";#N/A,#N/A,FALSE,"인건3";#N/A,#N/A,FALSE,"인원증감";#N/A,#N/A,FALSE,"인건증감";#N/A,#N/A,FALSE,"표지등"}</definedName>
    <definedName name="ㅈㄷㄱㄷㅈㄱ" hidden="1">{"'Sheet1'!$A$22:$G$23","'Sheet1'!$A$6","'Sheet1'!$E$10","'Sheet1'!$A$1:$F$23","'Sheet1'!$B$10","'Sheet1'!$A$1:$G$22","'Sheet1'!$A$1:$G$51"}</definedName>
    <definedName name="ㅈㄷㄱㄷㅈㄱㄷㅈ" hidden="1">{#N/A,#N/A,FALSE,"표지목차"}</definedName>
    <definedName name="ㅈㄷㄱㅂㅈㄷ" hidden="1">#REF!</definedName>
    <definedName name="ㅈㄷㄱㅈ" hidden="1">{#N/A,#N/A,FALSE,"Sheet6"}</definedName>
    <definedName name="ㅈㄷㄱㅈㄷㄱ" hidden="1">{#N/A,#N/A,FALSE,"이태원철근"}</definedName>
    <definedName name="ㅈㄷㄱㅈㄷㄱㄷ주" hidden="1">{#N/A,#N/A,FALSE,"이태원철근"}</definedName>
    <definedName name="ㅈㄷㄱㅈㄷㄱㅈ" hidden="1">{#N/A,#N/A,FALSE,"이태원철근"}</definedName>
    <definedName name="ㅈㄷㄱㅈㄷㄱㅈㄷ" hidden="1">{#N/A,#N/A,FALSE,"이태원철근"}</definedName>
    <definedName name="ㅈㄷㄱㅈㄷㄱㅈㄷㄱ" hidden="1">{#N/A,#N/A,FALSE,"이태원철근"}</definedName>
    <definedName name="ㅈㄷㄱㅈㄷㄱㅈㄷㄱㅈㄷ" hidden="1">{#N/A,#N/A,FALSE,"이태원철근"}</definedName>
    <definedName name="ㅈㄷㄱㅈㄷㄱㅈㅈ" hidden="1">{#N/A,#N/A,FALSE,"이태원철근"}</definedName>
    <definedName name="ㅈㄷㄱㅈㄷㄴㄷㄹ" hidden="1">{#N/A,#N/A,FALSE,"요약";#N/A,#N/A,FALSE,"보고목차";#N/A,#N/A,FALSE,"1)서비스접수";#N/A,#N/A,FALSE,"2)상담";#N/A,#N/A,FALSE,"2.월별접수추이현황";#N/A,#N/A,FALSE,"3.상담내용";#N/A,#N/A,FALSE,"4.미처리현황"}</definedName>
    <definedName name="ㅈㄷㄱㅈㄷㅎ" hidden="1">{#N/A,#N/A,FALSE,"기안지";#N/A,#N/A,FALSE,"통신지"}</definedName>
    <definedName name="ㅈㄷㄱㅎㄱㄷ">#REF!</definedName>
    <definedName name="ㅈㄷ겨ㅑㅐ져ㅏㄴ어" hidden="1">{#N/A,#N/A,FALSE,"생산성";#N/A,#N/A,FALSE,"인력1";#N/A,#N/A,FALSE,"인력2";#N/A,#N/A,FALSE,"인력3";#N/A,#N/A,FALSE,"인건1";#N/A,#N/A,FALSE,"인건2";#N/A,#N/A,FALSE,"인건3";#N/A,#N/A,FALSE,"인원증감";#N/A,#N/A,FALSE,"인건증감";#N/A,#N/A,FALSE,"표지등"}</definedName>
    <definedName name="ㅈㄷ겨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교죠ㅜ" hidden="1">{#N/A,#N/A,FALSE,"이태원철근"}</definedName>
    <definedName name="ㅈㄷ굗ㄱ죠죠" hidden="1">{#N/A,#N/A,FALSE,"이태원철근"}</definedName>
    <definedName name="ㅈㄷ굦ㄷ굑ㅈ됴죧ㄱ" hidden="1">{#N/A,#N/A,FALSE,"이태원철근"}</definedName>
    <definedName name="ㅈㄷㄱ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ㄴㄷㄱ" hidden="1">{#N/A,#N/A,FALSE,"기안지";#N/A,#N/A,FALSE,"통신지"}</definedName>
    <definedName name="ㅈㄷㄷㄱㅇ로" hidden="1">#REF!</definedName>
    <definedName name="ㅈㄷㄹ">#REF!</definedName>
    <definedName name="ㅈㄷㄹㄷㄱㅎ">#REF!</definedName>
    <definedName name="ㅈㄷㅁㅎㅎㄷ" hidden="1">{#N/A,#N/A,FALSE,"단가표지"}</definedName>
    <definedName name="ㅈㄷㅂㄱㄷ" hidden="1">#REF!</definedName>
    <definedName name="ㅈㄷㅂㄹ">#REF!</definedName>
    <definedName name="ㅈㄷㅅㄱㄷㅅ" hidden="1">#REF!</definedName>
    <definedName name="ㅈㄷㅅㄱㅈㅅㄱ" hidden="1">#REF!</definedName>
    <definedName name="ㅈㄷㅅㄷㄱ" hidden="1">#REF!</definedName>
    <definedName name="ㅈㄷㅅㄷㅈㄷ">#REF!</definedName>
    <definedName name="ㅈㄷㅅㄹㅈㄷㅅㄹ" localSheetId="0">BlankMacro1</definedName>
    <definedName name="ㅈㄷㅅㄹㅈㄷㅅㄹ">BlankMacro1</definedName>
    <definedName name="ㅈㄷㅅㅅㄱ" hidden="1">#REF!</definedName>
    <definedName name="ㅈㄷㅅㅅㄷㅈㅎㅁ" hidden="1">{#N/A,#N/A,FALSE,"Sheet1"}</definedName>
    <definedName name="ㅈㄷㅅㅅㅈㅅㅈㄷ" hidden="1">{#N/A,#N/A,FALSE,"이태원철근"}</definedName>
    <definedName name="ㅈㄷㅅㅈㅅ" hidden="1">{#N/A,#N/A,FALSE,"이태원철근"}</definedName>
    <definedName name="ㅈㄷㅅㅎㄴ">#REF!</definedName>
    <definedName name="ㅈㄷ쇼ㅛㅈㄱ" hidden="1">{#N/A,#N/A,FALSE,"이태원철근"}</definedName>
    <definedName name="ㅈㄷㅅㄳ" hidden="1">#REF!</definedName>
    <definedName name="ㅈㄷㅈㄱㅈㅂ" hidden="1">{#N/A,#N/A,FALSE,"갑지";#N/A,#N/A,FALSE,"개요";#N/A,#N/A,FALSE,"비목별";#N/A,#N/A,FALSE,"건물별";#N/A,#N/A,FALSE,"기구표";#N/A,#N/A,FALSE,"직원투입"}</definedName>
    <definedName name="ㅈㄷㅈㄷ">#REF!</definedName>
    <definedName name="ㅈㄷㅎㄹㅇㅀㄹ" hidden="1">{#N/A,#N/A,FALSE,"단가표지"}</definedName>
    <definedName name="ㅈㄷㅄ" hidden="1">#REF!</definedName>
    <definedName name="ㅈ뎌ㅛ둊" hidden="1">{#N/A,#N/A,FALSE,"조골재"}</definedName>
    <definedName name="ㅈ됴">#N/A</definedName>
    <definedName name="ㅈㄷㄳ" hidden="1">{#N/A,#N/A,FALSE,"이태원철근"}</definedName>
    <definedName name="ㅈㄷㄳㅈㄷ" hidden="1">{#N/A,#N/A,FALSE,"Sheet6"}</definedName>
    <definedName name="ㅈㄷㄳㅈㄷㅍㅎㄱ" hidden="1">{#N/A,#N/A,FALSE,"표지목차"}</definedName>
    <definedName name="ㅈㄷㄳㅎㅍㅂㅈㄱ" hidden="1">{#N/A,#N/A,FALSE,"골재소요량";#N/A,#N/A,FALSE,"골재소요량"}</definedName>
    <definedName name="ㅈㄷㄳㄳㄱㄷㅈ" hidden="1">#REF!</definedName>
    <definedName name="ㅈㄷㄺㄷㅎㄺㅅ" hidden="1">{#N/A,#N/A,FALSE,"운반시간"}</definedName>
    <definedName name="ㅈㄷㄻㅇㄹ" hidden="1">#REF!</definedName>
    <definedName name="ㅈㄷㄻㅈ" hidden="1">#REF!</definedName>
    <definedName name="ㅈㄷㄿㅀㄷ" hidden="1">{#N/A,#N/A,FALSE,"단가표지"}</definedName>
    <definedName name="ㅈㅁㄱㄷ" hidden="1">{#N/A,#N/A,FALSE,"단가표지"}</definedName>
    <definedName name="ㅈㅂ" hidden="1">#REF!</definedName>
    <definedName name="ㅈㅂㄱㄷㅈ" hidden="1">{#N/A,#N/A,FALSE,"단가표지"}</definedName>
    <definedName name="ㅈㅂㄷ">#REF!</definedName>
    <definedName name="ㅈㅂㄷㄹ">#REF!</definedName>
    <definedName name="ㅈㅂㅇㄴㅁㅇㅈㅇㅂ" hidden="1">{#N/A,#N/A,FALSE,"이태원철근"}</definedName>
    <definedName name="ㅈㅂㅇㅈ">#REF!,#REF!</definedName>
    <definedName name="ㅈㅂㅈ">#REF!</definedName>
    <definedName name="ㅈㅂㅈ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ㅅㄷㅂㄳ">#N/A</definedName>
    <definedName name="ㅈㅅㅈㄷㄳ">#REF!</definedName>
    <definedName name="ㅈ셪ㄱ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겾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솢ㄱ솢ㄳ">#REF!</definedName>
    <definedName name="ㅈ솢ㅅ곡속ㅈ">#REF!</definedName>
    <definedName name="ㅈㅇ" hidden="1">{"Header",#N/A,TRUE,"Summary";"ProjectInfo",#N/A,TRUE,"Total Value"}</definedName>
    <definedName name="ㅈㅇㄱㅎㄱ" hidden="1">{#N/A,#N/A,FALSE,"운반시간"}</definedName>
    <definedName name="ㅈㅇㄷㄷ" hidden="1">{#N/A,#N/A,FALSE,"골재소요량";#N/A,#N/A,FALSE,"골재소요량"}</definedName>
    <definedName name="ㅈㅇㄹ" hidden="1">{#N/A,#N/A,FALSE,"이태원철근"}</definedName>
    <definedName name="ㅈㅇㄹㄷ" hidden="1">{#N/A,#N/A,FALSE,"단가표지"}</definedName>
    <definedName name="ㅈㅇㅁㄴㅇㅂㄴㄷㅇㅁ" hidden="1">{#N/A,#N/A,FALSE,"이태원철근"}</definedName>
    <definedName name="ㅈㅈ">#REF!</definedName>
    <definedName name="ㅈㅈ2" hidden="1">{#N/A,#N/A,FALSE,"조골재"}</definedName>
    <definedName name="ㅈㅈㅈ">#REF!</definedName>
    <definedName name="ㅈㅈㅈㅈ" hidden="1">#REF!</definedName>
    <definedName name="ㅈㅈㅈㅈ_1" hidden="1">{#N/A,#N/A,FALSE,"전력간선"}</definedName>
    <definedName name="ㅈㅈㅈㅈㅈ" hidden="1">{#N/A,#N/A,FALSE,"명세표"}</definedName>
    <definedName name="ㅈㅈㅈㅈㅈ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ㅈㅈㅈㅈ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ㅈㅈ조ㅗㅗㅗㅗㅗ" hidden="1">{#N/A,#N/A,FALSE,"표지목차"}</definedName>
    <definedName name="ㅈ자" hidden="1">{#N/A,#N/A,FALSE,"CCTV"}</definedName>
    <definedName name="ㅈ체0ㅇㄹ" hidden="1">{#N/A,#N/A,FALSE,"생산성";#N/A,#N/A,FALSE,"인력1";#N/A,#N/A,FALSE,"인력2";#N/A,#N/A,FALSE,"인력3";#N/A,#N/A,FALSE,"인건1";#N/A,#N/A,FALSE,"인건2";#N/A,#N/A,FALSE,"인건3";#N/A,#N/A,FALSE,"인원증감";#N/A,#N/A,FALSE,"인건증감";#N/A,#N/A,FALSE,"표지등"}</definedName>
    <definedName name="ㅈㅎ">#REF!</definedName>
    <definedName name="ㅈㅀㅎ" hidden="1">{#N/A,#N/A,FALSE,"Sheet1"}</definedName>
    <definedName name="자" hidden="1">{"'Sheet1'!$A$4:$M$21","'Sheet1'!$J$17:$K$19"}</definedName>
    <definedName name="자_트">#REF!</definedName>
    <definedName name="자." hidden="1">{#N/A,#N/A,FALSE,"UNIT";#N/A,#N/A,FALSE,"UNIT";#N/A,#N/A,FALSE,"계정"}</definedName>
    <definedName name="자.." hidden="1">{#N/A,#N/A,FALSE,"UNIT";#N/A,#N/A,FALSE,"UNIT";#N/A,#N/A,FALSE,"계정"}</definedName>
    <definedName name="자01">#REF!</definedName>
    <definedName name="자02_1">#REF!</definedName>
    <definedName name="자02_2">#REF!</definedName>
    <definedName name="자03">#REF!</definedName>
    <definedName name="자04">#REF!</definedName>
    <definedName name="자05">#REF!</definedName>
    <definedName name="자06">#REF!</definedName>
    <definedName name="자07">#REF!</definedName>
    <definedName name="자08">#REF!</definedName>
    <definedName name="자09">#REF!</definedName>
    <definedName name="자10">#REF!</definedName>
    <definedName name="자11">#REF!</definedName>
    <definedName name="자12">#REF!</definedName>
    <definedName name="자13">#REF!</definedName>
    <definedName name="자14">#REF!</definedName>
    <definedName name="자15">#REF!</definedName>
    <definedName name="자16">#REF!</definedName>
    <definedName name="자17">#REF!</definedName>
    <definedName name="자18">#REF!</definedName>
    <definedName name="자19">#REF!</definedName>
    <definedName name="자20">#REF!</definedName>
    <definedName name="자21">#REF!</definedName>
    <definedName name="자22">#REF!</definedName>
    <definedName name="자23">#REF!</definedName>
    <definedName name="자24">#REF!</definedName>
    <definedName name="자25">#REF!</definedName>
    <definedName name="자26">#REF!</definedName>
    <definedName name="자27">#REF!</definedName>
    <definedName name="자28">#REF!</definedName>
    <definedName name="자29">#REF!</definedName>
    <definedName name="자3" localSheetId="0">BlankMacro1</definedName>
    <definedName name="자3">BlankMacro1</definedName>
    <definedName name="자30">#REF!</definedName>
    <definedName name="자31">#REF!</definedName>
    <definedName name="자32">#REF!</definedName>
    <definedName name="자33">#REF!</definedName>
    <definedName name="자34">#REF!</definedName>
    <definedName name="자35">#REF!</definedName>
    <definedName name="자36">#REF!</definedName>
    <definedName name="자4" localSheetId="0">BlankMacro1</definedName>
    <definedName name="자4">BlankMacro1</definedName>
    <definedName name="자갈">#REF!</definedName>
    <definedName name="자갈경">#REF!</definedName>
    <definedName name="자갈노">#REF!</definedName>
    <definedName name="자갈운반">#REF!</definedName>
    <definedName name="자갈운반경비">#REF!</definedName>
    <definedName name="자갈운반계">#REF!</definedName>
    <definedName name="자갈운반노무비">#REF!</definedName>
    <definedName name="자갈운반재료비">#REF!</definedName>
    <definedName name="자갈운반톤경비">#REF!</definedName>
    <definedName name="자갈운반톤계">#REF!</definedName>
    <definedName name="자갈운반톤노무비">#REF!</definedName>
    <definedName name="자갈운반톤재료비">#REF!</definedName>
    <definedName name="자갈재">#REF!</definedName>
    <definedName name="자거리" hidden="1">{#N/A,#N/A,FALSE,"단가표지"}</definedName>
    <definedName name="자구계획">#REF!</definedName>
    <definedName name="자귀">#REF!</definedName>
    <definedName name="자귀나무">#REF!</definedName>
    <definedName name="자귀나무H3.0xR8">#REF!</definedName>
    <definedName name="자금수지" hidden="1">#REF!</definedName>
    <definedName name="자기" hidden="1">{#N/A,#N/A,FALSE,"혼합골재"}</definedName>
    <definedName name="자기서로" hidden="1">{#N/A,#N/A,FALSE,"운반시간"}</definedName>
    <definedName name="자기아웃" hidden="1">{#N/A,#N/A,FALSE,"표지목차"}</definedName>
    <definedName name="자기어하" hidden="1">{#N/A,#N/A,FALSE,"단가표지"}</definedName>
    <definedName name="자기자본">#REF!</definedName>
    <definedName name="자너얗ㄹ" hidden="1">{#N/A,#N/A,FALSE,"2~8번"}</definedName>
    <definedName name="자너어앶ㅈ" hidden="1">#REF!</definedName>
    <definedName name="자눌" hidden="1">{#N/A,#N/A,FALSE,"조골재"}</definedName>
    <definedName name="자니기미" hidden="1">{#N/A,#N/A,FALSE,"단가표지"}</definedName>
    <definedName name="자당계약">#REF!</definedName>
    <definedName name="자동">#REF!</definedName>
    <definedName name="자동노">#REF!</definedName>
    <definedName name="자동안내방송설비">#N/A</definedName>
    <definedName name="자동자">#REF!</definedName>
    <definedName name="자동제어.도급">#REF!</definedName>
    <definedName name="자동제어1차공량산출" localSheetId="0">BlankMacro1</definedName>
    <definedName name="자동제어1차공량산출">BlankMacro1</definedName>
    <definedName name="자동화재탐지설비">#REF!</definedName>
    <definedName name="자디" hidden="1">{#N/A,#N/A,FALSE,"지침";#N/A,#N/A,FALSE,"환경분석";#N/A,#N/A,FALSE,"Sheet16"}</definedName>
    <definedName name="자러혹" hidden="1">{#N/A,#N/A,FALSE,"단가표지"}</definedName>
    <definedName name="자료">#REF!</definedName>
    <definedName name="자류" hidden="1">{#N/A,#N/A,FALSE,"골재소요량";#N/A,#N/A,FALSE,"골재소요량"}</definedName>
    <definedName name="자몽" hidden="1">{#N/A,#N/A,FALSE,"2~8번"}</definedName>
    <definedName name="자미" hidden="1">{#N/A,#N/A,FALSE,"명세표"}</definedName>
    <definedName name="자미1" hidden="1">{#N/A,#N/A,FALSE,"명세표"}</definedName>
    <definedName name="자미꾸" hidden="1">{#N/A,#N/A,FALSE,"표지목차"}</definedName>
    <definedName name="자미리" hidden="1">{#N/A,#N/A,FALSE,"단가표지"}</definedName>
    <definedName name="자산홍3노무">#REF!</definedName>
    <definedName name="자산홍3재료">#REF!</definedName>
    <definedName name="자산홍4노무">#REF!</definedName>
    <definedName name="자산홍4재료">#REF!</definedName>
    <definedName name="자산홍8노무">#REF!</definedName>
    <definedName name="자산홍8재료">#REF!</definedName>
    <definedName name="자산회전">#REF!</definedName>
    <definedName name="자설용역" hidden="1">{#N/A,#N/A,FALSE,"CCTV"}</definedName>
    <definedName name="자소량" hidden="1">{#N/A,#N/A,FALSE,"표지";#N/A,#N/A,FALSE,"생산현황";#N/A,#N/A,FALSE,"중량수율";#N/A,#N/A,FALSE,"길이수율";#N/A,#N/A,FALSE,"노동";#N/A,#N/A,FALSE,"기기";#N/A,#N/A,FALSE,"기기가동(누계)";#N/A,#N/A,FALSE,"자소원료"}</definedName>
    <definedName name="자양" hidden="1">{#N/A,#N/A,FALSE,"이태원철근"}</definedName>
    <definedName name="자양공사개요" hidden="1">{#N/A,#N/A,FALSE,"이태원철근"}</definedName>
    <definedName name="자어ㅕㄱㄹ" hidden="1">{#N/A,#N/A,FALSE,"단가표지"}</definedName>
    <definedName name="자연석1">#REF!</definedName>
    <definedName name="자연석16노무">#REF!</definedName>
    <definedName name="자연석16재료">#REF!</definedName>
    <definedName name="자연석2">#REF!</definedName>
    <definedName name="자연석26노무">#REF!</definedName>
    <definedName name="자연석26재료">#REF!</definedName>
    <definedName name="자연석3">#REF!</definedName>
    <definedName name="자연석5노무">#REF!</definedName>
    <definedName name="자연석5재료">#REF!</definedName>
    <definedName name="자연석6노무">#REF!</definedName>
    <definedName name="자연석6재료">#REF!</definedName>
    <definedName name="자연석7노무">#REF!</definedName>
    <definedName name="자연석7재료">#REF!</definedName>
    <definedName name="자연석경">#REF!</definedName>
    <definedName name="자연석노">#REF!</definedName>
    <definedName name="자연석쌓기경">#REF!</definedName>
    <definedName name="자연석쌓기노">#REF!</definedName>
    <definedName name="자연석쌓기재">#REF!</definedName>
    <definedName name="자연석재">#REF!</definedName>
    <definedName name="자연수위">#REF!</definedName>
    <definedName name="자우리" hidden="1">{#N/A,#N/A,FALSE,"운반시간"}</definedName>
    <definedName name="자웃아껴" hidden="1">{#N/A,#N/A,FALSE,"혼합골재"}</definedName>
    <definedName name="자유로" hidden="1">{#N/A,#N/A,FALSE,"현장 NCR 분석";#N/A,#N/A,FALSE,"현장품질감사";#N/A,#N/A,FALSE,"현장품질감사"}</definedName>
    <definedName name="자유세">#REF!</definedName>
    <definedName name="자유주민세">#REF!</definedName>
    <definedName name="자을" hidden="1">{#N/A,#N/A,FALSE,"조골재"}</definedName>
    <definedName name="자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자니" hidden="1">{#N/A,#N/A,FALSE,"단가표지"}</definedName>
    <definedName name="자자자잦" localSheetId="0">BlankMacro1</definedName>
    <definedName name="자자자잦">BlankMacro1</definedName>
    <definedName name="자장" localSheetId="0">BlankMacro1</definedName>
    <definedName name="자장">BlankMacro1</definedName>
    <definedName name="자재">#REF!</definedName>
    <definedName name="자재1" hidden="1">{#N/A,#N/A,FALSE,"포장2"}</definedName>
    <definedName name="자재2" hidden="1">{#N/A,#N/A,FALSE,"구조2"}</definedName>
    <definedName name="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경비">#REF!</definedName>
    <definedName name="자재공사">#REF!</definedName>
    <definedName name="자재노무">#REF!</definedName>
    <definedName name="자재단가">#REF!</definedName>
    <definedName name="자재단가근거" hidden="1">#REF!</definedName>
    <definedName name="자재단가표">#REF!</definedName>
    <definedName name="자재단가할증">#REF!</definedName>
    <definedName name="자재및인원2">#REF!</definedName>
    <definedName name="자재비">#REF!</definedName>
    <definedName name="자재비분개장" hidden="1">{#N/A,#N/A,FALSE,"표지목차"}</definedName>
    <definedName name="자재비분개장1" hidden="1">{#N/A,#N/A,FALSE,"운반시간"}</definedName>
    <definedName name="자재비청구서" hidden="1">#N/A</definedName>
    <definedName name="자재업" hidden="1">#REF!</definedName>
    <definedName name="자재율1">0.95</definedName>
    <definedName name="자재인력조달">[0]!_10B_85</definedName>
    <definedName name="자재재료">#REF!</definedName>
    <definedName name="자재정리" hidden="1">#REF!</definedName>
    <definedName name="자재정리도급비" hidden="1">#REF!</definedName>
    <definedName name="자재정리새" hidden="1">#REF!</definedName>
    <definedName name="자재정리팀" hidden="1">#REF!</definedName>
    <definedName name="자재집계5" localSheetId="0">BlankMacro1</definedName>
    <definedName name="자재집계5">BlankMacro1</definedName>
    <definedName name="자재집계표">#REF!</definedName>
    <definedName name="자재집계표제목">#REF!</definedName>
    <definedName name="자재코드">#N/A</definedName>
    <definedName name="자재코드2">#N/A</definedName>
    <definedName name="자진" hidden="1">#REF!</definedName>
    <definedName name="자체1" hidden="1">#REF!</definedName>
    <definedName name="자츄핒바" hidden="1">#REF!</definedName>
    <definedName name="자판기" hidden="1">{#N/A,#N/A,FALSE,"UNIT";#N/A,#N/A,FALSE,"UNIT";#N/A,#N/A,FALSE,"계정"}</definedName>
    <definedName name="자ㅓㅑㅕㅍㅇ" hidden="1">{#N/A,#N/A,FALSE,"운반시간"}</definedName>
    <definedName name="작" hidden="1">{#N/A,#N/A,FALSE,"전력간선"}</definedName>
    <definedName name="작_업__반_장">#REF!</definedName>
    <definedName name="작성">#REF!,#REF!</definedName>
    <definedName name="작성개요">#REF!</definedName>
    <definedName name="작성개요1" localSheetId="0">BlankMacro1</definedName>
    <definedName name="작성개요1">BlankMacro1</definedName>
    <definedName name="작성일">#REF!</definedName>
    <definedName name="작성표">#REF!</definedName>
    <definedName name="작약노무">#REF!</definedName>
    <definedName name="작약재료">#REF!</definedName>
    <definedName name="작어비트" hidden="1">{"'표지'!$B$5"}</definedName>
    <definedName name="작업">#REF!</definedName>
    <definedName name="작업계획" hidden="1">{#N/A,#N/A,FALSE,"포장단가"}</definedName>
    <definedName name="작업도중" hidden="1">{#N/A,#N/A,FALSE,"단가표지"}</definedName>
    <definedName name="작업반장">#REF!</definedName>
    <definedName name="작업반장001">#REF!</definedName>
    <definedName name="작업반장002">#REF!</definedName>
    <definedName name="작업반장011">#REF!</definedName>
    <definedName name="작업반장982">#REF!</definedName>
    <definedName name="작업반장991">#REF!</definedName>
    <definedName name="작업반장992">#REF!</definedName>
    <definedName name="작업부산물">#REF!</definedName>
    <definedName name="작업시트" hidden="1">{"'표지'!$B$5"}</definedName>
    <definedName name="작업일보" hidden="1">{#N/A,#N/A,FALSE,"운반시간"}</definedName>
    <definedName name="잔">#REF!</definedName>
    <definedName name="잔기미" hidden="1">{#N/A,#N/A,FALSE,"혼합골재"}</definedName>
    <definedName name="잔다을" hidden="1">{#N/A,#N/A,FALSE,"단가표지"}</definedName>
    <definedName name="잔디">#REF!</definedName>
    <definedName name="잔디_평떼">#REF!</definedName>
    <definedName name="잔디1">#REF!</definedName>
    <definedName name="잔디5경">#REF!</definedName>
    <definedName name="잔디5노무">#REF!</definedName>
    <definedName name="잔디5재료">#REF!</definedName>
    <definedName name="잔디경">#N/A</definedName>
    <definedName name="잔디노">#N/A</definedName>
    <definedName name="잔디노무">#REF!</definedName>
    <definedName name="잔디재">#N/A</definedName>
    <definedName name="잔디재료">#REF!</definedName>
    <definedName name="잔미다" hidden="1">{#N/A,#N/A,FALSE,"운반시간"}</definedName>
    <definedName name="잔여공정표" hidden="1">{#N/A,#N/A,FALSE,"Sheet1"}</definedName>
    <definedName name="잔여유토지">#REF!</definedName>
    <definedName name="잔인생" hidden="1">{#N/A,#N/A,FALSE,"조골재"}</definedName>
    <definedName name="잔자갈노">#REF!</definedName>
    <definedName name="잔자갈재">#REF!</definedName>
    <definedName name="잔지" localSheetId="0">BlankMacro1</definedName>
    <definedName name="잔지">BlankMacro1</definedName>
    <definedName name="잔토">#REF!</definedName>
    <definedName name="잔토경">#REF!</definedName>
    <definedName name="잔토노">#REF!</definedName>
    <definedName name="잔토재">#REF!</definedName>
    <definedName name="잔토처리">#REF!</definedName>
    <definedName name="잔토처리0.4경비">#REF!</definedName>
    <definedName name="잔토처리0.4계">#REF!</definedName>
    <definedName name="잔토처리0.4노무비">#REF!</definedName>
    <definedName name="잔토처리0.4운반경비">#REF!</definedName>
    <definedName name="잔토처리0.4운반계">#REF!</definedName>
    <definedName name="잔토처리0.4운반노무비">#REF!</definedName>
    <definedName name="잔토처리0.4운반재료비">#REF!</definedName>
    <definedName name="잔토처리0.4재료비">#REF!</definedName>
    <definedName name="잔토처리0.4적사경비">#REF!</definedName>
    <definedName name="잔토처리0.4적사계">#REF!</definedName>
    <definedName name="잔토처리0.4적사노무비">#REF!</definedName>
    <definedName name="잔토처리0.4적사재료비">#REF!</definedName>
    <definedName name="잔토처리0.7경비">#REF!</definedName>
    <definedName name="잔토처리0.7계">#REF!</definedName>
    <definedName name="잔토처리0.7노무비">#REF!</definedName>
    <definedName name="잔토처리0.7운반경비">#REF!</definedName>
    <definedName name="잔토처리0.7운반계">#REF!</definedName>
    <definedName name="잔토처리0.7운반노무비">#REF!</definedName>
    <definedName name="잔토처리0.7운반재료비">#REF!</definedName>
    <definedName name="잔토처리0.7재료비">#REF!</definedName>
    <definedName name="잔토처리0.7적사경비">#REF!</definedName>
    <definedName name="잔토처리0.7적사계">#REF!</definedName>
    <definedName name="잔토처리0.7적사노무비">#REF!</definedName>
    <definedName name="잔토처리0.7적사재료비">#REF!</definedName>
    <definedName name="잘라" hidden="1">#REF!</definedName>
    <definedName name="잘있어" hidden="1">{#N/A,#N/A,FALSE,"단가표지"}</definedName>
    <definedName name="잠___수___부">#REF!</definedName>
    <definedName name="잠___함___공">#N/A</definedName>
    <definedName name="잠수부001">#REF!</definedName>
    <definedName name="잠수부002">#REF!</definedName>
    <definedName name="잠수부011">#REF!</definedName>
    <definedName name="잠수부982">#REF!</definedName>
    <definedName name="잠수부991">#REF!</definedName>
    <definedName name="잠수부992">#REF!</definedName>
    <definedName name="잠원동">#REF!,#REF!</definedName>
    <definedName name="잡공경비">#REF!</definedName>
    <definedName name="잡공노무">#REF!</definedName>
    <definedName name="잡공사">#REF!</definedName>
    <definedName name="잡공재료">#REF!</definedName>
    <definedName name="잡비산출" hidden="1">#REF!</definedName>
    <definedName name="잡석">#REF!</definedName>
    <definedName name="잡석노">#REF!</definedName>
    <definedName name="잡석노무">#REF!</definedName>
    <definedName name="잡석물량산출" hidden="1">{#N/A,#N/A,FALSE,"전력간선"}</definedName>
    <definedName name="잡석물량집계표" hidden="1">{#N/A,#N/A,FALSE,"전력간선"}</definedName>
    <definedName name="잡석재">#REF!</definedName>
    <definedName name="잡석재료">#REF!</definedName>
    <definedName name="잡자재비">#REF!</definedName>
    <definedName name="잡자재S">#REF!</definedName>
    <definedName name="잡철">#N/A</definedName>
    <definedName name="잡철경">#REF!</definedName>
    <definedName name="잡철공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잡철노">#REF!</definedName>
    <definedName name="잡철물일위대가2004" hidden="1">#REF!</definedName>
    <definedName name="잡철물제작설치">#REF!</definedName>
    <definedName name="잡철재">#REF!</definedName>
    <definedName name="잡A소계">#REF!</definedName>
    <definedName name="잡B소계">#REF!</definedName>
    <definedName name="잡C소계">#REF!</definedName>
    <definedName name="잡D소계">#REF!</definedName>
    <definedName name="잡E소계">#REF!</definedName>
    <definedName name="잡F소계">#REF!</definedName>
    <definedName name="잡G소계">#REF!</definedName>
    <definedName name="잡H소계">#REF!</definedName>
    <definedName name="잡I소계">#REF!</definedName>
    <definedName name="잡J소계">#REF!</definedName>
    <definedName name="잣나무">#REF!</definedName>
    <definedName name="잣나무10노무">#REF!</definedName>
    <definedName name="잣나무10재료">#REF!</definedName>
    <definedName name="잣나무15노무">#REF!</definedName>
    <definedName name="잣나무15재료">#REF!</definedName>
    <definedName name="잣나무18노무">#REF!</definedName>
    <definedName name="잣나무18재료">#REF!</definedName>
    <definedName name="잣나무20노무">#REF!</definedName>
    <definedName name="잣나무20재료">#REF!</definedName>
    <definedName name="잣나무22노무">#REF!</definedName>
    <definedName name="잣나무22재료">#REF!</definedName>
    <definedName name="장">#REF!</definedName>
    <definedName name="장경">#REF!</definedName>
    <definedName name="장고개터널A1353">#REF!</definedName>
    <definedName name="장교폐기물">{"Book1","수시.XLS"}</definedName>
    <definedName name="장구" hidden="1">{#N/A,#N/A,FALSE,"Sheet6"}</definedName>
    <definedName name="장기" hidden="1">{#N/A,#N/A,FALSE,"지침";#N/A,#N/A,FALSE,"환경분석";#N/A,#N/A,FALSE,"Sheet16"}</definedName>
    <definedName name="장기미수">#REF!</definedName>
    <definedName name="장노">#REF!</definedName>
    <definedName name="장동일"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장비">#REF!</definedName>
    <definedName name="장비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비부하">#REF!</definedName>
    <definedName name="장비손료">#REF!</definedName>
    <definedName name="장비손료1">#REF!</definedName>
    <definedName name="장사급">#REF!</definedName>
    <definedName name="장산1">#REF!</definedName>
    <definedName name="장산2">#REF!</definedName>
    <definedName name="장산3">#REF!</definedName>
    <definedName name="장산교">#REF!</definedName>
    <definedName name="장성">#REF!,#REF!</definedName>
    <definedName name="장손1">#REF!</definedName>
    <definedName name="장손2">#REF!</definedName>
    <definedName name="장손3">#REF!</definedName>
    <definedName name="장손4">#REF!</definedName>
    <definedName name="장순상">#REF!</definedName>
    <definedName name="장운">#REF!</definedName>
    <definedName name="장운반">#REF!</definedName>
    <definedName name="장위" hidden="1">#REF!</definedName>
    <definedName name="장이" hidden="1">{#N/A,#N/A,FALSE,"사업총괄";#N/A,#N/A,FALSE,"장비사업";#N/A,#N/A,FALSE,"철구사업";#N/A,#N/A,FALSE,"준설사업"}</definedName>
    <definedName name="장재">#REF!</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집">{"'용역비'!$A$4:$C$8"}</definedName>
    <definedName name="장춘">#REF!</definedName>
    <definedName name="잦" localSheetId="0">BlankMacro1</definedName>
    <definedName name="잦">BlankMacro1</definedName>
    <definedName name="자R10">#REF!</definedName>
    <definedName name="자R15">#REF!</definedName>
    <definedName name="자R20">#REF!</definedName>
    <definedName name="자R5">#REF!</definedName>
    <definedName name="자R6">#REF!</definedName>
    <definedName name="자R7">#REF!</definedName>
    <definedName name="자R8">#REF!</definedName>
    <definedName name="자W0.3">#REF!</definedName>
    <definedName name="자W0.4">#REF!</definedName>
    <definedName name="자W0.5">#REF!</definedName>
    <definedName name="자W0.6">#REF!</definedName>
    <definedName name="자W0.8">#REF!</definedName>
    <definedName name="자W1.0">#REF!</definedName>
    <definedName name="자W1.2">#REF!</definedName>
    <definedName name="재">#REF!</definedName>
    <definedName name="재______료______비">#REF!</definedName>
    <definedName name="재1">#REF!</definedName>
    <definedName name="재2">#REF!</definedName>
    <definedName name="재3">#REF!</definedName>
    <definedName name="재4">#REF!</definedName>
    <definedName name="재5">#REF!</definedName>
    <definedName name="재6">#REF!</definedName>
    <definedName name="재건축경과" hidden="1">{#N/A,#N/A,FALSE,"이태원철근"}</definedName>
    <definedName name="재견적" hidden="1">{#N/A,#N/A,FALSE,"현장 NCR 분석";#N/A,#N/A,FALSE,"현장품질감사";#N/A,#N/A,FALSE,"현장품질감사"}</definedName>
    <definedName name="재견적서" hidden="1">{#N/A,#N/A,FALSE,"전력간선"}</definedName>
    <definedName name="재경비21">#N/A</definedName>
    <definedName name="재경비22">#N/A</definedName>
    <definedName name="재경비23">#N/A</definedName>
    <definedName name="재경비24">#N/A</definedName>
    <definedName name="재경비25">#N/A</definedName>
    <definedName name="재경비26">#N/A</definedName>
    <definedName name="재경비27">#N/A</definedName>
    <definedName name="재경비28">#N/A</definedName>
    <definedName name="재경비29">#N/A</definedName>
    <definedName name="재경비30">#N/A</definedName>
    <definedName name="재경비31">#N/A</definedName>
    <definedName name="재경비32">#N/A</definedName>
    <definedName name="재고합">#REF!</definedName>
    <definedName name="재교">#REF!</definedName>
    <definedName name="재금액">#REF!</definedName>
    <definedName name="재금액1">#REF!</definedName>
    <definedName name="재노비">#REF!</definedName>
    <definedName name="재단">#REF!</definedName>
    <definedName name="재롱이">#N/A</definedName>
    <definedName name="재료">#REF!</definedName>
    <definedName name="재료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재료노무합계" hidden="1">{"'건축내역'!$A$1:$L$413"}</definedName>
    <definedName name="재료비">#REF!</definedName>
    <definedName name="재료비1">#REF!</definedName>
    <definedName name="재료비2">#REF!</definedName>
    <definedName name="재료비3">#REF!</definedName>
    <definedName name="재료비선택">#N/A</definedName>
    <definedName name="재료비요율">#REF!</definedName>
    <definedName name="재료비합계">#REF!</definedName>
    <definedName name="재료에너지비누계출력">#REF!</definedName>
    <definedName name="재료에너지비출력">#REF!</definedName>
    <definedName name="재료집계">#REF!</definedName>
    <definedName name="재료집계2">#REF!</definedName>
    <definedName name="재료집계3">#REF!</definedName>
    <definedName name="재료집계표" hidden="1">#REF!</definedName>
    <definedName name="재료집계호남">#REF!</definedName>
    <definedName name="재료할증">#REF!</definedName>
    <definedName name="재시공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재정부">#REF!</definedName>
    <definedName name="재조">#REF!</definedName>
    <definedName name="재집">{"'용역비'!$A$4:$C$8"}</definedName>
    <definedName name="재하하중">#REF!</definedName>
    <definedName name="재해율">#REF!</definedName>
    <definedName name="쟈댜">#REF!</definedName>
    <definedName name="쟌다르크" hidden="1">{#N/A,#N/A,FALSE,"2~8번"}</definedName>
    <definedName name="쟝" hidden="1">{#N/A,#N/A,FALSE,"이정표"}</definedName>
    <definedName name="저">#REF!</definedName>
    <definedName name="저102">#REF!</definedName>
    <definedName name="저103">#REF!</definedName>
    <definedName name="저감방안수립">#REF!</definedName>
    <definedName name="저격2">#REF!</definedName>
    <definedName name="저나" hidden="1">{#N/A,#N/A,TRUE,"대외공문"}</definedName>
    <definedName name="저나_1" hidden="1">{#N/A,#N/A,TRUE,"대외공문"}</definedName>
    <definedName name="저나_2" hidden="1">{#N/A,#N/A,TRUE,"대외공문"}</definedName>
    <definedName name="저나_3" hidden="1">{#N/A,#N/A,TRUE,"대외공문"}</definedName>
    <definedName name="저라인" hidden="1">{#N/A,#N/A,FALSE,"혼합골재"}</definedName>
    <definedName name="저비" hidden="1">{"'Sheet1'!$D$19","'Sheet1'!$B$22:$E$22"}</definedName>
    <definedName name="저수전기실">#N/A</definedName>
    <definedName name="저수조만수위">#REF!</definedName>
    <definedName name="저압">#REF!</definedName>
    <definedName name="저압케이블">#N/A</definedName>
    <definedName name="저압케이블공">#N/A</definedName>
    <definedName name="저압케이블공_11_2" localSheetId="0">GGGG___8</definedName>
    <definedName name="저압케이블공_11_2">GGGG___8</definedName>
    <definedName name="저압케이블공_11_73">#N/A</definedName>
    <definedName name="저압케이블공_11_74">#N/A</definedName>
    <definedName name="저압케이블공_22_74">#N/A</definedName>
    <definedName name="저압케이블공_23">[0]!GHFGHFG</definedName>
    <definedName name="저압케이블공_23_2">[0]!GHG</definedName>
    <definedName name="저압케이블공_23_73">#N/A</definedName>
    <definedName name="저압케이블공_31_2">#N/A</definedName>
    <definedName name="저압케이블공_43" localSheetId="0">gita</definedName>
    <definedName name="저압케이블공_43">gita</definedName>
    <definedName name="저압케이블공_59" localSheetId="0">gita1</definedName>
    <definedName name="저압케이블공_59">gita1</definedName>
    <definedName name="저압케이블공_77" localSheetId="0">gita142</definedName>
    <definedName name="저압케이블공_77">gita142</definedName>
    <definedName name="저압케이블공노">#REF!</definedName>
    <definedName name="저압케이블전공">#REF!</definedName>
    <definedName name="저압케이블전공001">#REF!</definedName>
    <definedName name="저압케이블전공002">#REF!</definedName>
    <definedName name="저압케이블전공011">#REF!</definedName>
    <definedName name="저압케이블전공982">#REF!</definedName>
    <definedName name="저압케이블전공991">#REF!</definedName>
    <definedName name="저압케이블전공992">#REF!</definedName>
    <definedName name="저오뇩" hidden="1">{#N/A,#N/A,FALSE,"혼합골재"}</definedName>
    <definedName name="저온" hidden="1">{#N/A,#N/A,FALSE,"견적갑지";#N/A,#N/A,FALSE,"총괄표";#N/A,#N/A,FALSE,"철골공사";#N/A,#N/A,FALSE,"토목공사";#N/A,#N/A,FALSE,"판넬전기공사"}</definedName>
    <definedName name="저온1" hidden="1">{#N/A,#N/A,FALSE,"견적갑지";#N/A,#N/A,FALSE,"총괄표";#N/A,#N/A,FALSE,"철골공사";#N/A,#N/A,FALSE,"토목공사";#N/A,#N/A,FALSE,"판넬전기공사"}</definedName>
    <definedName name="저온냉동" hidden="1">{#N/A,#N/A,FALSE,"견적갑지";#N/A,#N/A,FALSE,"총괄표";#N/A,#N/A,FALSE,"철골공사";#N/A,#N/A,FALSE,"토목공사";#N/A,#N/A,FALSE,"판넬전기공사"}</definedName>
    <definedName name="저온설비" hidden="1">{#N/A,#N/A,FALSE,"견적갑지";#N/A,#N/A,FALSE,"총괄표";#N/A,#N/A,FALSE,"철골공사";#N/A,#N/A,FALSE,"토목공사";#N/A,#N/A,FALSE,"판넬전기공사"}</definedName>
    <definedName name="저온저장고" hidden="1">{#N/A,#N/A,FALSE,"견적갑지";#N/A,#N/A,FALSE,"총괄표";#N/A,#N/A,FALSE,"철골공사";#N/A,#N/A,FALSE,"토목공사";#N/A,#N/A,FALSE,"판넬전기공사"}</definedName>
    <definedName name="저온집계" hidden="1">{#N/A,#N/A,FALSE,"견적갑지";#N/A,#N/A,FALSE,"총괄표";#N/A,#N/A,FALSE,"철골공사";#N/A,#N/A,FALSE,"토목공사";#N/A,#N/A,FALSE,"판넬전기공사"}</definedName>
    <definedName name="저저" hidden="1">{#N/A,#N/A,FALSE,"UNIT";#N/A,#N/A,FALSE,"UNIT";#N/A,#N/A,FALSE,"계정"}</definedName>
    <definedName name="저케">#REF!</definedName>
    <definedName name="저케2004">#REF!</definedName>
    <definedName name="저판">#REF!</definedName>
    <definedName name="저판두께">#REF!</definedName>
    <definedName name="저ㅐ저" hidden="1">{#N/A,#N/A,FALSE,"운반시간"}</definedName>
    <definedName name="적격점수1">#REF!</definedName>
    <definedName name="적디" hidden="1">{#N/A,#N/A,FALSE,"2~8번"}</definedName>
    <definedName name="적요">#REF!</definedName>
    <definedName name="적용">#REF!</definedName>
    <definedName name="적용거리">#REF!</definedName>
    <definedName name="적용단가" localSheetId="0">Dlog_Show</definedName>
    <definedName name="적용단가">Dlog_Show</definedName>
    <definedName name="적용단가1" hidden="1">{#N/A,#N/A,FALSE,"현장 NCR 분석";#N/A,#N/A,FALSE,"현장품질감사";#N/A,#N/A,FALSE,"현장품질감사"}</definedName>
    <definedName name="적용대가산출표">#REF!</definedName>
    <definedName name="적용사례">#REF!,#REF!</definedName>
    <definedName name="적용속도">#REF!</definedName>
    <definedName name="적용연장">#REF!</definedName>
    <definedName name="적용연장비">#REF!</definedName>
    <definedName name="적용톤수">#REF!</definedName>
    <definedName name="전">#REF!</definedName>
    <definedName name="전_1" hidden="1">{#N/A,#N/A,TRUE,"대외공문"}</definedName>
    <definedName name="전_2" hidden="1">{#N/A,#N/A,TRUE,"대외공문"}</definedName>
    <definedName name="전_4" hidden="1">{#N/A,#N/A,TRUE,"대외공문"}</definedName>
    <definedName name="전_화_번_호">#REF!</definedName>
    <definedName name="전1">#REF!</definedName>
    <definedName name="전2">#REF!</definedName>
    <definedName name="전간">#REF!</definedName>
    <definedName name="전강" hidden="1">{#N/A,#N/A,FALSE,"이태원철근"}</definedName>
    <definedName name="전개1">#REF!</definedName>
    <definedName name="전거울" hidden="1">{#N/A,#N/A,FALSE,"조골재"}</definedName>
    <definedName name="전계장금액" hidden="1">#REF!</definedName>
    <definedName name="전공">#REF!</definedName>
    <definedName name="전관방송공량">#REF!</definedName>
    <definedName name="전국지도" hidden="1">{#N/A,#N/A,FALSE,"요약";#N/A,#N/A,FALSE,"보고목차";#N/A,#N/A,FALSE,"1)서비스접수";#N/A,#N/A,FALSE,"2)상담";#N/A,#N/A,FALSE,"2.월별접수추이현황";#N/A,#N/A,FALSE,"3.상담내용";#N/A,#N/A,FALSE,"4.미처리현황"}</definedName>
    <definedName name="전기" hidden="1">#REF!</definedName>
    <definedName name="전기1" hidden="1">#N/A</definedName>
    <definedName name="전기1골구">#REF!</definedName>
    <definedName name="전기1급2004">#REF!</definedName>
    <definedName name="전기2">#REF!</definedName>
    <definedName name="전기2공구">#REF!</definedName>
    <definedName name="전기3공구">#REF!</definedName>
    <definedName name="전기4" hidden="1">{#N/A,#N/A,FALSE,"견적갑지";#N/A,#N/A,FALSE,"총괄표";#N/A,#N/A,FALSE,"철골공사";#N/A,#N/A,FALSE,"토목공사";#N/A,#N/A,FALSE,"판넬전기공사"}</definedName>
    <definedName name="전기개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기경비">#REF!,#REF!</definedName>
    <definedName name="전기계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공사" hidden="1">#REF!</definedName>
    <definedName name="전기공사기사_전기공사기사1급001">#REF!</definedName>
    <definedName name="전기공사기사_전기공사기사1급002">#REF!</definedName>
    <definedName name="전기공사기사_전기공사기사1급011">#REF!</definedName>
    <definedName name="전기공사기사_전기공사기사1급982">#REF!</definedName>
    <definedName name="전기공사기사_전기공사기사1급991">#REF!</definedName>
    <definedName name="전기공사기사_전기공사기사1급992">#REF!</definedName>
    <definedName name="전기공사기사1급">#REF!</definedName>
    <definedName name="전기공사기사2급">#REF!</definedName>
    <definedName name="전기공사비교" hidden="1">{#N/A,#N/A,FALSE,"손익표지";#N/A,#N/A,FALSE,"손익계산";#N/A,#N/A,FALSE,"일반관리비";#N/A,#N/A,FALSE,"영업외수익";#N/A,#N/A,FALSE,"영업외비용";#N/A,#N/A,FALSE,"매출액";#N/A,#N/A,FALSE,"요약손익";#N/A,#N/A,FALSE,"요약대차";#N/A,#N/A,FALSE,"매출채권현황";#N/A,#N/A,FALSE,"매출채권명세"}</definedName>
    <definedName name="전기공사산업기사_전기공사기사2급001">#REF!</definedName>
    <definedName name="전기공사산업기사_전기공사기사2급002">#REF!</definedName>
    <definedName name="전기공사산업기사_전기공사기사2급011">#REF!</definedName>
    <definedName name="전기공사산업기사_전기공사기사2급982">#REF!</definedName>
    <definedName name="전기공사산업기사_전기공사기사2급991">#REF!</definedName>
    <definedName name="전기공사산업기사_전기공사기사2급992">#REF!</definedName>
    <definedName name="전기공사원가" localSheetId="0">BlankMacro1</definedName>
    <definedName name="전기공사원가">BlankMacro1</definedName>
    <definedName name="전기공사원가내역" localSheetId="0">BlankMacro1</definedName>
    <definedName name="전기공사원가내역">BlankMacro1</definedName>
    <definedName name="전기관급">#REF!</definedName>
    <definedName name="전기구" hidden="1">{"'장비'!$A$3:$M$12"}</definedName>
    <definedName name="전기금액">#REF!</definedName>
    <definedName name="전기기사1급">64800</definedName>
    <definedName name="전기기사2급">62990</definedName>
    <definedName name="전기낙찰율">#REF!</definedName>
    <definedName name="전기내역" hidden="1">{#N/A,#N/A,FALSE,"CCTV"}</definedName>
    <definedName name="전기내역_1" hidden="1">{#N/A,#N/A,FALSE,"CCTV"}</definedName>
    <definedName name="전기내역2" hidden="1">{"'공사부문'!$A$6:$A$32"}</definedName>
    <definedName name="전기내역서">{"Book1","수시.XLS"}</definedName>
    <definedName name="전기노무">#REF!,#REF!</definedName>
    <definedName name="전기단가">#N/A</definedName>
    <definedName name="전기마감" hidden="1">#REF!</definedName>
    <definedName name="전기변경1" localSheetId="0">BlankMacro1</definedName>
    <definedName name="전기변경1">BlankMacro1</definedName>
    <definedName name="전기변경3" localSheetId="0">BlankMacro1</definedName>
    <definedName name="전기변경3">BlankMacro1</definedName>
    <definedName name="전기비1" hidden="1">#REF!</definedName>
    <definedName name="전기비333" hidden="1">#REF!</definedName>
    <definedName name="전기사양_SAMPL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옥" hidden="1">{#N/A,#N/A,FALSE,"골재소요량";#N/A,#N/A,FALSE,"골재소요량"}</definedName>
    <definedName name="전기산출" hidden="1">#REF!</definedName>
    <definedName name="전기산출내역" hidden="1">#REF!</definedName>
    <definedName name="전기상세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서비스">#N/A</definedName>
    <definedName name="전기실도장">#REF!</definedName>
    <definedName name="전기원" hidden="1">#REF!</definedName>
    <definedName name="전기원가" localSheetId="0">BLCH</definedName>
    <definedName name="전기원가">BLCH</definedName>
    <definedName name="전기자재_공개분">#REF!</definedName>
    <definedName name="전기재료">#REF!,#REF!</definedName>
    <definedName name="전기재료관">#REF!</definedName>
    <definedName name="전기집계">#REF!</definedName>
    <definedName name="전기태" hidden="1">{#N/A,#N/A,FALSE,"도급대비시행율";#N/A,#N/A,FALSE,"결의서";#N/A,#N/A,FALSE,"내역서";#N/A,#N/A,FALSE,"도급예상"}</definedName>
    <definedName name="전기통신" hidden="1">#REF!</definedName>
    <definedName name="전기특기조건" hidden="1">{#N/A,#N/A,FALSE,"현장 NCR 분석";#N/A,#N/A,FALSE,"현장품질감사";#N/A,#N/A,FALSE,"현장품질감사"}</definedName>
    <definedName name="전기특기조건_1" hidden="1">{#N/A,#N/A,FALSE,"현장 NCR 분석";#N/A,#N/A,FALSE,"현장품질감사";#N/A,#N/A,FALSE,"현장품질감사"}</definedName>
    <definedName name="전기특기조건1" hidden="1">{#N/A,#N/A,FALSE,"현장 NCR 분석";#N/A,#N/A,FALSE,"현장품질감사";#N/A,#N/A,FALSE,"현장품질감사"}</definedName>
    <definedName name="전기표지2" hidden="1">{#N/A,#N/A,FALSE,"지침";#N/A,#N/A,FALSE,"환경분석";#N/A,#N/A,FALSE,"Sheet16"}</definedName>
    <definedName name="전기품질">#REF!</definedName>
    <definedName name="전기합계">#REF!,#REF!</definedName>
    <definedName name="전내1544k">#REF!</definedName>
    <definedName name="전내2048k">#REF!</definedName>
    <definedName name="전내33.6k">#REF!</definedName>
    <definedName name="전내56k">#REF!</definedName>
    <definedName name="전내768k">#REF!</definedName>
    <definedName name="전단" hidden="1">{#N/A,#N/A,FALSE,"혼합골재"}</definedName>
    <definedName name="전단강도감소계수">#REF!</definedName>
    <definedName name="전단철근불필요시">#REF!</definedName>
    <definedName name="전동기용량">#REF!</definedName>
    <definedName name="전등">#N/A</definedName>
    <definedName name="전등1" hidden="1">{#N/A,#N/A,FALSE,"전력간선"}</definedName>
    <definedName name="전등공내역" hidden="1">{#N/A,#N/A,FALSE,"CCTV"}</definedName>
    <definedName name="전등공량">#REF!</definedName>
    <definedName name="전등단가">#REF!</definedName>
    <definedName name="전등단가1">#REF!</definedName>
    <definedName name="전등설비" hidden="1">{#N/A,#N/A,FALSE,"CCTV"}</definedName>
    <definedName name="전등수량">#REF!</definedName>
    <definedName name="전등수량1">#REF!</definedName>
    <definedName name="전등신설">#REF!</definedName>
    <definedName name="전등철거단가">#REF!</definedName>
    <definedName name="전등철거단가1">#REF!</definedName>
    <definedName name="전력">#REF!</definedName>
    <definedName name="전력료">#REF!</definedName>
    <definedName name="전망">#REF!</definedName>
    <definedName name="전사" hidden="1">{#N/A,#N/A,FALSE,"지침";#N/A,#N/A,FALSE,"환경분석";#N/A,#N/A,FALSE,"Sheet16"}</definedName>
    <definedName name="전사_대손추가" hidden="1">{#N/A,#N/A,FALSE,"BS";#N/A,#N/A,FALSE,"PL";#N/A,#N/A,FALSE,"처분";#N/A,#N/A,FALSE,"현금";#N/A,#N/A,FALSE,"매출";#N/A,#N/A,FALSE,"원가";#N/A,#N/A,FALSE,"경영"}</definedName>
    <definedName name="전산볼트">#REF!</definedName>
    <definedName name="전석전개도TYPEA" localSheetId="0">BlankMacro1</definedName>
    <definedName name="전석전개도TYPEA">BlankMacro1</definedName>
    <definedName name="전선">#N/A</definedName>
    <definedName name="전선_관">#REF!</definedName>
    <definedName name="전선_콘넥타">#N/A</definedName>
    <definedName name="전선_GV">#N/A</definedName>
    <definedName name="전선_HIV">#N/A</definedName>
    <definedName name="전선_IV">#N/A</definedName>
    <definedName name="전선_OW">#N/A</definedName>
    <definedName name="전선관">#REF!</definedName>
    <definedName name="전선관_노말밴드">#N/A</definedName>
    <definedName name="전선관_파상형">#N/A</definedName>
    <definedName name="전선관_후렉_콘넥타">#N/A</definedName>
    <definedName name="전선관_후렉시블">#N/A</definedName>
    <definedName name="전선관_CD">#N/A</definedName>
    <definedName name="전선관_HI">#N/A</definedName>
    <definedName name="전선관_STEEL">#N/A</definedName>
    <definedName name="전선관부속품비">#REF!</definedName>
    <definedName name="전선랙크">#N/A</definedName>
    <definedName name="전선재고">#REF!</definedName>
    <definedName name="전선조장" hidden="1">#REF!</definedName>
    <definedName name="전선택">#REF!</definedName>
    <definedName name="전압강하가기">#REF!</definedName>
    <definedName name="전압강하계산" hidden="1">{#N/A,#N/A,TRUE,"대외공문"}</definedName>
    <definedName name="전열" hidden="1">{#N/A,#N/A,FALSE,"전력간선"}</definedName>
    <definedName name="전열1" hidden="1">{#N/A,#N/A,FALSE,"전력간선"}</definedName>
    <definedName name="전열공량">#REF!</definedName>
    <definedName name="전외1544k">#REF!</definedName>
    <definedName name="전외2048k">#REF!</definedName>
    <definedName name="전외33.6k">#REF!</definedName>
    <definedName name="전외56k">#REF!</definedName>
    <definedName name="전외768k">#REF!</definedName>
    <definedName name="전용회선개통비_64K이하">#REF!</definedName>
    <definedName name="전용회선개통비_64K초과">#REF!</definedName>
    <definedName name="전월">#N/A</definedName>
    <definedName name="전자">#REF!</definedName>
    <definedName name="전자결">#REF!</definedName>
    <definedName name="전자과기성" hidden="1">{#N/A,#N/A,FALSE,"단가표지"}</definedName>
    <definedName name="전자내역">#REF!</definedName>
    <definedName name="전자산">#N/A</definedName>
    <definedName name="전장">#REF!</definedName>
    <definedName name="전자CF" hidden="1">{#N/A,#N/A,FALSE,"지침";#N/A,#N/A,FALSE,"환경분석";#N/A,#N/A,FALSE,"Sheet16"}</definedName>
    <definedName name="전재만">#REF!</definedName>
    <definedName name="전주2">#REF!</definedName>
    <definedName name="전주3">#REF!</definedName>
    <definedName name="전주가치">OFFSET(#REF!,0,0,1,COUNTA(#REF!))</definedName>
    <definedName name="전주공실">OFFSET(#REF!,0,0,1,COUNT(#REF!))</definedName>
    <definedName name="전주수익률">OFFSET(#REF!,0,0,1,COUNTA(#REF!))</definedName>
    <definedName name="전주수입">OFFSET(#REF!,0,0,1,COUNTA(#REF!))</definedName>
    <definedName name="전주지출">OFFSET(#REF!,0,0,1,COUNTA(#REF!))</definedName>
    <definedName name="전주NOI">OFFSET(#REF!,0,0,1,COUNTA(#REF!))</definedName>
    <definedName name="전지2기가설">#REF!</definedName>
    <definedName name="전체">#REF!</definedName>
    <definedName name="전체_검토_도급포함" hidden="1">{#N/A,#N/A,FALSE,"CCTV"}</definedName>
    <definedName name="전체공사비">#REF!</definedName>
    <definedName name="전체공사비집계표">#REF!</definedName>
    <definedName name="전체공실">OFFSET(#REF!,0,0,1,COUNTA(#REF!))</definedName>
    <definedName name="전체내역" hidden="1">#REF!</definedName>
    <definedName name="전체동보수">{"'Sheet1'!$A$4:$M$21","'Sheet1'!$J$17:$K$19"}</definedName>
    <definedName name="전체물량">#REF!</definedName>
    <definedName name="전체선택">#REF!</definedName>
    <definedName name="전체수익률">OFFSET(#REF!,0,0,1,COUNTA(#REF!))</definedName>
    <definedName name="전체수입">OFFSET(#REF!,0,0,1,COUNTA(#REF!))</definedName>
    <definedName name="전체제조총괄표" hidden="1">{"'건축내역'!$A$1:$L$413"}</definedName>
    <definedName name="전체종합L">#REF!</definedName>
    <definedName name="전체지출">OFFSET(#REF!,0,0,1,COUNTA(#REF!))</definedName>
    <definedName name="전체집계">#REF!</definedName>
    <definedName name="전체NOI">OFFSET(#REF!,0,0,1,COUNTA(#REF!))</definedName>
    <definedName name="전토압1">#REF!</definedName>
    <definedName name="전토압2">#REF!</definedName>
    <definedName name="전토압3">#REF!</definedName>
    <definedName name="전토압4">#REF!</definedName>
    <definedName name="전토압도">#REF!</definedName>
    <definedName name="전토압콘">#REF!</definedName>
    <definedName name="전파장해">#REF!</definedName>
    <definedName name="전한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화">#REF!</definedName>
    <definedName name="전화및TV공시청설비">#N/A</definedName>
    <definedName name="전화설비1">#N/A</definedName>
    <definedName name="전회감" hidden="1">{"SJ - 기본 보기",#N/A,FALSE,"공사별 외주견적"}</definedName>
    <definedName name="전후일위대가">#REF!</definedName>
    <definedName name="절" hidden="1">#REF!</definedName>
    <definedName name="절_단_공">#REF!</definedName>
    <definedName name="절단" hidden="1">{#N/A,#N/A,FALSE,"골재소요량";#N/A,#N/A,FALSE,"골재소요량"}</definedName>
    <definedName name="절단경비">#REF!</definedName>
    <definedName name="절단공">#REF!</definedName>
    <definedName name="절단공001">#REF!</definedName>
    <definedName name="절단공002">#REF!</definedName>
    <definedName name="절단공011">#REF!</definedName>
    <definedName name="절단공982">#REF!</definedName>
    <definedName name="절단공991">#REF!</definedName>
    <definedName name="절단공992">#REF!</definedName>
    <definedName name="절단노무비">#REF!</definedName>
    <definedName name="절단재료비">#REF!</definedName>
    <definedName name="절상예가">#REF!,#REF!</definedName>
    <definedName name="절차" hidden="1">{#N/A,#N/A,FALSE,"단축1";#N/A,#N/A,FALSE,"단축2";#N/A,#N/A,FALSE,"단축3";#N/A,#N/A,FALSE,"장축";#N/A,#N/A,FALSE,"4WD"}</definedName>
    <definedName name="절차서" hidden="1">{#N/A,#N/A,FALSE,"단축1";#N/A,#N/A,FALSE,"단축2";#N/A,#N/A,FALSE,"단축3";#N/A,#N/A,FALSE,"장축";#N/A,#N/A,FALSE,"4WD"}</definedName>
    <definedName name="절취">#REF!</definedName>
    <definedName name="절토">#REF!</definedName>
    <definedName name="절토부도수로_재료수량산출">#REF!</definedName>
    <definedName name="절토부도수로_토공수량산출">#REF!</definedName>
    <definedName name="절토부점검로" hidden="1">#REF!</definedName>
    <definedName name="점검도로">#REF!</definedName>
    <definedName name="점검통로">#REF!</definedName>
    <definedName name="점멸기">#REF!</definedName>
    <definedName name="점멸기입력">#N/A</definedName>
    <definedName name="점보" hidden="1">{#N/A,#N/A,FALSE,"골재소요량";#N/A,#N/A,FALSE,"골재소요량"}</definedName>
    <definedName name="점보드릴" hidden="1">{#N/A,#N/A,FALSE,"전력간선"}</definedName>
    <definedName name="점수표">#REF!</definedName>
    <definedName name="점토노">#REF!</definedName>
    <definedName name="점토재">#REF!</definedName>
    <definedName name="접대">#REF!</definedName>
    <definedName name="접속공정" hidden="1">{"'Sheet1'!$A$1:$H$49"}</definedName>
    <definedName name="접속부" hidden="1">{#N/A,#N/A,FALSE,"2~8번"}</definedName>
    <definedName name="접속부수량" hidden="1">{#N/A,#N/A,FALSE,"2~8번"}</definedName>
    <definedName name="접속슬라브길이1">#REF!</definedName>
    <definedName name="접속슬라브길이2">#REF!</definedName>
    <definedName name="접속슬라브폭1">#REF!</definedName>
    <definedName name="접속슬라브폭2">#REF!</definedName>
    <definedName name="접속슬라브폭3">#REF!</definedName>
    <definedName name="접속슬라브폭4">#REF!</definedName>
    <definedName name="접속슬래브">#REF!</definedName>
    <definedName name="접속슬래브접합공">#REF!</definedName>
    <definedName name="접속저판길이1">#REF!</definedName>
    <definedName name="접속저판길이2">#REF!</definedName>
    <definedName name="접속저판폭1">#REF!</definedName>
    <definedName name="접속저판폭2">#REF!</definedName>
    <definedName name="접속저판폭3">#REF!</definedName>
    <definedName name="접속저판폭4">#REF!</definedName>
    <definedName name="접슬강도">#REF!</definedName>
    <definedName name="접슬버림강도">#REF!</definedName>
    <definedName name="접슬SKEW">#REF!</definedName>
    <definedName name="접지">#REF!</definedName>
    <definedName name="접지_단자함">#N/A</definedName>
    <definedName name="접지1종합계">#REF!</definedName>
    <definedName name="접지동봉">#N/A</definedName>
    <definedName name="접지수량">#REF!</definedName>
    <definedName name="접지용전선">#N/A</definedName>
    <definedName name="접지장치">#REF!</definedName>
    <definedName name="접지크램프">#N/A</definedName>
    <definedName name="접합개소">#REF!</definedName>
    <definedName name="접합상변">#REF!</definedName>
    <definedName name="접합터파기고">#REF!</definedName>
    <definedName name="접합하변">#REF!</definedName>
    <definedName name="접합환토고">#REF!</definedName>
    <definedName name="접합환토상변">#REF!</definedName>
    <definedName name="정">#REF!</definedName>
    <definedName name="정___비___공">#REF!</definedName>
    <definedName name="정거장920">#REF!</definedName>
    <definedName name="정거장921">#REF!</definedName>
    <definedName name="정기안전_점검비용">#REF!</definedName>
    <definedName name="정류기재">#REF!</definedName>
    <definedName name="정릉2구역견적" hidden="1">{#N/A,#N/A,FALSE,"도급대비시행율";#N/A,#N/A,FALSE,"결의서";#N/A,#N/A,FALSE,"내역서";#N/A,#N/A,FALSE,"도급예상"}</definedName>
    <definedName name="정릉2구역견적서"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정리">#REF!</definedName>
    <definedName name="정리담보거치기간">#REF!</definedName>
    <definedName name="정리담보상환기간">#REF!</definedName>
    <definedName name="정리담보이자율">#REF!</definedName>
    <definedName name="정리채권거치기간">#REF!</definedName>
    <definedName name="정리채권상환기간">#REF!</definedName>
    <definedName name="정리채권이자율">#REF!</definedName>
    <definedName name="정말" hidden="1">{#N/A,#N/A,FALSE,"현장 NCR 분석";#N/A,#N/A,FALSE,"현장품질감사";#N/A,#N/A,FALSE,"현장품질감사"}</definedName>
    <definedName name="정명영" hidden="1">{#N/A,#N/A,FALSE,"이태원철근"}</definedName>
    <definedName name="정문">#REF!</definedName>
    <definedName name="정문식" hidden="1">{#N/A,#N/A,FALSE,"UNIT";#N/A,#N/A,FALSE,"UNIT";#N/A,#N/A,FALSE,"계정"}</definedName>
    <definedName name="정문찬">"이름"</definedName>
    <definedName name="정민호">#REF!</definedName>
    <definedName name="정병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보통신" hidden="1">{#N/A,#N/A,FALSE,"전력간선"}</definedName>
    <definedName name="정산">#REF!</definedName>
    <definedName name="정산1">#REF!</definedName>
    <definedName name="정산2">#REF!</definedName>
    <definedName name="정산갑지" hidden="1">#REF!</definedName>
    <definedName name="정산내역서" hidden="1">{#N/A,#N/A,FALSE,"견적조건";#N/A,#N/A,FALSE,"산출근거"}</definedName>
    <definedName name="정산명세" hidden="1">#REF!</definedName>
    <definedName name="정산설계">#REF!</definedName>
    <definedName name="정산시공보증">#REF!</definedName>
    <definedName name="정산용역">#REF!</definedName>
    <definedName name="정산이자">#REF!</definedName>
    <definedName name="정산조합개소비">#REF!</definedName>
    <definedName name="정산조합운영">#REF!</definedName>
    <definedName name="정산토지">#REF!</definedName>
    <definedName name="정산표" hidden="1">{#N/A,#N/A,FALSE,"현장 NCR 분석";#N/A,#N/A,FALSE,"현장품질감사";#N/A,#N/A,FALSE,"현장품질감사"}</definedName>
    <definedName name="정산표_1" hidden="1">{#N/A,#N/A,FALSE,"현장 NCR 분석";#N/A,#N/A,FALSE,"현장품질감사";#N/A,#N/A,FALSE,"현장품질감사"}</definedName>
    <definedName name="정수" hidden="1">{#N/A,#N/A,FALSE,"현장 NCR 분석";#N/A,#N/A,FALSE,"현장품질감사";#N/A,#N/A,FALSE,"현장품질감사"}</definedName>
    <definedName name="정숙이" hidden="1">{#N/A,#N/A,FALSE,"현장 NCR 분석";#N/A,#N/A,FALSE,"현장품질감사";#N/A,#N/A,FALSE,"현장품질감사"}</definedName>
    <definedName name="정신병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열범위">#REF!</definedName>
    <definedName name="정원용" hidden="1">{#N/A,#N/A,FALSE,"2~8번"}</definedName>
    <definedName name="정일명">#REF!</definedName>
    <definedName name="정일명1">#REF!</definedName>
    <definedName name="정임수">#N/A</definedName>
    <definedName name="정재선">#REF!</definedName>
    <definedName name="정전무사업">#REF!</definedName>
    <definedName name="정전무사업계획97">#REF!</definedName>
    <definedName name="정정">#REF!</definedName>
    <definedName name="정정아" hidden="1">{#N/A,#N/A,FALSE,"현장 NCR 분석";#N/A,#N/A,FALSE,"현장품질감사";#N/A,#N/A,FALSE,"현장품질감사"}</definedName>
    <definedName name="정정일" hidden="1">#REF!</definedName>
    <definedName name="정중">{"'중기작업1'!$A$1:$V$18"}</definedName>
    <definedName name="정중이">{"'중기작업1'!$A$1:$V$18"}</definedName>
    <definedName name="정지">#REF!</definedName>
    <definedName name="정지토압계수">#REF!</definedName>
    <definedName name="정직">#REF!</definedName>
    <definedName name="정착장치set량">#REF!</definedName>
    <definedName name="정창순" hidden="1">{#N/A,#N/A,FALSE,"현장 NCR 분석";#N/A,#N/A,FALSE,"현장품질감사";#N/A,#N/A,FALSE,"현장품질감사"}</definedName>
    <definedName name="정호">#REF!</definedName>
    <definedName name="정화">#REF!</definedName>
    <definedName name="정화조">#N/A</definedName>
    <definedName name="정화품">#REF!</definedName>
    <definedName name="제" hidden="1">#REF!</definedName>
    <definedName name="제___경___비___산___출___근___거">#N/A</definedName>
    <definedName name="제___도___사">#REF!</definedName>
    <definedName name="제___재___공">#REF!</definedName>
    <definedName name="제_1_호표___관로굴착__400x750_____m당">#N/A</definedName>
    <definedName name="제_2_호표___관로굴착_모래__600x750_____m당">#N/A</definedName>
    <definedName name="제1호표">#REF!</definedName>
    <definedName name="제1회" hidden="1">{#N/A,#N/A,FALSE,"집계표"}</definedName>
    <definedName name="제2호표">#REF!</definedName>
    <definedName name="제2회" hidden="1">{#N/A,#N/A,FALSE,"집계표"}</definedName>
    <definedName name="제3배스집계" hidden="1">{#N/A,#N/A,FALSE,"단면 제원"}</definedName>
    <definedName name="제3호표">#REF!</definedName>
    <definedName name="제4배수" hidden="1">{#N/A,#N/A,FALSE,"단면 제원"}</definedName>
    <definedName name="제4배수집계" hidden="1">{#N/A,#N/A,FALSE,"단면 제원"}</definedName>
    <definedName name="제4호표">#REF!</definedName>
    <definedName name="제5배수집계" hidden="1">{#N/A,#N/A,FALSE,"단면 제원"}</definedName>
    <definedName name="제5호표">#REF!</definedName>
    <definedName name="제6호표">#REF!</definedName>
    <definedName name="제경비" hidden="1">#REF!</definedName>
    <definedName name="제경비율">#REF!</definedName>
    <definedName name="제관공사" hidden="1">{#N/A,#N/A,FALSE,"CCTV"}</definedName>
    <definedName name="제도사001">#REF!</definedName>
    <definedName name="제도사002">#REF!</definedName>
    <definedName name="제도사011">#REF!</definedName>
    <definedName name="제도사982">#REF!</definedName>
    <definedName name="제도사991">#REF!</definedName>
    <definedName name="제도사992">#REF!</definedName>
    <definedName name="제동시험동" hidden="1">{"'PROFORMA'!$A$1:$H$120"}</definedName>
    <definedName name="제룰보고서">#REF!</definedName>
    <definedName name="제목">#REF!</definedName>
    <definedName name="제방설계용역비">#REF!</definedName>
    <definedName name="제수문" hidden="1">#REF!</definedName>
    <definedName name="제수변받침">0.15</definedName>
    <definedName name="제수추가">{"'용역비'!$A$4:$C$8"}</definedName>
    <definedName name="제어케이블">#N/A</definedName>
    <definedName name="제어판">#REF!</definedName>
    <definedName name="제연">#REF!</definedName>
    <definedName name="제연풍량">#REF!</definedName>
    <definedName name="제외공사" hidden="1">{#N/A,#N/A,FALSE,"지침";#N/A,#N/A,FALSE,"환경분석";#N/A,#N/A,FALSE,"Sheet16"}</definedName>
    <definedName name="제외공사_1" hidden="1">{#N/A,#N/A,FALSE,"지침";#N/A,#N/A,FALSE,"환경분석";#N/A,#N/A,FALSE,"Sheet16"}</definedName>
    <definedName name="제일안과병원">#REF!</definedName>
    <definedName name="제작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제작공정사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제작비">#REF!</definedName>
    <definedName name="제작사">#N/A</definedName>
    <definedName name="제잡">#N/A</definedName>
    <definedName name="제잡비">#REF!</definedName>
    <definedName name="제조">#REF!</definedName>
    <definedName name="제조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원가율">"database+전체!$A$4:$W$825"</definedName>
    <definedName name="제주추가종합수정안" hidden="1">{#N/A,#N/A,FALSE,"3가";#N/A,#N/A,FALSE,"3나";#N/A,#N/A,FALSE,"3다"}</definedName>
    <definedName name="제철__축로공">#REF!</definedName>
    <definedName name="제철축로공001">#REF!</definedName>
    <definedName name="제철축로공002">#REF!</definedName>
    <definedName name="제철축로공011">#REF!</definedName>
    <definedName name="제철축로공982">#REF!</definedName>
    <definedName name="제철축로공991">#REF!</definedName>
    <definedName name="제철축로공992">#REF!</definedName>
    <definedName name="제초">#REF!</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_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건" localSheetId="0">BlankMacro1</definedName>
    <definedName name="제출건">BlankMacro1</definedName>
    <definedName name="제출견적" hidden="1">{#N/A,#N/A,FALSE,"CCTV"}</definedName>
    <definedName name="제출내역">{"Book1","예술의전당.xls"}</definedName>
    <definedName name="제출안">{"Book1","킥오프원.xls","킥오프투.xls","덕소킥오프31.27xls.xls"}</definedName>
    <definedName name="제품별요소별단가">#REF!</definedName>
    <definedName name="제품수불부">#REF!</definedName>
    <definedName name="제품수불부10월">#REF!</definedName>
    <definedName name="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젹" hidden="1">{#N/A,#N/A,FALSE,"CCTV"}</definedName>
    <definedName name="젿쇽" hidden="1">{#N/A,#N/A,FALSE,"단가표지"}</definedName>
    <definedName name="졍" hidden="1">{#N/A,#N/A,FALSE,"구조1"}</definedName>
    <definedName name="ㅈㅗ">#REF!</definedName>
    <definedName name="조___경___공">#REF!</definedName>
    <definedName name="조___력___공">#REF!</definedName>
    <definedName name="조___적___공">#REF!</definedName>
    <definedName name="조_림__인_부">#REF!</definedName>
    <definedName name="조_적_공">#REF!</definedName>
    <definedName name="조가선재">#REF!</definedName>
    <definedName name="조감도" hidden="1">{#N/A,#N/A,FALSE,"이태원철근"}</definedName>
    <definedName name="조감도2" hidden="1">{#N/A,#N/A,FALSE,"이태원철근"}</definedName>
    <definedName name="조건" hidden="1">{"'Sheet1'!$A$4:$M$21","'Sheet1'!$J$17:$K$19"}</definedName>
    <definedName name="조건_입력">#REF!</definedName>
    <definedName name="조건보고서">{"Book1","도곡1실행.xls"}</definedName>
    <definedName name="조견표1" hidden="1">{#N/A,#N/A,FALSE,"예상손익";#N/A,#N/A,FALSE,"관리분석";#N/A,#N/A,FALSE,"장비분석";#N/A,#N/A,FALSE,"준설분석";#N/A,#N/A,FALSE,"철구분석"}</definedName>
    <definedName name="조경" hidden="1">{#N/A,#N/A,FALSE,"CCTV"}</definedName>
    <definedName name="조경1" hidden="1">{#N/A,#N/A,FALSE,"현장 NCR 분석";#N/A,#N/A,FALSE,"현장품질감사";#N/A,#N/A,FALSE,"현장품질감사"}</definedName>
    <definedName name="조경5총괄집계" hidden="1">#REF!</definedName>
    <definedName name="조경견적">{"Book1","수시.XLS"}</definedName>
    <definedName name="조경경계블럭">#REF!</definedName>
    <definedName name="조경공">#REF!</definedName>
    <definedName name="조경공001">#REF!</definedName>
    <definedName name="조경공002">#REF!</definedName>
    <definedName name="조경공011">#REF!</definedName>
    <definedName name="조경공1">#REF!</definedName>
    <definedName name="조경공982">#REF!</definedName>
    <definedName name="조경공991">#REF!</definedName>
    <definedName name="조경공992">#REF!</definedName>
    <definedName name="조경공사" hidden="1">{#N/A,#N/A,FALSE,"표지"}</definedName>
    <definedName name="조경공사_1" hidden="1">{#N/A,#N/A,FALSE,"표지"}</definedName>
    <definedName name="조경공사1" hidden="1">{#N/A,#N/A,FALSE,"갑지";#N/A,#N/A,FALSE,"개요";#N/A,#N/A,FALSE,"비목별";#N/A,#N/A,FALSE,"건물별";#N/A,#N/A,FALSE,"기구표";#N/A,#N/A,FALSE,"직원투입"}</definedName>
    <definedName name="조경공사12" hidden="1">{#N/A,#N/A,FALSE,"갑지";#N/A,#N/A,FALSE,"개요";#N/A,#N/A,FALSE,"비목별";#N/A,#N/A,FALSE,"건물별";#N/A,#N/A,FALSE,"기구표";#N/A,#N/A,FALSE,"직원투입"}</definedName>
    <definedName name="조경공B10">#REF!</definedName>
    <definedName name="조경공B4이하">#REF!</definedName>
    <definedName name="조경공B5">#REF!</definedName>
    <definedName name="조경공B6">#REF!</definedName>
    <definedName name="조경공B8">#REF!</definedName>
    <definedName name="조경공R10">#REF!</definedName>
    <definedName name="조경공R12">#REF!</definedName>
    <definedName name="조경공R15">#REF!</definedName>
    <definedName name="조경공R4이하">#REF!</definedName>
    <definedName name="조경공R5">#REF!</definedName>
    <definedName name="조경공R6">#REF!</definedName>
    <definedName name="조경공R7">#REF!</definedName>
    <definedName name="조경공R8">#REF!</definedName>
    <definedName name="조경관급">#REF!</definedName>
    <definedName name="조경내역서" hidden="1">{#N/A,#N/A,FALSE,"CCTV"}</definedName>
    <definedName name="조경면적">#REF!</definedName>
    <definedName name="조경변경">45400</definedName>
    <definedName name="조경블럭노무">#REF!</definedName>
    <definedName name="조경블럭재료">#REF!</definedName>
    <definedName name="조경사본" hidden="1">{#N/A,#N/A,FALSE,"표지"}</definedName>
    <definedName name="조경사본_1" hidden="1">{#N/A,#N/A,FALSE,"표지"}</definedName>
    <definedName name="조경수목비">#REF!</definedName>
    <definedName name="조경이름" hidden="1">0</definedName>
    <definedName name="조경자재총괄표" hidden="1">{#N/A,#N/A,FALSE,"골재소요량";#N/A,#N/A,FALSE,"골재소요량"}</definedName>
    <definedName name="조경집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골대" hidden="1">{#N/A,#N/A,FALSE,"조골재"}</definedName>
    <definedName name="조공">#REF!</definedName>
    <definedName name="조기표야" hidden="1">{#N/A,#N/A,FALSE,"이태원철근"}</definedName>
    <definedName name="조까" hidden="1">{#N/A,#N/A,FALSE,"이태원철근"}</definedName>
    <definedName name="조까라" hidden="1">{#N/A,#N/A,FALSE,"이태원철근"}</definedName>
    <definedName name="조달1000이상0307">#N/A</definedName>
    <definedName name="조달100미만0307">#N/A</definedName>
    <definedName name="조달100이상0307">#N/A</definedName>
    <definedName name="조달500이상0307">#N/A</definedName>
    <definedName name="조달수수료">#REF!</definedName>
    <definedName name="조달예가">#REF!</definedName>
    <definedName name="조달청1000억이상">#N/A</definedName>
    <definedName name="조달청100억미만">#N/A</definedName>
    <definedName name="조달청100억이상">#N/A</definedName>
    <definedName name="조달청계약용">#REF!</definedName>
    <definedName name="조달청PQ">#N/A</definedName>
    <definedName name="조달PQ0307">#N/A</definedName>
    <definedName name="조도" hidden="1">#REF!</definedName>
    <definedName name="조도등주종류">#N/A</definedName>
    <definedName name="조도등주종류_16_2">#N/A</definedName>
    <definedName name="조도등주종류_20">#N/A</definedName>
    <definedName name="조도등주종류_20_2">#N/A</definedName>
    <definedName name="조도등주종류_24_2">______shh1</definedName>
    <definedName name="조도등주종류_28_2">#N/A</definedName>
    <definedName name="조도등주종류_32">#N/A</definedName>
    <definedName name="조도등주종류_36">[0]!______shh10</definedName>
    <definedName name="조도케이블길이">#N/A</definedName>
    <definedName name="조도케이블길이_14">[0]!______shh9</definedName>
    <definedName name="조도케이블길이_19_73">[0]!______SLL1</definedName>
    <definedName name="조도케이블길이_23_2">[0]!______SLL2</definedName>
    <definedName name="조도케이블길이_27_2">[0]!______SLL3</definedName>
    <definedName name="조도케이블길이_31">#N/A</definedName>
    <definedName name="조도케이블길이_35">[0]!______sss11</definedName>
    <definedName name="조도케이블길이_42">#N/A</definedName>
    <definedName name="조도케이블길이_58">#N/A</definedName>
    <definedName name="조도케이블길이_76">#N/A</definedName>
    <definedName name="조력공">#REF!</definedName>
    <definedName name="조력공001">#REF!</definedName>
    <definedName name="조력공002">#REF!</definedName>
    <definedName name="조력공011">#REF!</definedName>
    <definedName name="조력공982">#REF!</definedName>
    <definedName name="조력공991">#REF!</definedName>
    <definedName name="조력공992">#REF!</definedName>
    <definedName name="조림인부001">#REF!</definedName>
    <definedName name="조림인부002">#REF!</definedName>
    <definedName name="조림인부011">#REF!</definedName>
    <definedName name="조림인부982">#REF!</definedName>
    <definedName name="조림인부991">#REF!</definedName>
    <definedName name="조림인부992">#REF!</definedName>
    <definedName name="조립">#REF!</definedName>
    <definedName name="조릿대">#REF!</definedName>
    <definedName name="조릿대2노무">#REF!</definedName>
    <definedName name="조릿대2재료">#REF!</definedName>
    <definedName name="조릿대3노무">#REF!</definedName>
    <definedName name="조릿대3재료">#REF!</definedName>
    <definedName name="조명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조명걸이">#REF!</definedName>
    <definedName name="조명기구">#REF!</definedName>
    <definedName name="조명기구견적">#REF!</definedName>
    <definedName name="조명기기" hidden="1">#REF!</definedName>
    <definedName name="조명단가">#REF!</definedName>
    <definedName name="조명단가1">#REF!</definedName>
    <definedName name="조명설계">#REF!</definedName>
    <definedName name="조명율표">#REF!</definedName>
    <definedName name="조명제어" hidden="1">{#N/A,#N/A,FALSE,"전력간선"}</definedName>
    <definedName name="조묭">#REF!</definedName>
    <definedName name="조별유형" hidden="1">#REF!</definedName>
    <definedName name="조부">#REF!</definedName>
    <definedName name="조사">#REF!</definedName>
    <definedName name="조사가" hidden="1">#REF!</definedName>
    <definedName name="조사기준일">#REF!</definedName>
    <definedName name="조상익">{"Book1","토공.xls"}</definedName>
    <definedName name="조서" hidden="1">{#N/A,#N/A,FALSE,"집계표"}</definedName>
    <definedName name="조수">#REF!</definedName>
    <definedName name="조수_18">#N/A</definedName>
    <definedName name="조수_21_74">_____FHH2</definedName>
    <definedName name="조수_25_74">#N/A</definedName>
    <definedName name="조수_29_74">_____FHH3</definedName>
    <definedName name="조수_33_73">_____fsd22</definedName>
    <definedName name="조수_38_2">_____h3</definedName>
    <definedName name="조수_6" localSheetId="0">__?</definedName>
    <definedName name="조수_6">__?</definedName>
    <definedName name="조수_66" localSheetId="0">__?Crite</definedName>
    <definedName name="조수_66">__?Crite</definedName>
    <definedName name="조수_70" localSheetId="0">__?Criteria</definedName>
    <definedName name="조수_70">__?Criteria</definedName>
    <definedName name="조수_77">#N/A</definedName>
    <definedName name="조수_9_74">#N/A</definedName>
    <definedName name="조영수">#REF!</definedName>
    <definedName name="조원공_1.1_1.5">#REF!</definedName>
    <definedName name="조장">#REF!</definedName>
    <definedName name="조적" hidden="1">#REF!</definedName>
    <definedName name="조적경비">#REF!</definedName>
    <definedName name="조적공">#REF!</definedName>
    <definedName name="조적공001">#REF!</definedName>
    <definedName name="조적공002">#REF!</definedName>
    <definedName name="조적공011">#REF!</definedName>
    <definedName name="조적공982">#REF!</definedName>
    <definedName name="조적공991">#REF!</definedName>
    <definedName name="조적공992">#REF!</definedName>
    <definedName name="조적공과잡비">#REF!</definedName>
    <definedName name="조적공사">#REF!</definedName>
    <definedName name="조적노무">#REF!</definedName>
    <definedName name="조적소계">#REF!</definedName>
    <definedName name="조적재료">#REF!</definedName>
    <definedName name="조전" hidden="1">{#N/A,#N/A,FALSE,"CCTV"}</definedName>
    <definedName name="조정">#REF!</definedName>
    <definedName name="조정1" hidden="1">#REF!</definedName>
    <definedName name="조정내역2" hidden="1">{#N/A,#N/A,FALSE,"전력간선"}</definedName>
    <definedName name="조정대비계약율">#REF!</definedName>
    <definedName name="조정률">#REF!</definedName>
    <definedName name="조정분">#N/A</definedName>
    <definedName name="조정비율">#REF!</definedName>
    <definedName name="조정요율" hidden="1">#REF!</definedName>
    <definedName name="조조" hidden="1">{#N/A,#N/A,FALSE,"현장 NCR 분석";#N/A,#N/A,FALSE,"현장품질감사";#N/A,#N/A,FALSE,"현장품질감사"}</definedName>
    <definedName name="조조조조" localSheetId="0">BlankMacro1</definedName>
    <definedName name="조조조조">BlankMacro1</definedName>
    <definedName name="조조조조좆" localSheetId="0">BlankMacro1</definedName>
    <definedName name="조조조조좆">BlankMacro1</definedName>
    <definedName name="조조직도" hidden="1">{#N/A,#N/A,FALSE,"지침";#N/A,#N/A,FALSE,"환경분석";#N/A,#N/A,FALSE,"Sheet16"}</definedName>
    <definedName name="조직">#REF!</definedName>
    <definedName name="조직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hidden="1">{#N/A,#N/A,FALSE,"사업총괄";#N/A,#N/A,FALSE,"장비사업";#N/A,#N/A,FALSE,"철구사업";#N/A,#N/A,FALSE,"준설사업"}</definedName>
    <definedName name="조직4.2" hidden="1">{#N/A,#N/A,FALSE,"예상손익";#N/A,#N/A,FALSE,"관리분석";#N/A,#N/A,FALSE,"장비분석";#N/A,#N/A,FALSE,"준설분석";#N/A,#N/A,FALSE,"철구분석"}</definedName>
    <definedName name="조직개편" hidden="1">{#N/A,#N/A,FALSE,"이태원철근"}</definedName>
    <definedName name="조직개편조직표" hidden="1">{#N/A,#N/A,FALSE,"이태원철근"}</definedName>
    <definedName name="조직도" hidden="1">{#N/A,#N/A,FALSE,"Sheet1"}</definedName>
    <definedName name="조직도1">#REF!</definedName>
    <definedName name="조직도10">#REF!</definedName>
    <definedName name="조직돕">#REF!</definedName>
    <definedName name="조직인원" hidden="1">0</definedName>
    <definedName name="조직표" hidden="1">{#N/A,#N/A,FALSE,"갑지";#N/A,#N/A,FALSE,"개요";#N/A,#N/A,FALSE,"비목별";#N/A,#N/A,FALSE,"건물별";#N/A,#N/A,FALSE,"기구표";#N/A,#N/A,FALSE,"직원투입"}</definedName>
    <definedName name="조직표2" hidden="1">{#N/A,#N/A,FALSE,"이태원철근"}</definedName>
    <definedName name="조직표3" hidden="1">{#N/A,#N/A,FALSE,"이태원철근"}</definedName>
    <definedName name="조직표333" hidden="1">{#N/A,#N/A,FALSE,"이태원철근"}</definedName>
    <definedName name="조직표4" hidden="1">{#N/A,#N/A,FALSE,"이태원철근"}</definedName>
    <definedName name="조직표8" hidden="1">{#N/A,#N/A,FALSE,"이태원철근"}</definedName>
    <definedName name="조직표건축" hidden="1">{#N/A,#N/A,FALSE,"이태원철근"}</definedName>
    <definedName name="조직표대신" hidden="1">{#N/A,#N/A,FALSE,"이태원철근"}</definedName>
    <definedName name="조직표야" hidden="1">{#N/A,#N/A,FALSE,"이태원철근"}</definedName>
    <definedName name="조직현황1" localSheetId="0">BLCH</definedName>
    <definedName name="조직현황1">BLCH</definedName>
    <definedName name="조진원" hidden="1">#REF!</definedName>
    <definedName name="조차뇌녿" hidden="1">#REF!</definedName>
    <definedName name="조차장" hidden="1">{#N/A,#N/A,FALSE,"명세표"}</definedName>
    <definedName name="조차장1" hidden="1">{#N/A,#N/A,FALSE,"명세표"}</definedName>
    <definedName name="조치" hidden="1">{#N/A,#N/A,FALSE,"사진대지 (2)"}</definedName>
    <definedName name="조팝3노무">#REF!</definedName>
    <definedName name="조팝3재료">#REF!</definedName>
    <definedName name="조팝4노무">#REF!</definedName>
    <definedName name="조팝4재료">#REF!</definedName>
    <definedName name="조합">#REF!</definedName>
    <definedName name="조합노">#REF!</definedName>
    <definedName name="조합되메우기0.2경비">#REF!</definedName>
    <definedName name="조합되메우기0.2계">#REF!</definedName>
    <definedName name="조합되메우기0.2기계경비">#REF!</definedName>
    <definedName name="조합되메우기0.2기계계">#REF!</definedName>
    <definedName name="조합되메우기0.2기계노무비">#REF!</definedName>
    <definedName name="조합되메우기0.2기계인력계">#REF!</definedName>
    <definedName name="조합되메우기0.2기계재료비">#REF!</definedName>
    <definedName name="조합되메우기0.2노무비">#REF!</definedName>
    <definedName name="조합되메우기0.2인력계">#REF!</definedName>
    <definedName name="조합되메우기0.2인력노무비">#REF!</definedName>
    <definedName name="조합되메우기0.2재료비">#REF!</definedName>
    <definedName name="조합되메우기0.4경비">#REF!</definedName>
    <definedName name="조합되메우기0.4계">#REF!</definedName>
    <definedName name="조합되메우기0.4기계경비">#REF!</definedName>
    <definedName name="조합되메우기0.4기계계">#REF!</definedName>
    <definedName name="조합되메우기0.4기계노무비">#REF!</definedName>
    <definedName name="조합되메우기0.4기계재료비">#REF!</definedName>
    <definedName name="조합되메우기0.4노무비">#REF!</definedName>
    <definedName name="조합되메우기0.4인력경비">#REF!</definedName>
    <definedName name="조합되메우기0.4인력계">#REF!</definedName>
    <definedName name="조합되메우기0.4인력노무비">#REF!</definedName>
    <definedName name="조합되메우기0.4인력재료비">#REF!</definedName>
    <definedName name="조합되메우기0.4재료비">#REF!</definedName>
    <definedName name="조합되메우기0.7경비">#REF!</definedName>
    <definedName name="조합되메우기0.7계">#REF!</definedName>
    <definedName name="조합되메우기0.7기계경비">#REF!</definedName>
    <definedName name="조합되메우기0.7기계계">#REF!</definedName>
    <definedName name="조합되메우기0.7기계노무비">#REF!</definedName>
    <definedName name="조합되메우기0.7기계재료비">#REF!</definedName>
    <definedName name="조합되메우기0.7노무비">#REF!</definedName>
    <definedName name="조합되메우기0.7인력경비">#REF!</definedName>
    <definedName name="조합되메우기0.7인력계">#REF!</definedName>
    <definedName name="조합되메우기0.7인력노무비">#REF!</definedName>
    <definedName name="조합되메우기0.7인력재료비">#REF!</definedName>
    <definedName name="조합되메우기0.7재료비">#REF!</definedName>
    <definedName name="조합예가">#REF!,#REF!</definedName>
    <definedName name="조합재">#REF!</definedName>
    <definedName name="조합터파기0.2경비">#REF!</definedName>
    <definedName name="조합터파기0.2계">#REF!</definedName>
    <definedName name="조합터파기0.2기계경비">#REF!</definedName>
    <definedName name="조합터파기0.2기계계">#REF!</definedName>
    <definedName name="조합터파기0.2기계노무비">#REF!</definedName>
    <definedName name="조합터파기0.2기계재료비">#REF!</definedName>
    <definedName name="조합터파기0.2긱">#REF!</definedName>
    <definedName name="조합터파기0.2노무비">#REF!</definedName>
    <definedName name="조합터파기0.2인력계">#REF!</definedName>
    <definedName name="조합터파기0.2인력노무비">#REF!</definedName>
    <definedName name="조합터파기0.2재료비">#REF!</definedName>
    <definedName name="조합터파기0.4경비">#REF!</definedName>
    <definedName name="조합터파기0.4계">#REF!</definedName>
    <definedName name="조합터파기0.4기계경비">#REF!</definedName>
    <definedName name="조합터파기0.4기계계">#REF!</definedName>
    <definedName name="조합터파기0.4기계노무비">#REF!</definedName>
    <definedName name="조합터파기0.4기계재료비">#REF!</definedName>
    <definedName name="조합터파기0.4노무비">#REF!</definedName>
    <definedName name="조합터파기0.4인력경비">#REF!</definedName>
    <definedName name="조합터파기0.4인력계">#REF!</definedName>
    <definedName name="조합터파기0.4인력노무비">#REF!</definedName>
    <definedName name="조합터파기0.4인력재료비">#REF!</definedName>
    <definedName name="조합터파기0.4재료비">#REF!</definedName>
    <definedName name="조합터파기0.7경비">#REF!</definedName>
    <definedName name="조합터파기0.7계">#REF!</definedName>
    <definedName name="조합터파기0.7기계경비">#REF!</definedName>
    <definedName name="조합터파기0.7기계계">#REF!</definedName>
    <definedName name="조합터파기0.7기계노무비">#REF!</definedName>
    <definedName name="조합터파기0.7기계재료비">#REF!</definedName>
    <definedName name="조합터파기0.7노무비">#REF!</definedName>
    <definedName name="조합터파기0.7인력경비">#REF!</definedName>
    <definedName name="조합터파기0.7인력계">#REF!</definedName>
    <definedName name="조합터파기0.7인력노무비">#REF!</definedName>
    <definedName name="조합터파기0.7인력재료비">#REF!</definedName>
    <definedName name="조합터파기0.7재료비">#REF!</definedName>
    <definedName name="조합페인트">#REF!</definedName>
    <definedName name="조현철">#REF!</definedName>
    <definedName name="조현행" hidden="1">{#N/A,#N/A,FALSE,"2~8번"}</definedName>
    <definedName name="조형가이즈까3010">#REF!</definedName>
    <definedName name="조형가이즈까3012">#REF!</definedName>
    <definedName name="조형가이즈까3014">#REF!</definedName>
    <definedName name="조형가이즈까3516">#REF!</definedName>
    <definedName name="조형경">#N/A</definedName>
    <definedName name="조형노">#N/A</definedName>
    <definedName name="조형재">#N/A</definedName>
    <definedName name="조효" hidden="1">{"'Firr(선)'!$AS$1:$AY$62","'Firr(사)'!$AS$1:$AY$62","'Firr(회)'!$AS$1:$AY$62","'Firr(선)'!$L$1:$V$62","'Firr(사)'!$L$1:$V$62","'Firr(회)'!$L$1:$V$62"}</definedName>
    <definedName name="조효석" hidden="1">{"'Firr(선)'!$AS$1:$AY$62","'Firr(사)'!$AS$1:$AY$62","'Firr(회)'!$AS$1:$AY$62","'Firr(선)'!$L$1:$V$62","'Firr(사)'!$L$1:$V$62","'Firr(회)'!$L$1:$V$62"}</definedName>
    <definedName name="조후" hidden="1">{#N/A,#N/A,FALSE,"예상손익";#N/A,#N/A,FALSE,"관리분석";#N/A,#N/A,FALSE,"장비분석";#N/A,#N/A,FALSE,"준설분석";#N/A,#N/A,FALSE,"철구분석"}</definedName>
    <definedName name="졷ㅂ숃ㄱㅂ"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좀작살">#REF!</definedName>
    <definedName name="좀작살4노무">#REF!</definedName>
    <definedName name="좀작살4재료">#REF!</definedName>
    <definedName name="좀작살6노무">#REF!</definedName>
    <definedName name="좀작살6재료">#REF!</definedName>
    <definedName name="좃ㄱ족솢ㅅ곡소">#REF!</definedName>
    <definedName name="종" hidden="1">#REF!</definedName>
    <definedName name="종_목">#REF!</definedName>
    <definedName name="종_배_수_관__개_소_별_명_세">#REF!</definedName>
    <definedName name="종_배_수_관_수_량_집_계">#REF!</definedName>
    <definedName name="종단위">#REF!</definedName>
    <definedName name="종류">#N/A</definedName>
    <definedName name="종목">#REF!</definedName>
    <definedName name="종목수">#REF!</definedName>
    <definedName name="종배수관" hidden="1">{"'산출근거'!$B$4:$D$8"}</definedName>
    <definedName name="종배수관1" hidden="1">#REF!</definedName>
    <definedName name="종배수관2" hidden="1">#REF!</definedName>
    <definedName name="종배수날개벽단위수량" localSheetId="0">BlankMacro1</definedName>
    <definedName name="종배수날개벽단위수량">BlankMacro1</definedName>
    <definedName name="종자" hidden="1">{#N/A,#N/A,FALSE,"현장 NCR 분석";#N/A,#N/A,FALSE,"현장품질감사";#N/A,#N/A,FALSE,"현장품질감사"}</definedName>
    <definedName name="종전대비" hidden="1">#REF!</definedName>
    <definedName name="종전원가1" hidden="1">#REF!</definedName>
    <definedName name="종합1" hidden="1">{#N/A,#N/A,FALSE,"생산성";#N/A,#N/A,FALSE,"인력1";#N/A,#N/A,FALSE,"인력2";#N/A,#N/A,FALSE,"인력3";#N/A,#N/A,FALSE,"인건1";#N/A,#N/A,FALSE,"인건2";#N/A,#N/A,FALSE,"인건3";#N/A,#N/A,FALSE,"인원증감";#N/A,#N/A,FALSE,"인건증감";#N/A,#N/A,FALSE,"표지등"}</definedName>
    <definedName name="종합결의96.11">#REF!</definedName>
    <definedName name="종합목재">#REF!</definedName>
    <definedName name="종합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통">#REF!</definedName>
    <definedName name="종합평가">#REF!</definedName>
    <definedName name="종현" localSheetId="0">BlankMacro1</definedName>
    <definedName name="종현">BlankMacro1</definedName>
    <definedName name="좌측여분">#REF!</definedName>
    <definedName name="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ㅈ겨ㅗ굦"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저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죡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ㅗㅈ거ㅕ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#REF!</definedName>
    <definedName name="주___소">#REF!</definedName>
    <definedName name="주1">#REF!</definedName>
    <definedName name="주2">#REF!</definedName>
    <definedName name="주2동" hidden="1">#REF!</definedName>
    <definedName name="주3">#REF!</definedName>
    <definedName name="주3동" hidden="1">#REF!</definedName>
    <definedName name="주6">#REF!</definedName>
    <definedName name="주간" hidden="1">{#N/A,#N/A,FALSE,"지침";#N/A,#N/A,FALSE,"환경분석";#N/A,#N/A,FALSE,"Sheet16"}</definedName>
    <definedName name="주간공정">#N/A</definedName>
    <definedName name="주간무재해">#REF!</definedName>
    <definedName name="주간출역">#REF!</definedName>
    <definedName name="주간회의"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주거">#REF!</definedName>
    <definedName name="주거전용">#REF!</definedName>
    <definedName name="주경">#REF!</definedName>
    <definedName name="주경1">#REF!</definedName>
    <definedName name="주경기장" hidden="1">{#N/A,#N/A,FALSE,"구조1"}</definedName>
    <definedName name="주공2">#REF!</definedName>
    <definedName name="주공경비">#REF!</definedName>
    <definedName name="주공기준">#REF!</definedName>
    <definedName name="주공노무">#REF!</definedName>
    <definedName name="주공단가">#REF!</definedName>
    <definedName name="주공부하집계">#REF!</definedName>
    <definedName name="주공사비" hidden="1">{#N/A,#N/A,FALSE,"변경관리예산";#N/A,#N/A,FALSE,"변경장비예산";#N/A,#N/A,FALSE,"변경준설예산";#N/A,#N/A,FALSE,"변경철구예산"}</definedName>
    <definedName name="주공실행기준">#REF!</definedName>
    <definedName name="주공압축">#REF!</definedName>
    <definedName name="주공압축1">#REF!</definedName>
    <definedName name="주공일위">#REF!</definedName>
    <definedName name="주공자재">#REF!</definedName>
    <definedName name="주공현황" hidden="1">{#N/A,#N/A,FALSE,"현장 NCR 분석";#N/A,#N/A,FALSE,"현장품질감사";#N/A,#N/A,FALSE,"현장품질감사"}</definedName>
    <definedName name="주남" hidden="1">{#N/A,#N/A,FALSE,"생산성";#N/A,#N/A,FALSE,"인력1";#N/A,#N/A,FALSE,"인력2";#N/A,#N/A,FALSE,"인력3";#N/A,#N/A,FALSE,"인건1";#N/A,#N/A,FALSE,"인건2";#N/A,#N/A,FALSE,"인건3";#N/A,#N/A,FALSE,"인원증감";#N/A,#N/A,FALSE,"인건증감";#N/A,#N/A,FALSE,"표지등"}</definedName>
    <definedName name="주노">#REF!</definedName>
    <definedName name="주노1">#REF!</definedName>
    <definedName name="주당매매가액">#REF!</definedName>
    <definedName name="주당액면가액">#REF!</definedName>
    <definedName name="주류" hidden="1">{#N/A,#N/A,FALSE,"생산성";#N/A,#N/A,FALSE,"인력1";#N/A,#N/A,FALSE,"인력2";#N/A,#N/A,FALSE,"인력3";#N/A,#N/A,FALSE,"인건1";#N/A,#N/A,FALSE,"인건2";#N/A,#N/A,FALSE,"인건3";#N/A,#N/A,FALSE,"인원증감";#N/A,#N/A,FALSE,"인건증감";#N/A,#N/A,FALSE,"표지등"}</definedName>
    <definedName name="주류1" hidden="1">{#N/A,#N/A,FALSE,"생산성";#N/A,#N/A,FALSE,"인력1";#N/A,#N/A,FALSE,"인력2";#N/A,#N/A,FALSE,"인력3";#N/A,#N/A,FALSE,"인건1";#N/A,#N/A,FALSE,"인건2";#N/A,#N/A,FALSE,"인건3";#N/A,#N/A,FALSE,"인원증감";#N/A,#N/A,FALSE,"인건증감";#N/A,#N/A,FALSE,"표지등"}</definedName>
    <definedName name="주류시황" hidden="1">{#N/A,#N/A,FALSE,"생산성";#N/A,#N/A,FALSE,"인력1";#N/A,#N/A,FALSE,"인력2";#N/A,#N/A,FALSE,"인력3";#N/A,#N/A,FALSE,"인건1";#N/A,#N/A,FALSE,"인건2";#N/A,#N/A,FALSE,"인건3";#N/A,#N/A,FALSE,"인원증감";#N/A,#N/A,FALSE,"인건증감";#N/A,#N/A,FALSE,"표지등"}</definedName>
    <definedName name="주류시황일보" hidden="1">{#N/A,#N/A,FALSE,"생산성";#N/A,#N/A,FALSE,"인력1";#N/A,#N/A,FALSE,"인력2";#N/A,#N/A,FALSE,"인력3";#N/A,#N/A,FALSE,"인건1";#N/A,#N/A,FALSE,"인건2";#N/A,#N/A,FALSE,"인건3";#N/A,#N/A,FALSE,"인원증감";#N/A,#N/A,FALSE,"인건증감";#N/A,#N/A,FALSE,"표지등"}</definedName>
    <definedName name="주목">#REF!</definedName>
    <definedName name="주목1.0노무">#REF!</definedName>
    <definedName name="주목1.0재료">#REF!</definedName>
    <definedName name="주목10노무">#REF!</definedName>
    <definedName name="주목10재료">#REF!</definedName>
    <definedName name="주목12노무">#REF!</definedName>
    <definedName name="주목12재료">#REF!</definedName>
    <definedName name="주목H2.5">#REF!</definedName>
    <definedName name="주민의견수렴">#REF!</definedName>
    <definedName name="주민인허가">#REF!</definedName>
    <definedName name="주방기구.도금">#REF!</definedName>
    <definedName name="주복" hidden="1">{#N/A,#N/A,FALSE,"지침";#N/A,#N/A,FALSE,"환경분석";#N/A,#N/A,FALSE,"Sheet16"}</definedName>
    <definedName name="주복2공구" hidden="1">{#N/A,#N/A,FALSE,"지침";#N/A,#N/A,FALSE,"환경분석";#N/A,#N/A,FALSE,"Sheet16"}</definedName>
    <definedName name="주상" hidden="1">{#N/A,#N/A,FALSE,"지침";#N/A,#N/A,FALSE,"환경분석";#N/A,#N/A,FALSE,"Sheet16"}</definedName>
    <definedName name="주소">#REF!</definedName>
    <definedName name="주소2">#REF!</definedName>
    <definedName name="주소3">#REF!</definedName>
    <definedName name="주영">#REF!</definedName>
    <definedName name="주영이">#REF!,#REF!,#REF!</definedName>
    <definedName name="주요" hidden="1">{#N/A,#N/A,FALSE,"조골재"}</definedName>
    <definedName name="주요2" hidden="1">{#N/A,#N/A,FALSE,"예상손익";#N/A,#N/A,FALSE,"관리분석";#N/A,#N/A,FALSE,"장비분석";#N/A,#N/A,FALSE,"준설분석";#N/A,#N/A,FALSE,"철구분석"}</definedName>
    <definedName name="주요견적조건" hidden="1">{#N/A,#N/A,FALSE,"사업총괄";#N/A,#N/A,FALSE,"장비사업";#N/A,#N/A,FALSE,"철구사업";#N/A,#N/A,FALSE,"준설사업"}</definedName>
    <definedName name="주요매출증감" hidden="1">{#N/A,#N/A,FALSE,"지침";#N/A,#N/A,FALSE,"환경분석";#N/A,#N/A,FALSE,"Sheet16"}</definedName>
    <definedName name="주요자재총괄" hidden="1">{#N/A,#N/A,FALSE,"골재소요량";#N/A,#N/A,FALSE,"골재소요량"}</definedName>
    <definedName name="주요현안" hidden="1">{#N/A,#N/A,FALSE,"표지목차"}</definedName>
    <definedName name="주이">#REF!</definedName>
    <definedName name="주재">#REF!</definedName>
    <definedName name="주재1">#REF!</definedName>
    <definedName name="주정제외" hidden="1">{#N/A,#N/A,FALSE,"생산성";#N/A,#N/A,FALSE,"인력1";#N/A,#N/A,FALSE,"인력2";#N/A,#N/A,FALSE,"인력3";#N/A,#N/A,FALSE,"인건1";#N/A,#N/A,FALSE,"인건2";#N/A,#N/A,FALSE,"인건3";#N/A,#N/A,FALSE,"인원증감";#N/A,#N/A,FALSE,"인건증감";#N/A,#N/A,FALSE,"표지등"}</definedName>
    <definedName name="주제어"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주주" hidden="1">{#N/A,#N/A,FALSE,"배수1"}</definedName>
    <definedName name="주주노">#REF!</definedName>
    <definedName name="주주재">#REF!</definedName>
    <definedName name="주차램프" hidden="1">{#N/A,#N/A,FALSE,"현장 NCR 분석";#N/A,#N/A,FALSE,"현장품질감사";#N/A,#N/A,FALSE,"현장품질감사"}</definedName>
    <definedName name="주차비">#REF!</definedName>
    <definedName name="주차장" hidden="1">{#N/A,#N/A,FALSE,"표지"}</definedName>
    <definedName name="주차장_1" hidden="1">{#N/A,#N/A,FALSE,"표지"}</definedName>
    <definedName name="주차적용인원">#REF!</definedName>
    <definedName name="주철근" hidden="1">{#N/A,#N/A,FALSE,"1";#N/A,#N/A,FALSE,"2";#N/A,#N/A,FALSE,"3";#N/A,#N/A,FALSE,"4";#N/A,#N/A,FALSE,"5";#N/A,#N/A,FALSE,"6";#N/A,#N/A,FALSE,"7"}</definedName>
    <definedName name="주택" hidden="1">{#N/A,#N/A,FALSE,"지침";#N/A,#N/A,FALSE,"환경분석";#N/A,#N/A,FALSE,"Sheet16"}</definedName>
    <definedName name="주택매출">#REF!</definedName>
    <definedName name="주택사업본부">#REF!</definedName>
    <definedName name="주택원가">#REF!</definedName>
    <definedName name="주택최종">#REF!</definedName>
    <definedName name="주형받침">#REF!</definedName>
    <definedName name="주형받침EA">#REF!</definedName>
    <definedName name="주호">#REF!</definedName>
    <definedName name="주ㅜ" hidden="1">{#N/A,#N/A,FALSE,"배수2"}</definedName>
    <definedName name="죽령터널_관통전경___2001._1._31">#REF!</definedName>
    <definedName name="죽령터널_나틈발파___2001._1._31">#REF!</definedName>
    <definedName name="죽령터널_나틈천공___2001._1._31">#REF!</definedName>
    <definedName name="죽령터널_시점전경___2001._1._31">#REF!</definedName>
    <definedName name="죽령터널_종점전경___2001._1._31">#REF!</definedName>
    <definedName name="죽령터널_확공단면___2001._1._31">#REF!</definedName>
    <definedName name="죽령터널_TBM_굴착___2001._1._31">#REF!</definedName>
    <definedName name="죽령터널_TBM_헤드____2001._1._31">#REF!</definedName>
    <definedName name="죽을래" hidden="1">{#N/A,#N/A,FALSE,"운반시간"}</definedName>
    <definedName name="죽전" hidden="1">{#N/A,#N/A,FALSE,"이태원철근"}</definedName>
    <definedName name="죽전1" hidden="1">{#N/A,#N/A,FALSE,"현장 NCR 분석";#N/A,#N/A,FALSE,"현장품질감사";#N/A,#N/A,FALSE,"현장품질감사"}</definedName>
    <definedName name="죽전5차" hidden="1">{#N/A,#N/A,FALSE,"이태원철근"}</definedName>
    <definedName name="준공검사원" hidden="1">{#N/A,#N/A,FALSE,"전력간선"}</definedName>
    <definedName name="준공년월일">#REF!</definedName>
    <definedName name="준공도면작성">#REF!</definedName>
    <definedName name="준공일">#REF!</definedName>
    <definedName name="준공청소" hidden="1">{#N/A,#N/A,FALSE,"CCTV"}</definedName>
    <definedName name="준공청소비_평당">#REF!</definedName>
    <definedName name="준비기간">#REF!</definedName>
    <definedName name="준설선__선장">#REF!</definedName>
    <definedName name="준설선기관사">#REF!</definedName>
    <definedName name="준설선기관사001">#REF!</definedName>
    <definedName name="준설선기관사002">#REF!</definedName>
    <definedName name="준설선기관사982">#REF!</definedName>
    <definedName name="준설선기관사991">#REF!</definedName>
    <definedName name="준설선기관사992">#REF!</definedName>
    <definedName name="준설선기관장">#REF!</definedName>
    <definedName name="준설선기관장001">#REF!</definedName>
    <definedName name="준설선기관장002">#REF!</definedName>
    <definedName name="준설선기관장011">#REF!</definedName>
    <definedName name="준설선기관장982">#REF!</definedName>
    <definedName name="준설선기관장991">#REF!</definedName>
    <definedName name="준설선기관장992">#REF!</definedName>
    <definedName name="준설선선장001">#REF!</definedName>
    <definedName name="준설선선장002">#REF!</definedName>
    <definedName name="준설선선장011">#REF!</definedName>
    <definedName name="준설선선장982">#REF!</definedName>
    <definedName name="준설선선장991">#REF!</definedName>
    <definedName name="준설선선장992">#REF!</definedName>
    <definedName name="준설선운전사">#REF!</definedName>
    <definedName name="준설선운전사001">#REF!</definedName>
    <definedName name="준설선운전사002">#REF!</definedName>
    <definedName name="준설선운전사982">#REF!</definedName>
    <definedName name="준설선운전사991">#REF!</definedName>
    <definedName name="준설선운전사992">#REF!</definedName>
    <definedName name="준설선전기사">#REF!</definedName>
    <definedName name="준설선전기사001">#REF!</definedName>
    <definedName name="준설선전기사002">#REF!</definedName>
    <definedName name="준설선전기사982">#REF!</definedName>
    <definedName name="준설선전기사991">#REF!</definedName>
    <definedName name="준설선전기사992">#REF!</definedName>
    <definedName name="준설설기관사011">#REF!</definedName>
    <definedName name="준설설운전기사011">#REF!</definedName>
    <definedName name="준설설운전사011">#REF!</definedName>
    <definedName name="준설설전기사011">#REF!</definedName>
    <definedName name="준호">#REF!</definedName>
    <definedName name="줄">#REF!</definedName>
    <definedName name="줄___눈___공">#REF!</definedName>
    <definedName name="줄눈">46760</definedName>
    <definedName name="줄눈공">#REF!</definedName>
    <definedName name="줄눈공001">#REF!</definedName>
    <definedName name="줄눈공002">#REF!</definedName>
    <definedName name="줄눈공011">#REF!</definedName>
    <definedName name="줄눈공982">#REF!</definedName>
    <definedName name="줄눈공991">#REF!</definedName>
    <definedName name="줄눈공992">#REF!</definedName>
    <definedName name="줄눈홈파기">#REF!</definedName>
    <definedName name="줄눈홈파기노">#REF!</definedName>
    <definedName name="줄량표">#REF!</definedName>
    <definedName name="줄사철">#REF!</definedName>
    <definedName name="중">#REF!</definedName>
    <definedName name="중_기__조_장">#REF!</definedName>
    <definedName name="중1류" hidden="1">{#N/A,#N/A,FALSE,"운반시간"}</definedName>
    <definedName name="중3류" hidden="1">{#N/A,#N/A,FALSE,"운반시간"}</definedName>
    <definedName name="중간요약" hidden="1">{#N/A,#N/A,FALSE,"BS";#N/A,#N/A,FALSE,"PL";#N/A,#N/A,FALSE,"처분";#N/A,#N/A,FALSE,"현금";#N/A,#N/A,FALSE,"매출";#N/A,#N/A,FALSE,"원가";#N/A,#N/A,FALSE,"경영"}</definedName>
    <definedName name="중강당내역서">#REF!</definedName>
    <definedName name="중강딩공량">#REF!</definedName>
    <definedName name="중건설공사">#REF!</definedName>
    <definedName name="중경">#REF!</definedName>
    <definedName name="중국">#REF!</definedName>
    <definedName name="중금속">#REF!</definedName>
    <definedName name="중급">#REF!</definedName>
    <definedName name="중급기능사">#REF!</definedName>
    <definedName name="중급기술자">#REF!</definedName>
    <definedName name="중급기술자노무비">#N/A</definedName>
    <definedName name="중급원자력기술자">#REF!</definedName>
    <definedName name="중급원자력기술자001">#REF!</definedName>
    <definedName name="중급원자력기술자002">#REF!</definedName>
    <definedName name="중급원자력기술자011">#REF!</definedName>
    <definedName name="중급원자력기술자982">#REF!</definedName>
    <definedName name="중급원자력기술자991">#REF!</definedName>
    <definedName name="중급원자력기술자992">#REF!</definedName>
    <definedName name="중기">#REF!</definedName>
    <definedName name="중기공">#REF!</definedName>
    <definedName name="중기기사">#REF!</definedName>
    <definedName name="중기기사_11_73">#N/A</definedName>
    <definedName name="중기기사_16_2" localSheetId="0">__aaa1</definedName>
    <definedName name="중기기사_16_2">__aaa1</definedName>
    <definedName name="중기기사_18_73" localSheetId="0">__alm2</definedName>
    <definedName name="중기기사_18_73">__alm2</definedName>
    <definedName name="중기기사_21_73">#N/A</definedName>
    <definedName name="중기기사_24_2" localSheetId="0">__ENG2</definedName>
    <definedName name="중기기사_24_2">__ENG2</definedName>
    <definedName name="중기기사_26" localSheetId="0">__HAN1</definedName>
    <definedName name="중기기사_26">__HAN1</definedName>
    <definedName name="중기기사_27_74" localSheetId="0">__HAN3</definedName>
    <definedName name="중기기사_27_74">__HAN3</definedName>
    <definedName name="중기기사_29_74" localSheetId="0">__K11</definedName>
    <definedName name="중기기사_29_74">__K11</definedName>
    <definedName name="중기기사_31_2" localSheetId="0">__K1111</definedName>
    <definedName name="중기기사_31_2">__K1111</definedName>
    <definedName name="중기기사_33" localSheetId="0">__L2</definedName>
    <definedName name="중기기사_33">__L2</definedName>
    <definedName name="중기기사_38_74" localSheetId="0">sheet!__Q1</definedName>
    <definedName name="중기기사_38_74">__Q1</definedName>
    <definedName name="중기기사_6">__ST1</definedName>
    <definedName name="중기기사_7" localSheetId="0">_0_1_1</definedName>
    <definedName name="중기기사_7">_0_1_1</definedName>
    <definedName name="중기기사_9_74" localSheetId="0">_04_흙막이_100</definedName>
    <definedName name="중기기사_9_74">_04_흙막이_100</definedName>
    <definedName name="중기목록">#REF!</definedName>
    <definedName name="중기비청산">{"Book1","동절기공사.xls"}</definedName>
    <definedName name="중기운반경비">#REF!</definedName>
    <definedName name="중기운반계">#REF!</definedName>
    <definedName name="중기운반노무비">#REF!</definedName>
    <definedName name="중기운반재료비">#REF!</definedName>
    <definedName name="중기운전기사">#REF!</definedName>
    <definedName name="중기운전사">#REF!</definedName>
    <definedName name="중기운전조수">#REF!</definedName>
    <definedName name="중기조수">#REF!</definedName>
    <definedName name="중기조장">#REF!</definedName>
    <definedName name="중단공사">#REF!</definedName>
    <definedName name="中斷工事__小計">#REF!</definedName>
    <definedName name="중대가시설2">#N/A</definedName>
    <definedName name="중동견적" hidden="1">{#N/A,#N/A,FALSE,"현장 NCR 분석";#N/A,#N/A,FALSE,"현장품질감사";#N/A,#N/A,FALSE,"현장품질감사"}</definedName>
    <definedName name="중량">#REF!</definedName>
    <definedName name="중량산출" hidden="1">{#N/A,#N/A,FALSE,"Sheet1"}</definedName>
    <definedName name="중량집게표" localSheetId="0">BlankMacro1</definedName>
    <definedName name="중량집게표">BlankMacro1</definedName>
    <definedName name="중량표">#REF!</definedName>
    <definedName name="중력식옹벽_개소별명세">#REF!</definedName>
    <definedName name="중력식옹벽_수량집계">#REF!</definedName>
    <definedName name="중분대고정하중">#REF!</definedName>
    <definedName name="중분대단위" localSheetId="0">BlankMacro1</definedName>
    <definedName name="중분대단위">BlankMacro1</definedName>
    <definedName name="중분대소요철근량">#REF!</definedName>
    <definedName name="중분대원심하중">#REF!</definedName>
    <definedName name="중분대유효단면">#REF!</definedName>
    <definedName name="중분대중량">#REF!</definedName>
    <definedName name="중분대최소철근비">#REF!</definedName>
    <definedName name="중분대충돌하중">#REF!</definedName>
    <definedName name="중분대풍하중">#REF!</definedName>
    <definedName name="중분대피복">#REF!</definedName>
    <definedName name="중분대활하중">#REF!</definedName>
    <definedName name="중분대A">#REF!</definedName>
    <definedName name="중분대M">#REF!</definedName>
    <definedName name="중분대Mu">#REF!</definedName>
    <definedName name="중분하중">#REF!</definedName>
    <definedName name="중수내역" hidden="1">#REF!</definedName>
    <definedName name="중앙" hidden="1">{#N/A,#N/A,FALSE,"단축1";#N/A,#N/A,FALSE,"단축2";#N/A,#N/A,FALSE,"단축3";#N/A,#N/A,FALSE,"장축";#N/A,#N/A,FALSE,"4WD"}</definedName>
    <definedName name="중앙갑지">#REF!</definedName>
    <definedName name="중앙건설대외공문" hidden="1">#REF!</definedName>
    <definedName name="중앙선추가">{"Book1","부대-(표지판,데리,가드).xls","부대-(낙,차,중분대).xls"}</definedName>
    <definedName name="중온수">#REF!</definedName>
    <definedName name="중온수배관">#REF!</definedName>
    <definedName name="중원1교A502">#REF!</definedName>
    <definedName name="중원대교A258">#REF!</definedName>
    <definedName name="중유">#REF!</definedName>
    <definedName name="중재">#REF!</definedName>
    <definedName name="중점0601" hidden="1">{#N/A,#N/A,FALSE,"이태원철근"}</definedName>
    <definedName name="중점관리" hidden="1">{#N/A,#N/A,FALSE,"이태원철근"}</definedName>
    <definedName name="중점관리1" hidden="1">{#N/A,#N/A,FALSE,"지침";#N/A,#N/A,FALSE,"환경분석";#N/A,#N/A,FALSE,"Sheet16"}</definedName>
    <definedName name="중점관리4" hidden="1">#REF!</definedName>
    <definedName name="중추2교대거푸집집계" hidden="1">{#N/A,#N/A,FALSE,"배수1"}</definedName>
    <definedName name="중폭">#REF!</definedName>
    <definedName name="중흥부두2">#REF!</definedName>
    <definedName name="쥐똥">#REF!</definedName>
    <definedName name="쥐똥10노무">#REF!</definedName>
    <definedName name="쥐똥10재료">#REF!</definedName>
    <definedName name="쥐똥12노무">#REF!</definedName>
    <definedName name="쥐똥12재료">#REF!</definedName>
    <definedName name="쥬">#N/A</definedName>
    <definedName name="쥽" hidden="1">{#N/A,#N/A,FALSE,"부대1"}</definedName>
    <definedName name="즁" hidden="1">{#N/A,#N/A,FALSE,"구조1"}</definedName>
    <definedName name="즈" hidden="1">{#N/A,#N/A,FALSE,"현장 NCR 분석";#N/A,#N/A,FALSE,"현장품질감사";#N/A,#N/A,FALSE,"현장품질감사"}</definedName>
    <definedName name="증가" hidden="1">{#N/A,#N/A,FALSE,"단가표지"}</definedName>
    <definedName name="증가하세" hidden="1">{#N/A,#N/A,FALSE,"단가표지"}</definedName>
    <definedName name="증감" hidden="1">{#N/A,#N/A,FALSE,"BS";#N/A,#N/A,FALSE,"PL";#N/A,#N/A,FALSE,"처분";#N/A,#N/A,FALSE,"현금";#N/A,#N/A,FALSE,"매출";#N/A,#N/A,FALSE,"원가";#N/A,#N/A,FALSE,"경영"}</definedName>
    <definedName name="증감내역" hidden="1">#REF!</definedName>
    <definedName name="증감내역2" hidden="1">{#N/A,#N/A,FALSE,"현장 NCR 분석";#N/A,#N/A,FALSE,"현장품질감사";#N/A,#N/A,FALSE,"현장품질감사"}</definedName>
    <definedName name="증감대비1" hidden="1">{#N/A,#N/A,FALSE,"포장2"}</definedName>
    <definedName name="증감대비2" hidden="1">{#N/A,#N/A,FALSE,"2~8번"}</definedName>
    <definedName name="증감비교">#REF!</definedName>
    <definedName name="증감액">#REF!</definedName>
    <definedName name="증대비" hidden="1">{#N/A,#N/A,FALSE,"포장단가"}</definedName>
    <definedName name="증비" localSheetId="0">BlankMacro1</definedName>
    <definedName name="증비">BlankMacro1</definedName>
    <definedName name="지" hidden="1">{#N/A,#N/A,FALSE,"배수2"}</definedName>
    <definedName name="지__급__자__재__비">#N/A</definedName>
    <definedName name="지02">#REF!</definedName>
    <definedName name="지간수">#REF!</definedName>
    <definedName name="지간장1">#REF!</definedName>
    <definedName name="지간장2">#REF!</definedName>
    <definedName name="지게차">#REF!</definedName>
    <definedName name="지경">#REF!</definedName>
    <definedName name="지경1">#REF!</definedName>
    <definedName name="지급">#REF!</definedName>
    <definedName name="지급부가제외">#REF!</definedName>
    <definedName name="지급부가포함">#REF!</definedName>
    <definedName name="지급수선비">#REF!</definedName>
    <definedName name="지급이자">#REF!</definedName>
    <definedName name="지급자재">#REF!</definedName>
    <definedName name="지급자재_1" hidden="1">{#N/A,#N/A,FALSE,"현장 NCR 분석";#N/A,#N/A,FALSE,"현장품질감사";#N/A,#N/A,FALSE,"현장품질감사"}</definedName>
    <definedName name="지급자재_2" hidden="1">{#N/A,#N/A,FALSE,"현장 NCR 분석";#N/A,#N/A,FALSE,"현장품질감사";#N/A,#N/A,FALSE,"현장품질감사"}</definedName>
    <definedName name="지급자재_3" hidden="1">{#N/A,#N/A,FALSE,"현장 NCR 분석";#N/A,#N/A,FALSE,"현장품질감사";#N/A,#N/A,FALSE,"현장품질감사"}</definedName>
    <definedName name="지급자재비">#REF!</definedName>
    <definedName name="지급자재list">#REF!</definedName>
    <definedName name="지노">#REF!</definedName>
    <definedName name="지노1">#REF!</definedName>
    <definedName name="지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지동">#REF!</definedName>
    <definedName name="지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지랄병">#REF!</definedName>
    <definedName name="지명승인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부외배">#REF!</definedName>
    <definedName name="지부외평">#REF!</definedName>
    <definedName name="지부포배">#REF!</definedName>
    <definedName name="지부포수">#REF!</definedName>
    <definedName name="지부포평">#REF!</definedName>
    <definedName name="지분율투입">#REF!</definedName>
    <definedName name="지붕" hidden="1">{#N/A,#N/A,FALSE,"단가표지"}</definedName>
    <definedName name="지붕__잇기공">#REF!</definedName>
    <definedName name="지붕경비">#REF!</definedName>
    <definedName name="지붕공사">#REF!</definedName>
    <definedName name="지붕노무">#REF!</definedName>
    <definedName name="지붕및홈통공사">#REF!</definedName>
    <definedName name="지붕잇기공001">#REF!</definedName>
    <definedName name="지붕잇기공002">#REF!</definedName>
    <definedName name="지붕잇기공011">#REF!</definedName>
    <definedName name="지붕잇기공982">#REF!</definedName>
    <definedName name="지붕잇기공991">#REF!</definedName>
    <definedName name="지붕잇기공992">#REF!</definedName>
    <definedName name="지붕재료">#REF!</definedName>
    <definedName name="지상" hidden="1">#REF!</definedName>
    <definedName name="지상돌출h">#REF!</definedName>
    <definedName name="지상층" hidden="1">{#N/A,#N/A,FALSE,"기안지";#N/A,#N/A,FALSE,"통신지"}</definedName>
    <definedName name="지서" hidden="1">{#N/A,#N/A,FALSE,"현장 NCR 분석";#N/A,#N/A,FALSE,"현장품질감사";#N/A,#N/A,FALSE,"현장품질감사"}</definedName>
    <definedName name="지설치1">#REF!</definedName>
    <definedName name="지설치2">#REF!</definedName>
    <definedName name="지설치3">#REF!</definedName>
    <definedName name="지수">#REF!</definedName>
    <definedName name="지수3">#REF!</definedName>
    <definedName name="지수판설치">#REF!</definedName>
    <definedName name="지수판설치노">#REF!</definedName>
    <definedName name="지시" hidden="1">{#N/A,#N/A,FALSE,"현장 NCR 분석";#N/A,#N/A,FALSE,"현장품질감사";#N/A,#N/A,FALSE,"현장품질감사"}</definedName>
    <definedName name="지시부" hidden="1">{#N/A,#N/A,FALSE,"현장 NCR 분석";#N/A,#N/A,FALSE,"현장품질감사";#N/A,#N/A,FALSE,"현장품질감사"}</definedName>
    <definedName name="지역">#N/A</definedName>
    <definedName name="지역_1" hidden="1">{#N/A,#N/A,FALSE,"포장2"}</definedName>
    <definedName name="지역업체" hidden="1">{#N/A,#N/A,FALSE,"배수2"}</definedName>
    <definedName name="지오송" localSheetId="0">Dlog_Show</definedName>
    <definedName name="지오송">Dlog_Show</definedName>
    <definedName name="지우">#REF!</definedName>
    <definedName name="지운다" hidden="1">{#N/A,#N/A,FALSE,"2~8번"}</definedName>
    <definedName name="지움" hidden="1">{#N/A,#N/A,FALSE,"속도"}</definedName>
    <definedName name="지움2" hidden="1">{#N/A,#N/A,FALSE,"토공2"}</definedName>
    <definedName name="지움3" hidden="1">{#N/A,#N/A,FALSE,"표지목차"}</definedName>
    <definedName name="지원시설">#REF!</definedName>
    <definedName name="지이">#REF!</definedName>
    <definedName name="지입자재내역" hidden="1">#REF!</definedName>
    <definedName name="지자">#REF!</definedName>
    <definedName name="지장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재">#REF!</definedName>
    <definedName name="지재1">#REF!</definedName>
    <definedName name="지적공사" hidden="1">{#N/A,#N/A,FALSE,"현장 NCR 분석";#N/A,#N/A,FALSE,"현장품질감사";#N/A,#N/A,FALSE,"현장품질감사"}</definedName>
    <definedName name="지적기능사_지적기능사2급001">#REF!</definedName>
    <definedName name="지적기능사_지적기능사2급002">#REF!</definedName>
    <definedName name="지적기능사_지적기능사2급011">#REF!</definedName>
    <definedName name="지적기능사_지적기능사2급982">#REF!</definedName>
    <definedName name="지적기능사_지적기능사2급991">#REF!</definedName>
    <definedName name="지적기능사_지적기능사2급992">#REF!</definedName>
    <definedName name="지적기능사1급">#REF!</definedName>
    <definedName name="지적기능사2급">#REF!</definedName>
    <definedName name="지적기능산업기사_지적기능사1급001">#REF!</definedName>
    <definedName name="지적기능산업기사_지적기능사1급002">#REF!</definedName>
    <definedName name="지적기능산업기사_지적기능사1급011">#REF!</definedName>
    <definedName name="지적기능산업기사_지적기능사1급982">#REF!</definedName>
    <definedName name="지적기능산업기사_지적기능사1급991">#REF!</definedName>
    <definedName name="지적기능산업기사_지적기능사1급992">#REF!</definedName>
    <definedName name="지적기사_1급">#REF!</definedName>
    <definedName name="지적기사_2급">#REF!</definedName>
    <definedName name="지적기사_지적기사1급001">#REF!</definedName>
    <definedName name="지적기사_지적기사1급002">#REF!</definedName>
    <definedName name="지적기사_지적기사1급011">#REF!</definedName>
    <definedName name="지적기사_지적기사1급982">#REF!</definedName>
    <definedName name="지적기사_지적기사1급991">#REF!</definedName>
    <definedName name="지적기사_지적기사1급992">#REF!</definedName>
    <definedName name="지적도복사">#REF!</definedName>
    <definedName name="지적산업기사_지적기사2급001">#REF!</definedName>
    <definedName name="지적산업기사_지적기사2급002">#REF!</definedName>
    <definedName name="지적산업기사_지적기사2급011">#REF!</definedName>
    <definedName name="지적산업기사_지적기사2급982">#REF!</definedName>
    <definedName name="지적산업기사_지적기사2급991">#REF!</definedName>
    <definedName name="지적산업기사_지적기사2급992">#REF!</definedName>
    <definedName name="지정">#N/A</definedName>
    <definedName name="지주">#N/A</definedName>
    <definedName name="지주목" localSheetId="0">BlankMacro1</definedName>
    <definedName name="지주목">BlankMacro1</definedName>
    <definedName name="지중1">#REF!</definedName>
    <definedName name="지중2">#REF!</definedName>
    <definedName name="지중3">#REF!</definedName>
    <definedName name="지중4">#REF!</definedName>
    <definedName name="지중5">#REF!</definedName>
    <definedName name="지중변위">#REF!</definedName>
    <definedName name="지중자재">#N/A</definedName>
    <definedName name="지지간">#REF!</definedName>
    <definedName name="지지ㅣ" hidden="1">{#N/A,#N/A,FALSE,"단가표지"}</definedName>
    <definedName name="지질" hidden="1">{#N/A,#N/A,FALSE,"갑지";#N/A,#N/A,FALSE,"개요";#N/A,#N/A,FALSE,"비목별";#N/A,#N/A,FALSE,"건물별";#N/A,#N/A,FALSE,"기구표";#N/A,#N/A,FALSE,"직원투입"}</definedName>
    <definedName name="지질2">#REF!</definedName>
    <definedName name="지철" hidden="1">{#N/A,#N/A,FALSE,"포장2"}</definedName>
    <definedName name="지철자재" hidden="1">{#N/A,#N/A,FALSE,"포장2"}</definedName>
    <definedName name="지초로" hidden="1">#REF!</definedName>
    <definedName name="지축">#REF!</definedName>
    <definedName name="지출계획">#REF!</definedName>
    <definedName name="지침">#REF!</definedName>
    <definedName name="지케1">#REF!</definedName>
    <definedName name="지토" hidden="1">{#N/A,#N/A,FALSE,"포장1";#N/A,#N/A,FALSE,"포장1"}</definedName>
    <definedName name="지토자재" hidden="1">{#N/A,#N/A,FALSE,"포장2"}</definedName>
    <definedName name="지표">#REF!</definedName>
    <definedName name="지표침하">#REF!</definedName>
    <definedName name="지하" hidden="1">{#N/A,#N/A,FALSE,"이태원철근"}</definedName>
    <definedName name="지하1">#REF!</definedName>
    <definedName name="지하1층아스파일" hidden="1">#REF!</definedName>
    <definedName name="지하1층텍스" hidden="1">#REF!</definedName>
    <definedName name="지하2층_AREA">#REF!</definedName>
    <definedName name="지하5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하공정표" hidden="1">{#N/A,#N/A,FALSE,"이태원철근"}</definedName>
    <definedName name="지하수">#REF!</definedName>
    <definedName name="지하수위">#REF!</definedName>
    <definedName name="지하수위h">#REF!</definedName>
    <definedName name="지하주차장">#REF!</definedName>
    <definedName name="지하주차장A">#N/A</definedName>
    <definedName name="지하주차장B">#N/A</definedName>
    <definedName name="지하철거" hidden="1">{"'Sheet1'!$A$1:$H$49"}</definedName>
    <definedName name="지하층">#N/A</definedName>
    <definedName name="지하층3" hidden="1">{#N/A,#N/A,FALSE,"이태원철근"}</definedName>
    <definedName name="지하층연지3" hidden="1">{#N/A,#N/A,FALSE,"이태원철근"}</definedName>
    <definedName name="지형지질">#REF!</definedName>
    <definedName name="지ㅓㅁ늧탼" hidden="1">{#N/A,#N/A,FALSE,"단가표지"}</definedName>
    <definedName name="직1CO">#REF!</definedName>
    <definedName name="직경">#REF!</definedName>
    <definedName name="직공">#REF!</definedName>
    <definedName name="직관.J">#REF!</definedName>
    <definedName name="직노">#REF!</definedName>
    <definedName name="직매54P" hidden="1">{#N/A,#N/A,TRUE,"토적및재료집계";#N/A,#N/A,TRUE,"토적및재료집계";#N/A,#N/A,TRUE,"단위량"}</definedName>
    <definedName name="직영노무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영비">#REF!</definedName>
    <definedName name="직영장비사용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원금액" hidden="1">{#N/A,#N/A,FALSE,"사업총괄";#N/A,#N/A,FALSE,"장비사업";#N/A,#N/A,FALSE,"철구사업";#N/A,#N/A,FALSE,"준설사업"}</definedName>
    <definedName name="직원소요철수계획" hidden="1">{#N/A,#N/A,FALSE,"이태원철근"}</definedName>
    <definedName name="직원조직" hidden="1">{#N/A,#N/A,FALSE,"이태원철근"}</definedName>
    <definedName name="직원조직표" hidden="1">{#N/A,#N/A,FALSE,"이태원철근"}</definedName>
    <definedName name="직원총인수">#REF!</definedName>
    <definedName name="직위">#REF!</definedName>
    <definedName name="직재">#REF!</definedName>
    <definedName name="직접경비">#REF!</definedName>
    <definedName name="직접공사비">#REF!</definedName>
    <definedName name="직접노무비">#REF!</definedName>
    <definedName name="직접노무비요율">#REF!</definedName>
    <definedName name="직접비">#REF!</definedName>
    <definedName name="직접재료비">#REF!</definedName>
    <definedName name="직접재료비합">#REF!</definedName>
    <definedName name="직종">#REF!</definedName>
    <definedName name="직종명">#REF!</definedName>
    <definedName name="직종별">#REF!</definedName>
    <definedName name="진">{"Book1","호안(별표&amp;부표).xls","box(최근).xls"}</definedName>
    <definedName name="진국">#REF!</definedName>
    <definedName name="진달래">#REF!</definedName>
    <definedName name="진달래3노무">#REF!</definedName>
    <definedName name="진달래3재료">#REF!</definedName>
    <definedName name="진달래4노무">#REF!</definedName>
    <definedName name="진달래4재료">#REF!</definedName>
    <definedName name="진달래5노무">#REF!</definedName>
    <definedName name="진달래5재료">#REF!</definedName>
    <definedName name="진달래중량">ROUND((4/3*3.14*(0.075*0.075*0.075))*(1200*0.9),2)</definedName>
    <definedName name="진달래H0.6">#REF!</definedName>
    <definedName name="진도율" hidden="1">{#N/A,#N/A,FALSE,"도급대비시행율";#N/A,#N/A,FALSE,"결의서";#N/A,#N/A,FALSE,"내역서";#N/A,#N/A,FALSE,"도급예상"}</definedName>
    <definedName name="진동로라">250000</definedName>
    <definedName name="진동로라노무비">#REF!</definedName>
    <definedName name="진동롤라경">#REF!</definedName>
    <definedName name="진동롤라경비">#REF!</definedName>
    <definedName name="진동롤라노무">#REF!</definedName>
    <definedName name="진동롤라재료">#REF!</definedName>
    <definedName name="진동롤라재료비">#REF!</definedName>
    <definedName name="진배">#REF!</definedName>
    <definedName name="진석">#REF!,#REF!</definedName>
    <definedName name="진입로암" hidden="1">{#N/A,#N/A,FALSE,"현장 NCR 분석";#N/A,#N/A,FALSE,"현장품질감사";#N/A,#N/A,FALSE,"현장품질감사"}</definedName>
    <definedName name="진주">#REF!</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진짜원가_1" hidden="1">{#N/A,#N/A,FALSE,"손익표지";#N/A,#N/A,FALSE,"손익계산";#N/A,#N/A,FALSE,"일반관리비";#N/A,#N/A,FALSE,"영업외수익";#N/A,#N/A,FALSE,"영업외비용";#N/A,#N/A,FALSE,"매출액";#N/A,#N/A,FALSE,"요약손익";#N/A,#N/A,FALSE,"요약대차";#N/A,#N/A,FALSE,"매출채권현황";#N/A,#N/A,FALSE,"매출채권명세"}</definedName>
    <definedName name="진짜원가_2" hidden="1">{#N/A,#N/A,FALSE,"손익표지";#N/A,#N/A,FALSE,"손익계산";#N/A,#N/A,FALSE,"일반관리비";#N/A,#N/A,FALSE,"영업외수익";#N/A,#N/A,FALSE,"영업외비용";#N/A,#N/A,FALSE,"매출액";#N/A,#N/A,FALSE,"요약손익";#N/A,#N/A,FALSE,"요약대차";#N/A,#N/A,FALSE,"매출채권현황";#N/A,#N/A,FALSE,"매출채권명세"}</definedName>
    <definedName name="진짜원가_3" hidden="1">{#N/A,#N/A,FALSE,"손익표지";#N/A,#N/A,FALSE,"손익계산";#N/A,#N/A,FALSE,"일반관리비";#N/A,#N/A,FALSE,"영업외수익";#N/A,#N/A,FALSE,"영업외비용";#N/A,#N/A,FALSE,"매출액";#N/A,#N/A,FALSE,"요약손익";#N/A,#N/A,FALSE,"요약대차";#N/A,#N/A,FALSE,"매출채권현황";#N/A,#N/A,FALSE,"매출채권명세"}</definedName>
    <definedName name="진태">#REF!,#REF!,#REF!,#REF!,#REF!,#REF!,#REF!,#REF!,#REF!,#REF!,#REF!</definedName>
    <definedName name="진행">#REF!</definedName>
    <definedName name="진행1">#REF!</definedName>
    <definedName name="進行工事__小計">#REF!</definedName>
    <definedName name="進行工事__小計1">#REF!</definedName>
    <definedName name="집">#REF!</definedName>
    <definedName name="집__계__표">#N/A</definedName>
    <definedName name="집계">#REF!</definedName>
    <definedName name="집계1">#REF!</definedName>
    <definedName name="집계2">#REF!</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경비">#REF!,#REF!,#REF!</definedName>
    <definedName name="집계내역">#N/A</definedName>
    <definedName name="집계노무">#REF!,#REF!,#REF!</definedName>
    <definedName name="집계재료">#REF!,#REF!,#REF!</definedName>
    <definedName name="집계제출12" localSheetId="0">BlankMacro1</definedName>
    <definedName name="집계제출12">BlankMacro1</definedName>
    <definedName name="집계제출2" localSheetId="0">BlankMacro1</definedName>
    <definedName name="집계제출2">BlankMacro1</definedName>
    <definedName name="집계표">#REF!</definedName>
    <definedName name="집계표1">#REF!</definedName>
    <definedName name="집계표2">[0]!_35574</definedName>
    <definedName name="집계표3">#REF!</definedName>
    <definedName name="집계표4">#REF!</definedName>
    <definedName name="집계표5">#REF!</definedName>
    <definedName name="집계표집계표" hidden="1">{#N/A,#N/A,FALSE,"CCTV"}</definedName>
    <definedName name="집계합계">#REF!,#REF!,#REF!</definedName>
    <definedName name="집기공사" localSheetId="0">BlankMacro1</definedName>
    <definedName name="집기공사">BlankMacro1</definedName>
    <definedName name="집기비품2" hidden="1">{#N/A,#N/A,FALSE,"물량산출"}</definedName>
    <definedName name="집수" hidden="1">{#N/A,#N/A,FALSE,"토공2"}</definedName>
    <definedName name="집수구공내역" hidden="1">{#N/A,#N/A,TRUE,"토적및재료집계";#N/A,#N/A,TRUE,"토적및재료집계";#N/A,#N/A,TRUE,"단위량"}</definedName>
    <definedName name="집수정" hidden="1">#REF!</definedName>
    <definedName name="집수정_수량산출">#REF!</definedName>
    <definedName name="집수정1" hidden="1">{#N/A,#N/A,FALSE,"배수1"}</definedName>
    <definedName name="집수정1최종" hidden="1">{#N/A,#N/A,FALSE,"2~8번"}</definedName>
    <definedName name="집수정관경">#REF!</definedName>
    <definedName name="집수정규격">#REF!</definedName>
    <definedName name="집수정깨기" hidden="1">{#N/A,#N/A,FALSE,"운반시간"}</definedName>
    <definedName name="집수정수량">#REF!</definedName>
    <definedName name="집수정조서" hidden="1">{#N/A,#N/A,FALSE,"2~8번"}</definedName>
    <definedName name="집수정탱크">#REF!</definedName>
    <definedName name="집수정토공" hidden="1">#REF!</definedName>
    <definedName name="집진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진기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hidden="1">{#N/A,#N/A,TRUE,"토적및재료집계";#N/A,#N/A,TRUE,"토적및재료집계";#N/A,#N/A,TRUE,"단위량"}</definedName>
    <definedName name="ㅈㄻㅍ" hidden="1">{#N/A,#N/A,FALSE,"기안지";#N/A,#N/A,FALSE,"통신지"}</definedName>
    <definedName name="ㅉㅉㅉㅉㅉ" hidden="1">{#N/A,#N/A,FALSE,"지침";#N/A,#N/A,FALSE,"환경분석";#N/A,#N/A,FALSE,"Sheet16"}</definedName>
    <definedName name="짜장">#REF!</definedName>
    <definedName name="짜증나" hidden="1">{#N/A,#N/A,FALSE,"Sheet1"}</definedName>
    <definedName name="짜증난다" localSheetId="0">Dlog_Show</definedName>
    <definedName name="짜증난다">Dlog_Show</definedName>
    <definedName name="짠"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짱" hidden="1">{#N/A,#N/A,FALSE,"이정표"}</definedName>
    <definedName name="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hidden="1">{#N/A,#N/A,FALSE,"변경관리예산";#N/A,#N/A,FALSE,"변경장비예산";#N/A,#N/A,FALSE,"변경준설예산";#N/A,#N/A,FALSE,"변경철구예산"}</definedName>
    <definedName name="쪽재비">#REF!</definedName>
    <definedName name="쪽재비노">#REF!</definedName>
    <definedName name="쪽재비재">#REF!</definedName>
    <definedName name="ㅊ">#REF!</definedName>
    <definedName name="ㅊ1555">#REF!</definedName>
    <definedName name="ㅊ160">#N/A</definedName>
    <definedName name="ㅊ214">#N/A</definedName>
    <definedName name="ㅊ2409">#N/A</definedName>
    <definedName name="ㅊㄴㅇㄴㅇㅍㄴㅇ">#REF!</definedName>
    <definedName name="ㅊㄴㅋㅊㄴㅇㄹㄴㅇ" hidden="1">{#N/A,#N/A,FALSE,"지침";#N/A,#N/A,FALSE,"환경분석";#N/A,#N/A,FALSE,"Sheet16"}</definedName>
    <definedName name="ㅊ노ㅜ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ㄷㄴ" hidden="1">{#N/A,#N/A,FALSE,"운반시간"}</definedName>
    <definedName name="ㅊㄹ퓷윻" hidden="1">{#N/A,#N/A,FALSE,"혼합골재"}</definedName>
    <definedName name="ㅊ러혈" hidden="1">{#N/A,#N/A,FALSE,"단가표지"}</definedName>
    <definedName name="ㅊ률휴" hidden="1">{#N/A,#N/A,FALSE,"혼합골재"}</definedName>
    <definedName name="ㅊ률흏" hidden="1">{#N/A,#N/A,FALSE,"운반시간"}</definedName>
    <definedName name="ㅊ모">#REF!</definedName>
    <definedName name="ㅊㅅ뉴ㅛㅕ" hidden="1">{#N/A,#N/A,FALSE,"단가표지"}</definedName>
    <definedName name="ㅊㅇ" hidden="1">{#N/A,#N/A,FALSE,"현장 NCR 분석";#N/A,#N/A,FALSE,"현장품질감사";#N/A,#N/A,FALSE,"현장품질감사"}</definedName>
    <definedName name="ㅊㅇㄴㄹㅈ" hidden="1">{#N/A,#N/A,FALSE,"2~8번"}</definedName>
    <definedName name="ㅊㅇㅀㄹ" hidden="1">{#N/A,#N/A,FALSE,"BS";#N/A,#N/A,FALSE,"PL";#N/A,#N/A,FALSE,"처분";#N/A,#N/A,FALSE,"현금";#N/A,#N/A,FALSE,"매출";#N/A,#N/A,FALSE,"원가";#N/A,#N/A,FALSE,"경영"}</definedName>
    <definedName name="ㅊㅈㄱㄷㅈㅊ" hidden="1">{#N/A,#N/A,TRUE,"토적및재료집계";#N/A,#N/A,TRUE,"토적및재료집계";#N/A,#N/A,TRUE,"단위량"}</definedName>
    <definedName name="ㅊㅊ">#REF!</definedName>
    <definedName name="ㅊㅊㅊ">#N/A</definedName>
    <definedName name="ㅊㅊㅊㅊ" hidden="1">{#N/A,#N/A,FALSE,"단가표지"}</definedName>
    <definedName name="ㅊㅊㅊㅊㅊ"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ㅊㅊㅊㅊㅊ"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ㅊㅊㅊㅊㅊㅊ" hidden="1">{#N/A,#N/A,FALSE,"표지목차"}</definedName>
    <definedName name="ㅊㅌㅊ" hidden="1">{#N/A,#N/A,FALSE,"현장 NCR 분석";#N/A,#N/A,FALSE,"현장품질감사";#N/A,#N/A,FALSE,"현장품질감사"}</definedName>
    <definedName name="ㅊㅌㅊㅊㅊ" localSheetId="0">BlankMacro1</definedName>
    <definedName name="ㅊㅌㅊㅊㅊ">BlankMacro1</definedName>
    <definedName name="ㅊㅌㅍㄹ유" hidden="1">{#N/A,#N/A,FALSE,"조골재"}</definedName>
    <definedName name="ㅊㅌㅍㅇ류" hidden="1">{#N/A,#N/A,FALSE,"단가표지"}</definedName>
    <definedName name="ㅊㅌㅍㅀ윻" hidden="1">{#N/A,#N/A,FALSE,"조골재"}</definedName>
    <definedName name="ㅊㅌ퓨" hidden="1">{#N/A,#N/A,FALSE,"운반시간"}</definedName>
    <definedName name="ㅊㅌ퓰ㅇ퓶ㅊ" hidden="1">{#N/A,#N/A,FALSE,"단가표지"}</definedName>
    <definedName name="ㅊㅌ퓰윯" hidden="1">{#N/A,#N/A,FALSE,"단가표지"}</definedName>
    <definedName name="ㅊㅌ퓰윺ㅍ" hidden="1">{#N/A,#N/A,FALSE,"혼합골재"}</definedName>
    <definedName name="ㅊㅌ퓰윻" hidden="1">{#N/A,#N/A,FALSE,"혼합골재"}</definedName>
    <definedName name="ㅊㅌ퓽류" hidden="1">{#N/A,#N/A,FALSE,"골재소요량";#N/A,#N/A,FALSE,"골재소요량"}</definedName>
    <definedName name="ㅊㅌ퓽륳ㄹ" hidden="1">{#N/A,#N/A,FALSE,"운반시간"}</definedName>
    <definedName name="ㅊ터ㅗㅇ렿" hidden="1">{#N/A,#N/A,FALSE,"단가표지"}</definedName>
    <definedName name="ㅊ터ㅠㅜ여ㅗㄺ" hidden="1">{#N/A,#N/A,FALSE,"운반시간"}</definedName>
    <definedName name="ㅊ토ㅓㅍㅎㄹㅇㅍ" hidden="1">{#N/A,#N/A,FALSE,"표지목차"}</definedName>
    <definedName name="ㅊ튱ㄿㄹㅇ" hidden="1">{#N/A,#N/A,FALSE,"단가표지"}</definedName>
    <definedName name="ㅊㅍ" hidden="1">#REF!</definedName>
    <definedName name="ㅊㅍㄹㄴ" hidden="1">{#N/A,#N/A,FALSE,"단가표지"}</definedName>
    <definedName name="ㅊㅍㅋㅌㅊㅋ" hidden="1">{#N/A,#N/A,FALSE,"운반시간"}</definedName>
    <definedName name="ㅊㅍㅋㅌㅍㅌ" hidden="1">{#N/A,#N/A,FALSE,"혼합골재"}</definedName>
    <definedName name="ㅊㅍ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ㅍ퓽륧ㅇ" hidden="1">{#N/A,#N/A,FALSE,"운반시간"}</definedName>
    <definedName name="ㅊ폴" hidden="1">{#N/A,#N/A,FALSE,"Sheet6"}</definedName>
    <definedName name="ㅊ폿ㄱ" hidden="1">{#N/A,#N/A,FALSE,"조골재"}</definedName>
    <definedName name="ㅊ푸ㅜㅠㅜㅠㅜㅜㅠㅜㅠ" hidden="1">{"'자리배치도'!$AG$1:$CI$28"}</definedName>
    <definedName name="ㅊ퓨흉ㄴ" hidden="1">{#N/A,#N/A,FALSE,"운반시간"}</definedName>
    <definedName name="ㅊ퓨ㅠ" hidden="1">{#N/A,#N/A,FALSE,"생산성";#N/A,#N/A,FALSE,"인력1";#N/A,#N/A,FALSE,"인력2";#N/A,#N/A,FALSE,"인력3";#N/A,#N/A,FALSE,"인건1";#N/A,#N/A,FALSE,"인건2";#N/A,#N/A,FALSE,"인건3";#N/A,#N/A,FALSE,"인원증감";#N/A,#N/A,FALSE,"인건증감";#N/A,#N/A,FALSE,"표지등"}</definedName>
    <definedName name="ㅊ퓰ㅇㅊ퓰ㅇ" hidden="1">{#N/A,#N/A,FALSE,"혼합골재"}</definedName>
    <definedName name="ㅊ퓰ㅇㅍ" hidden="1">{#N/A,#N/A,FALSE,"운반시간"}</definedName>
    <definedName name="ㅊ퓰유" hidden="1">{#N/A,#N/A,FALSE,"혼합골재"}</definedName>
    <definedName name="ㅊ퓰흎" hidden="1">{#N/A,#N/A,FALSE,"운반시간"}</definedName>
    <definedName name="ㅊ퓽ㄹ퓿" hidden="1">{#N/A,#N/A,FALSE,"혼합골재"}</definedName>
    <definedName name="ㅊ퓽류" hidden="1">{#N/A,#N/A,FALSE,"운반시간"}</definedName>
    <definedName name="ㅊ퓿ㅍ" hidden="1">{#N/A,#N/A,FALSE,"혼합골재"}</definedName>
    <definedName name="ㅊ허ㅗㅑㅇ" hidden="1">{#N/A,#N/A,FALSE,"운반시간"}</definedName>
    <definedName name="ㅊ후ㅏㅓㅠ" hidden="1">{#N/A,#N/A,FALSE,"운반시간"}</definedName>
    <definedName name="ㅊ휴쇼ㅗ쇼" hidden="1">{#N/A,#N/A,FALSE,"혼합골재"}</definedName>
    <definedName name="ㅊㅎㄳㅎㄳ" hidden="1">{#N/A,#N/A,FALSE,"단가표지"}</definedName>
    <definedName name="ㅊㅀ앟ㅇ" hidden="1">{#N/A,#N/A,FALSE,"운반시간"}</definedName>
    <definedName name="차" hidden="1">{#N/A,#N/A,FALSE,"CCTV"}</definedName>
    <definedName name="차_선_도_색__집_계">#REF!</definedName>
    <definedName name="차." hidden="1">{#N/A,#N/A,FALSE,"UNIT";#N/A,#N/A,FALSE,"UNIT";#N/A,#N/A,FALSE,"계정"}</definedName>
    <definedName name="차기울" hidden="1">{#N/A,#N/A,FALSE,"2~8번"}</definedName>
    <definedName name="차량" hidden="1">{#N/A,#N/A,FALSE,"UNIT";#N/A,#N/A,FALSE,"UNIT";#N/A,#N/A,FALSE,"계정"}</definedName>
    <definedName name="차량가격">#REF!</definedName>
    <definedName name="차량기준" hidden="1">{"'표지'!$B$5"}</definedName>
    <definedName name="차량내용연수">#REF!</definedName>
    <definedName name="차량상각률">#REF!</definedName>
    <definedName name="차량유지비" hidden="1">{"'표지'!$B$5"}</definedName>
    <definedName name="차량SVC" hidden="1">{#N/A,#N/A,FALSE,"UNIT";#N/A,#N/A,FALSE,"UNIT";#N/A,#N/A,FALSE,"계정"}</definedName>
    <definedName name="차리" hidden="1">{#N/A,#N/A,FALSE,"운반시간"}</definedName>
    <definedName name="차선도색중앙선수량">#REF!</definedName>
    <definedName name="차선도색직각주차수량">#REF!</definedName>
    <definedName name="차선도색집계">#REF!</definedName>
    <definedName name="차선도색평행주차수량">#REF!</definedName>
    <definedName name="차선제거" hidden="1">{#N/A,#N/A,FALSE,"속도"}</definedName>
    <definedName name="차수벽높이">#REF!</definedName>
    <definedName name="차수벽두께">#REF!</definedName>
    <definedName name="차수벽토공2" hidden="1">{"'산출근거'!$B$4:$D$8"}</definedName>
    <definedName name="차수별" hidden="1">#REF!</definedName>
    <definedName name="차수별수량">#REF!</definedName>
    <definedName name="차실" hidden="1">{#N/A,#N/A,FALSE,"기안지";#N/A,#N/A,FALSE,"통신지"}</definedName>
    <definedName name="차압유량조절">#REF!</definedName>
    <definedName name="차은">#REF!</definedName>
    <definedName name="차을" hidden="1">{#N/A,#N/A,FALSE,"단가표지"}</definedName>
    <definedName name="차이분서II"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차일" hidden="1">{#N/A,#N/A,FALSE,"운반시간"}</definedName>
    <definedName name="차입금">#REF!</definedName>
    <definedName name="차입도래">#REF!</definedName>
    <definedName name="차입이자율">#REF!</definedName>
    <definedName name="차장급_복리후생비">#REF!</definedName>
    <definedName name="차장GROSS">#N/A</definedName>
    <definedName name="차집관거단가">#N/A</definedName>
    <definedName name="차차" hidden="1">#REF!</definedName>
    <definedName name="차차차" hidden="1">{#N/A,#N/A,FALSE,"2~8번"}</definedName>
    <definedName name="차차파">#REF!</definedName>
    <definedName name="차트">#REF!</definedName>
    <definedName name="차폐막수량" hidden="1">{#N/A,#N/A,FALSE,"현장 NCR 분석";#N/A,#N/A,FALSE,"현장품질감사";#N/A,#N/A,FALSE,"현장품질감사"}</definedName>
    <definedName name="차포누" hidden="1">#REF!</definedName>
    <definedName name="차ㅑ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차ㅓ걓" hidden="1">{#N/A,#N/A,FALSE,"운반시간"}</definedName>
    <definedName name="차ㅓ롷ㄱ" hidden="1">{#N/A,#N/A,FALSE,"조골재"}</definedName>
    <definedName name="차ㅓㅇ">#REF!</definedName>
    <definedName name="착___암___공">#REF!</definedName>
    <definedName name="착공">#REF!</definedName>
    <definedName name="착공기한">#REF!</definedName>
    <definedName name="착공년">#N/A</definedName>
    <definedName name="착공년월일">#REF!</definedName>
    <definedName name="착공월">#REF!</definedName>
    <definedName name="착공일">#REF!</definedName>
    <definedName name="착암공">#REF!</definedName>
    <definedName name="착암공001">#REF!</definedName>
    <definedName name="착암공002">#REF!</definedName>
    <definedName name="착암공011">#REF!</definedName>
    <definedName name="착암공982">#REF!</definedName>
    <definedName name="착암공991">#REF!</definedName>
    <definedName name="착암공992">#REF!</definedName>
    <definedName name="착정">#REF!</definedName>
    <definedName name="착정심도">#REF!</definedName>
    <definedName name="착준공식비">#REF!</definedName>
    <definedName name="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찬스" hidden="1">{#N/A,#N/A,FALSE,"현장 NCR 분석";#N/A,#N/A,FALSE,"현장품질감사";#N/A,#N/A,FALSE,"현장품질감사"}</definedName>
    <definedName name="찰샇기" hidden="1">#REF!</definedName>
    <definedName name="찰엃갸" hidden="1">{#N/A,#N/A,FALSE,"골재소요량";#N/A,#N/A,FALSE,"골재소요량"}</definedName>
    <definedName name="참가" hidden="1">#REF!</definedName>
    <definedName name="참가요청서">#REF!</definedName>
    <definedName name="참가확인서">#REF!</definedName>
    <definedName name="참고" hidden="1">{#N/A,#N/A,FALSE,"견적조건";#N/A,#N/A,FALSE,"산출근거"}</definedName>
    <definedName name="참고2" hidden="1">#REF!</definedName>
    <definedName name="참고내역" hidden="1">#REF!</definedName>
    <definedName name="참고자료" hidden="1">{#VALUE!,#N/A,FALSE,0;#N/A,#N/A,FALSE,0;#N/A,#N/A,FALSE,0;#N/A,#N/A,FALSE,0}</definedName>
    <definedName name="참석자" hidden="1">{#N/A,#N/A,FALSE,"현장 NCR 분석";#N/A,#N/A,FALSE,"현장품질감사";#N/A,#N/A,FALSE,"현장품질감사"}</definedName>
    <definedName name="참조" hidden="1">{"'Sheet1'!$A$1:$E$59"}</definedName>
    <definedName name="참조내역">#REF!</definedName>
    <definedName name="창">#REF!</definedName>
    <definedName name="창구분">#REF!</definedName>
    <definedName name="창구분목록">#REF!</definedName>
    <definedName name="창문주위몰탈충지노">#REF!</definedName>
    <definedName name="창문주위몰탈충진">#REF!</definedName>
    <definedName name="창보" hidden="1">{#N/A,#N/A,FALSE,"운반시간"}</definedName>
    <definedName name="창원" hidden="1">{#N/A,#N/A,FALSE,"이태원철근"}</definedName>
    <definedName name="창원공사현황" hidden="1">{#N/A,#N/A,FALSE,"이태원철근"}</definedName>
    <definedName name="창포노">#REF!</definedName>
    <definedName name="창포재">#REF!</definedName>
    <definedName name="창형태">#REF!</definedName>
    <definedName name="창형태그림">INDIRECT("그림!A"&amp;#REF!)</definedName>
    <definedName name="창호">#N/A</definedName>
    <definedName name="창호2" hidden="1">{#N/A,#N/A,FALSE,"혼합골재"}</definedName>
    <definedName name="창호경비">#REF!</definedName>
    <definedName name="창호공사">#REF!</definedName>
    <definedName name="창호노무">#REF!</definedName>
    <definedName name="창호리스트">#REF!</definedName>
    <definedName name="창호목공">#REF!</definedName>
    <definedName name="창호목공001">#REF!</definedName>
    <definedName name="창호목공002">#REF!</definedName>
    <definedName name="창호목공011">#REF!</definedName>
    <definedName name="창호목공982">#REF!</definedName>
    <definedName name="창호목공991">#REF!</definedName>
    <definedName name="창호목공992">#REF!</definedName>
    <definedName name="창호소계">#REF!</definedName>
    <definedName name="창호재료">#REF!</definedName>
    <definedName name="창화" hidden="1">{#N/A,#N/A,FALSE,"혼합골재"}</definedName>
    <definedName name="챂갸ㅓㅎ" hidden="1">{#N/A,#N/A,FALSE,"조골재"}</definedName>
    <definedName name="채권손실">#REF!</definedName>
    <definedName name="채권연이율">#REF!</definedName>
    <definedName name="채권율">#REF!</definedName>
    <definedName name="채데" hidden="1">{#N/A,#N/A,FALSE,"지침";#N/A,#N/A,FALSE,"환경분석";#N/A,#N/A,FALSE,"Sheet16"}</definedName>
    <definedName name="채무부담금">#REF!</definedName>
    <definedName name="채연">#REF!</definedName>
    <definedName name="채ㅐ" hidden="1">{#N/A,#N/A,FALSE,"지침";#N/A,#N/A,FALSE,"환경분석";#N/A,#N/A,FALSE,"Sheet16"}</definedName>
    <definedName name="처">#REF!</definedName>
    <definedName name="처리">#REF!</definedName>
    <definedName name="처리하자" hidden="1">{#N/A,#N/A,FALSE,"운반시간"}</definedName>
    <definedName name="처어봉" hidden="1">{#N/A,#N/A,FALSE,"단가표지"}</definedName>
    <definedName name="처어어어엉ㅇㅇㅇㅇ" hidden="1">{#N/A,#N/A,FALSE,"이태원철근"}</definedName>
    <definedName name="처홓" hidden="1">{#N/A,#N/A,FALSE,"단가표지"}</definedName>
    <definedName name="처ㅏㅋ">#REF!</definedName>
    <definedName name="처ㅏㅗ됼호" hidden="1">{#N/A,#N/A,FALSE,"단가표지"}</definedName>
    <definedName name="처ㅓㅎ" hidden="1">{#N/A,#N/A,FALSE,"단가표지"}</definedName>
    <definedName name="처ㅛㅗㅕㄳㅎ" hidden="1">{#N/A,#N/A,FALSE,"조골재"}</definedName>
    <definedName name="처ㅜ러ㅗㅇㄹ" hidden="1">{#N/A,#N/A,FALSE,"단가표지"}</definedName>
    <definedName name="천">#REF!</definedName>
    <definedName name="천공2" hidden="1">{#N/A,#N/A,FALSE,"집계표"}</definedName>
    <definedName name="천공깊이">#REF!</definedName>
    <definedName name="천공깊이2">#REF!</definedName>
    <definedName name="천단침하">#REF!</definedName>
    <definedName name="천막">#REF!</definedName>
    <definedName name="천막인생" hidden="1">{#N/A,#N/A,FALSE,"골재소요량";#N/A,#N/A,FALSE,"골재소요량"}</definedName>
    <definedName name="천막지" hidden="1">{#N/A,#N/A,FALSE,"단가표지"}</definedName>
    <definedName name="천사">{"'용역비'!$A$4:$C$8"}</definedName>
    <definedName name="천상">#N/A</definedName>
    <definedName name="천상우" hidden="1">{#N/A,#N/A,FALSE,"전력간선"}</definedName>
    <definedName name="천성건설">#REF!</definedName>
    <definedName name="천안시청사">#REF!</definedName>
    <definedName name="천안토공_토공_List">#REF!</definedName>
    <definedName name="천용삼" hidden="1">{#N/A,#N/A,FALSE,"전력간선"}</definedName>
    <definedName name="천원">#REF!</definedName>
    <definedName name="천정">{"Book1","TOTAL.xls"}</definedName>
    <definedName name="천정일위대가">{"Book1","TOTAL.xls"}</definedName>
    <definedName name="천정지거실노">#REF!</definedName>
    <definedName name="천정지붙이기거실">#REF!</definedName>
    <definedName name="천정지붙이기침실">#REF!</definedName>
    <definedName name="천정지붙이기화장실">#REF!</definedName>
    <definedName name="천정지비닐화장실노">#REF!</definedName>
    <definedName name="천정지침실노">#REF!</definedName>
    <definedName name="천천천" localSheetId="0">BlankMacro1</definedName>
    <definedName name="천천천">BlankMacro1</definedName>
    <definedName name="철">#REF!</definedName>
    <definedName name="철__골__공">#REF!</definedName>
    <definedName name="철_13">#REF!</definedName>
    <definedName name="철_16">#REF!</definedName>
    <definedName name="철_총">#REF!</definedName>
    <definedName name="철2" hidden="1">{#N/A,#N/A,FALSE,"혼합골재"}</definedName>
    <definedName name="철3" hidden="1">{#N/A,#N/A,FALSE,"혼합골재"}</definedName>
    <definedName name="철간">#REF!</definedName>
    <definedName name="철간접">#REF!</definedName>
    <definedName name="철강" hidden="1">#REF!</definedName>
    <definedName name="철강견적">#REF!</definedName>
    <definedName name="철강번호">#REF!</definedName>
    <definedName name="철거">#N/A</definedName>
    <definedName name="철거2" hidden="1">{#N/A,#N/A,FALSE,"현장 NCR 분석";#N/A,#N/A,FALSE,"현장품질감사";#N/A,#N/A,FALSE,"현장품질감사"}</definedName>
    <definedName name="철거계획" hidden="1">#REF!</definedName>
    <definedName name="철거공사비">#N/A</definedName>
    <definedName name="철거공종집계" hidden="1">{#N/A,#N/A,FALSE,"골재소요량";#N/A,#N/A,FALSE,"골재소요량"}</definedName>
    <definedName name="철거기별" hidden="1">#REF!</definedName>
    <definedName name="철거내역" hidden="1">#REF!</definedName>
    <definedName name="철거노무비">#REF!</definedName>
    <definedName name="철거수량" localSheetId="0">BlankMacro1</definedName>
    <definedName name="철거수량">BlankMacro1</definedName>
    <definedName name="철거자재">#REF!</definedName>
    <definedName name="철거전등단가">#REF!</definedName>
    <definedName name="철거전등단가1">#REF!</definedName>
    <definedName name="철거총괄" hidden="1">{#N/A,#N/A,FALSE,"골재소요량";#N/A,#N/A,FALSE,"골재소요량"}</definedName>
    <definedName name="철건설">#REF!</definedName>
    <definedName name="철경비">#REF!</definedName>
    <definedName name="철골" hidden="1">{#N/A,#N/A,FALSE,"CCTV"}</definedName>
    <definedName name="철골1" hidden="1">{#N/A,#N/A,FALSE,"혼합골재"}</definedName>
    <definedName name="철골경비">#REF!</definedName>
    <definedName name="철골공">#REF!</definedName>
    <definedName name="철골공001">#REF!</definedName>
    <definedName name="철골공002">#REF!</definedName>
    <definedName name="철골공011">#REF!</definedName>
    <definedName name="철골공982">#REF!</definedName>
    <definedName name="철골공991">#REF!</definedName>
    <definedName name="철골공992">#REF!</definedName>
    <definedName name="철골공사">#REF!</definedName>
    <definedName name="철골공사시방서" hidden="1">{#N/A,#N/A,FALSE,"현장 NCR 분석";#N/A,#N/A,FALSE,"현장품질감사";#N/A,#N/A,FALSE,"현장품질감사"}</definedName>
    <definedName name="철골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노무">#REF!</definedName>
    <definedName name="철골도급내역서" hidden="1">#REF!</definedName>
    <definedName name="철골설치">#N/A</definedName>
    <definedName name="철골재료">#REF!</definedName>
    <definedName name="철골집" hidden="1">{#N/A,#N/A,FALSE,"Sheet1"}</definedName>
    <definedName name="철골첨부">#N/A</definedName>
    <definedName name="철골협의" hidden="1">{#N/A,#N/A,FALSE,"현장 NCR 분석";#N/A,#N/A,FALSE,"현장품질감사";#N/A,#N/A,FALSE,"현장품질감사"}</definedName>
    <definedName name="철골협의_1" hidden="1">{#N/A,#N/A,FALSE,"현장 NCR 분석";#N/A,#N/A,FALSE,"현장품질감사";#N/A,#N/A,FALSE,"현장품질감사"}</definedName>
    <definedName name="철공">#REF!</definedName>
    <definedName name="철공001">#REF!</definedName>
    <definedName name="철공002">#REF!</definedName>
    <definedName name="철공011">#REF!</definedName>
    <definedName name="철공2004">#REF!</definedName>
    <definedName name="철공982">#REF!</definedName>
    <definedName name="철공991">#REF!</definedName>
    <definedName name="철공992">#REF!</definedName>
    <definedName name="철관리">#REF!</definedName>
    <definedName name="철구공문" hidden="1">{#N/A,#N/A,FALSE,"현장 NCR 분석";#N/A,#N/A,FALSE,"현장품질감사";#N/A,#N/A,FALSE,"현장품질감사"}</definedName>
    <definedName name="철구사업본부">#REF!</definedName>
    <definedName name="철근">#REF!</definedName>
    <definedName name="철근13">#REF!</definedName>
    <definedName name="철근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철근가공경">#REF!</definedName>
    <definedName name="철근가공노">#REF!</definedName>
    <definedName name="철근가공장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철근가공재">#REF!</definedName>
    <definedName name="철근가공조립">#REF!</definedName>
    <definedName name="철근경비">#REF!</definedName>
    <definedName name="철근공">#REF!</definedName>
    <definedName name="철근공001">#REF!</definedName>
    <definedName name="철근공002">#REF!</definedName>
    <definedName name="철근공011">#REF!</definedName>
    <definedName name="철근공982">#REF!</definedName>
    <definedName name="철근공991">#REF!</definedName>
    <definedName name="철근공992">#REF!</definedName>
    <definedName name="철근공사" hidden="1">{#N/A,#N/A,FALSE,"2~8번"}</definedName>
    <definedName name="철근노">#REF!</definedName>
    <definedName name="철근노무">#REF!</definedName>
    <definedName name="철근량" hidden="1">{#N/A,#N/A,FALSE,"전력간선"}</definedName>
    <definedName name="철근수정본" hidden="1">{"'Sheet1'!$A$4:$M$21","'Sheet1'!$J$17:$K$19"}</definedName>
    <definedName name="철근용접노무">#REF!</definedName>
    <definedName name="철근용접재료">#REF!</definedName>
    <definedName name="철근운반">#REF!</definedName>
    <definedName name="철근운반경비">#REF!</definedName>
    <definedName name="철근운반계">#REF!</definedName>
    <definedName name="철근운반노무비">#REF!</definedName>
    <definedName name="철근운반운반비경비">#REF!</definedName>
    <definedName name="철근운반운반비계">#REF!</definedName>
    <definedName name="철근운반운반비노무비">#REF!</definedName>
    <definedName name="철근운반운반비재료비">#REF!</definedName>
    <definedName name="철근운반재료비">#REF!</definedName>
    <definedName name="철근운반하차료경비">#REF!</definedName>
    <definedName name="철근운반하차료계">#REF!</definedName>
    <definedName name="철근운반하차료노무비">#REF!</definedName>
    <definedName name="철근운반하차료재료비">#REF!</definedName>
    <definedName name="철근율1">1.08</definedName>
    <definedName name="철근의탄성계수">#REF!</definedName>
    <definedName name="철근자료" hidden="1">#REF!</definedName>
    <definedName name="철근재">#REF!</definedName>
    <definedName name="철근재료">#REF!</definedName>
    <definedName name="철근직경D13">#REF!</definedName>
    <definedName name="철근직경D16_25">#REF!</definedName>
    <definedName name="철근직경D29_35">#REF!</definedName>
    <definedName name="철근집계" hidden="1">{#N/A,#N/A,FALSE,"단가표지"}</definedName>
    <definedName name="철근집계1" hidden="1">{#N/A,#N/A,FALSE,"배수1"}</definedName>
    <definedName name="철근집계표" hidden="1">{#N/A,#N/A,FALSE,"단가표지"}</definedName>
    <definedName name="철근총괄1" hidden="1">{#N/A,#N/A,FALSE,"표지목차"}</definedName>
    <definedName name="철근콘크리트공사">#REF!</definedName>
    <definedName name="철근콘크리트깨기0.4경비">#REF!</definedName>
    <definedName name="철근콘크리트깨기0.4계">#REF!</definedName>
    <definedName name="철근콘크리트깨기0.4기계경비">#REF!</definedName>
    <definedName name="철근콘크리트깨기0.4기계계">#REF!</definedName>
    <definedName name="철근콘크리트깨기0.4기계노무비">#REF!</definedName>
    <definedName name="철근콘크리트깨기0.4기계재료비">#REF!</definedName>
    <definedName name="철근콘크리트깨기0.4노무비">#REF!</definedName>
    <definedName name="철근콘크리트깨기0.4작업보조원경비">#REF!</definedName>
    <definedName name="철근콘크리트깨기0.4작업보조원계">#REF!</definedName>
    <definedName name="철근콘크리트깨기0.4작업보조원노무비">#REF!</definedName>
    <definedName name="철근콘크리트깨기0.4작업보조원재료비">#REF!</definedName>
    <definedName name="철근콘크리트깨기0.4재료비">#REF!</definedName>
    <definedName name="철근콘크리트깨기0.4치즐경비">#REF!</definedName>
    <definedName name="철근콘크리트깨기0.4치즐계">#REF!</definedName>
    <definedName name="철근콘크리트깨기0.4치즐노무비">#REF!</definedName>
    <definedName name="철근콘크리트깨기0.4치즐재료비">#REF!</definedName>
    <definedName name="철근콘크리트깨기0.7경비">#REF!</definedName>
    <definedName name="철근콘크리트깨기0.7계">#REF!</definedName>
    <definedName name="철근콘크리트깨기0.7기계경비">#REF!</definedName>
    <definedName name="철근콘크리트깨기0.7기계계">#REF!</definedName>
    <definedName name="철근콘크리트깨기0.7기계노무비">#REF!</definedName>
    <definedName name="철근콘크리트깨기0.7기계재료비">#REF!</definedName>
    <definedName name="철근콘크리트깨기0.7노무비">#REF!</definedName>
    <definedName name="철근콘크리트깨기0.7작업보조원경비">#REF!</definedName>
    <definedName name="철근콘크리트깨기0.7작업보조원계">#REF!</definedName>
    <definedName name="철근콘크리트깨기0.7작업보조원노무비">#REF!</definedName>
    <definedName name="철근콘크리트깨기0.7작업보조원재료비">#REF!</definedName>
    <definedName name="철근콘크리트깨기0.7재료비">#REF!</definedName>
    <definedName name="철근콘크리트깨기0.7치즐경비">#REF!</definedName>
    <definedName name="철근콘크리트깨기0.7치즐계">#REF!</definedName>
    <definedName name="철근콘크리트깨기0.7치즐노무비">#REF!</definedName>
    <definedName name="철근콘크리트깨기0.7치즐재료비">#REF!</definedName>
    <definedName name="철근항복강도">#REF!</definedName>
    <definedName name="철근항복응력">#REF!</definedName>
    <definedName name="철도__궤도공">#REF!</definedName>
    <definedName name="철도__신호공">#REF!</definedName>
    <definedName name="철도궤도신설공사">#REF!</definedName>
    <definedName name="철도신호공">88110</definedName>
    <definedName name="철도신호공001">#REF!</definedName>
    <definedName name="철도신호공002">#REF!</definedName>
    <definedName name="철도신호공011">#REF!</definedName>
    <definedName name="철도신호공982">#REF!</definedName>
    <definedName name="철도신호공991">#REF!</definedName>
    <definedName name="철도신호공992">#REF!</definedName>
    <definedName name="철목">#REF!</definedName>
    <definedName name="철목1호">#REF!</definedName>
    <definedName name="철목2호">#REF!</definedName>
    <definedName name="철목3호">#REF!</definedName>
    <definedName name="철목4호">#REF!</definedName>
    <definedName name="철보험">#REF!</definedName>
    <definedName name="철부가">#REF!</definedName>
    <definedName name="철선8">#REF!</definedName>
    <definedName name="철수">#REF!</definedName>
    <definedName name="철안전">#REF!</definedName>
    <definedName name="철오난" hidden="1">{#N/A,#N/A,FALSE,"운반시간"}</definedName>
    <definedName name="철이윤">#REF!</definedName>
    <definedName name="철주신설공구손료">#REF!</definedName>
    <definedName name="철주신설공비">#REF!</definedName>
    <definedName name="철주신설재료비">#REF!</definedName>
    <definedName name="철쭉중량">ROUND((4/3*3.14*(0.075*0.075*0.075))*(1200*0.9),2)</definedName>
    <definedName name="철콘" hidden="1">{#N/A,#N/A,FALSE,"전력간선"}</definedName>
    <definedName name="철콘_1" hidden="1">{#N/A,#N/A,FALSE,"단가표지"}</definedName>
    <definedName name="철콘_2" hidden="1">{#N/A,#N/A,FALSE,"단가표지"}</definedName>
    <definedName name="철콘_3" hidden="1">{#N/A,#N/A,FALSE,"CCTV"}</definedName>
    <definedName name="철콘_4" hidden="1">{#N/A,#N/A,FALSE,"단가표지"}</definedName>
    <definedName name="철콘견적">#REF!</definedName>
    <definedName name="철콘경비">#REF!</definedName>
    <definedName name="철콘공사" hidden="1">{#N/A,#N/A,FALSE,"운반시간"}</definedName>
    <definedName name="철콘노무">#REF!</definedName>
    <definedName name="철콘번호">#REF!</definedName>
    <definedName name="철콘부대">0.72</definedName>
    <definedName name="철콘부대외" hidden="1">{#N/A,#N/A,FALSE,"Sheet1"}</definedName>
    <definedName name="철콘사급">0.83</definedName>
    <definedName name="철콘사정율">78%</definedName>
    <definedName name="철콘재료">#REF!</definedName>
    <definedName name="철토">#REF!</definedName>
    <definedName name="철판공">#REF!</definedName>
    <definedName name="철판공001">#REF!</definedName>
    <definedName name="철판공002">#REF!</definedName>
    <definedName name="철판공011">#REF!</definedName>
    <definedName name="철판공982">#REF!</definedName>
    <definedName name="철판공991">#REF!</definedName>
    <definedName name="철판공992">#REF!</definedName>
    <definedName name="철판내역서">#REF!</definedName>
    <definedName name="철풍">#REF!</definedName>
    <definedName name="철허" hidden="1">{#N/A,#N/A,FALSE,"조골재"}</definedName>
    <definedName name="철호ㅠ" hidden="1">{#N/A,#N/A,FALSE,"단가표지"}</definedName>
    <definedName name="첨부">#REF!</definedName>
    <definedName name="청">#REF!</definedName>
    <definedName name="청구1" hidden="1">{#N/A,#N/A,FALSE,"생산성";#N/A,#N/A,FALSE,"인력1";#N/A,#N/A,FALSE,"인력2";#N/A,#N/A,FALSE,"인력3";#N/A,#N/A,FALSE,"인건1";#N/A,#N/A,FALSE,"인건2";#N/A,#N/A,FALSE,"인건3";#N/A,#N/A,FALSE,"인원증감";#N/A,#N/A,FALSE,"인건증감";#N/A,#N/A,FALSE,"표지등"}</definedName>
    <definedName name="청구내역비데">#REF!</definedName>
    <definedName name="청구내역수전">#REF!</definedName>
    <definedName name="청구내역악세사리">#REF!</definedName>
    <definedName name="청구바디">#REF!</definedName>
    <definedName name="청구서" hidden="1">{#N/A,#N/A,FALSE,"결의서";#N/A,#N/A,FALSE,"내역서";#N/A,#N/A,FALSE,"도급예상";#N/A,#N/A,FALSE,"시방서"}</definedName>
    <definedName name="청단">#REF!</definedName>
    <definedName name="청단풍">#REF!</definedName>
    <definedName name="청단풍H3.0">#REF!</definedName>
    <definedName name="청림1호">#REF!</definedName>
    <definedName name="청림2호">#REF!</definedName>
    <definedName name="청림3호">#REF!</definedName>
    <definedName name="청마총괄">#REF!</definedName>
    <definedName name="청봉" hidden="1">{#N/A,#N/A,FALSE,"표지목차"}</definedName>
    <definedName name="청사진">#REF!</definedName>
    <definedName name="淸算工事__小計">#REF!</definedName>
    <definedName name="청상과부">#REF!</definedName>
    <definedName name="청상과부1">#REF!</definedName>
    <definedName name="청소1">{"Book1","TOTAL.xls"}</definedName>
    <definedName name="청소고리용후크">#REF!</definedName>
    <definedName name="청소고리용후크노">#REF!</definedName>
    <definedName name="청암">#N/A</definedName>
    <definedName name="청천200">#REF!</definedName>
    <definedName name="체비지">#N/A</definedName>
    <definedName name="체육시설">#REF!</definedName>
    <definedName name="체육시설번호">#REF!</definedName>
    <definedName name="체적금액">#REF!</definedName>
    <definedName name="체크아웃시스템" hidden="1">{#N/A,#N/A,FALSE,"견적갑지";#N/A,#N/A,FALSE,"총괄표";#N/A,#N/A,FALSE,"철골공사";#N/A,#N/A,FALSE,"토목공사";#N/A,#N/A,FALSE,"판넬전기공사"}</definedName>
    <definedName name="초">#REF!</definedName>
    <definedName name="초급">#REF!</definedName>
    <definedName name="초급기능사">#REF!</definedName>
    <definedName name="초급기술자">#REF!</definedName>
    <definedName name="초급기술자노무비">#N/A</definedName>
    <definedName name="초기수량">#REF!</definedName>
    <definedName name="초기예산서보고" hidden="1">{#N/A,#N/A,FALSE,"이태원철근"}</definedName>
    <definedName name="초기화면">#REF!</definedName>
    <definedName name="초안"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ㅊㅗㅓ" hidden="1">{#N/A,#N/A,FALSE,"토공2"}</definedName>
    <definedName name="촐괄표" hidden="1">{#N/A,#N/A,FALSE,"단가표지"}</definedName>
    <definedName name="총" hidden="1">{#N/A,#N/A,FALSE,"부대1"}</definedName>
    <definedName name="총______원_______가">#N/A</definedName>
    <definedName name="총______합______계">#REF!</definedName>
    <definedName name="총___공____사___비">#N/A</definedName>
    <definedName name="총간">#REF!</definedName>
    <definedName name="총갑지" hidden="1">#REF!</definedName>
    <definedName name="총계">#REF!</definedName>
    <definedName name="총골집계">#REF!</definedName>
    <definedName name="총공" hidden="1">{#N/A,#N/A,FALSE,"운반시간"}</definedName>
    <definedName name="총공사금액">#REF!</definedName>
    <definedName name="총공사비">#REF!</definedName>
    <definedName name="총공사비2" hidden="1">{#N/A,#N/A,FALSE,"전력간선"}</definedName>
    <definedName name="총공사비총괄표" hidden="1">#REF!</definedName>
    <definedName name="총관제출용" hidden="1">{#N/A,#N/A,FALSE,"전력간선"}</definedName>
    <definedName name="총괄">#REF!</definedName>
    <definedName name="총괄1" hidden="1">{#N/A,#N/A,TRUE,"1";#N/A,#N/A,TRUE,"2";#N/A,#N/A,TRUE,"3";#N/A,#N/A,TRUE,"4";#N/A,#N/A,TRUE,"5";#N/A,#N/A,TRUE,"6";#N/A,#N/A,TRUE,"7"}</definedName>
    <definedName name="총괄2">#REF!</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갑지">#REF!</definedName>
    <definedName name="총괄공동" hidden="1">{#N/A,#N/A,FALSE,"현장 NCR 분석";#N/A,#N/A,FALSE,"현장품질감사";#N/A,#N/A,FALSE,"현장품질감사"}</definedName>
    <definedName name="총괄공사대비">#REF!</definedName>
    <definedName name="총괄공사비집계" hidden="1">{#N/A,#N/A,FALSE,"지침";#N/A,#N/A,FALSE,"환경분석";#N/A,#N/A,FALSE,"Sheet16"}</definedName>
    <definedName name="총괄공사예산서">#REF!</definedName>
    <definedName name="총괄내역" hidden="1">#REF!</definedName>
    <definedName name="총괄대비">#REF!</definedName>
    <definedName name="총괄수량집계">{"Book1","토공.xls"}</definedName>
    <definedName name="총괄제출2차" hidden="1">#REF!</definedName>
    <definedName name="총괄제출용" hidden="1">{#N/A,#N/A,FALSE,"전력간선"}</definedName>
    <definedName name="총괄집계" hidden="1">#REF!</definedName>
    <definedName name="총괄집계1" hidden="1">#REF!</definedName>
    <definedName name="총괄집계표">{"Book1","부대-(표지판,데리,가드).xls","부대-(낙,차,중분대).xls"}</definedName>
    <definedName name="총괄표">#REF!</definedName>
    <definedName name="총괄표.서울.강산" hidden="1">{#N/A,#N/A,FALSE,"구조2"}</definedName>
    <definedName name="총괄표1" hidden="1">{#N/A,#N/A,FALSE,"단가표지"}</definedName>
    <definedName name="총괄표11" hidden="1">{#N/A,#N/A,FALSE,"배수2"}</definedName>
    <definedName name="총괄표3" hidden="1">{#N/A,#N/A,FALSE,"현장 NCR 분석";#N/A,#N/A,FALSE,"현장품질감사";#N/A,#N/A,FALSE,"현장품질감사"}</definedName>
    <definedName name="총괄표9층">#REF!</definedName>
    <definedName name="총괄표당초" hidden="1">{#N/A,#N/A,FALSE,"부대2"}</definedName>
    <definedName name="총괄횡배수현황" localSheetId="0">BlankMacro1</definedName>
    <definedName name="총괄횡배수현황">BlankMacro1</definedName>
    <definedName name="총괄횡배수현황1" localSheetId="0">BlankMacro1</definedName>
    <definedName name="총괄횡배수현황1">BlankMacro1</definedName>
    <definedName name="총괄MOTOR" hidden="1">#REF!</definedName>
    <definedName name="총높이">#REF!</definedName>
    <definedName name="총높이h">#REF!</definedName>
    <definedName name="총매매가액">#REF!</definedName>
    <definedName name="총매출">#REF!</definedName>
    <definedName name="총매출액">#REF!</definedName>
    <definedName name="총매출액1">#REF!</definedName>
    <definedName name="총면적">#REF!</definedName>
    <definedName name="총물"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총소계1">#REF!</definedName>
    <definedName name="총소계10">#REF!</definedName>
    <definedName name="총소계11">#REF!</definedName>
    <definedName name="총소계12">#REF!</definedName>
    <definedName name="총소계13">#REF!</definedName>
    <definedName name="총소계14">#REF!</definedName>
    <definedName name="총소계15">#REF!</definedName>
    <definedName name="총소계16">#REF!</definedName>
    <definedName name="총소계17">#REF!</definedName>
    <definedName name="총소계18">#REF!</definedName>
    <definedName name="총소계19">#REF!</definedName>
    <definedName name="총소계2">#REF!</definedName>
    <definedName name="총소계20">#REF!</definedName>
    <definedName name="총소계21">#REF!</definedName>
    <definedName name="총소계22">#REF!</definedName>
    <definedName name="총소계23">#REF!</definedName>
    <definedName name="총소계24">#REF!</definedName>
    <definedName name="총소계25">#REF!</definedName>
    <definedName name="총소계26">#REF!</definedName>
    <definedName name="총소계27">#REF!</definedName>
    <definedName name="총소계28">#REF!</definedName>
    <definedName name="총소계29">#REF!</definedName>
    <definedName name="총소계3">#REF!</definedName>
    <definedName name="총소계30">#REF!</definedName>
    <definedName name="총소계31">#REF!</definedName>
    <definedName name="총소계32">#REF!</definedName>
    <definedName name="총소계33">#REF!</definedName>
    <definedName name="총소계34">#REF!</definedName>
    <definedName name="총소계35">#REF!</definedName>
    <definedName name="총소계36">#REF!</definedName>
    <definedName name="총소계37">#REF!</definedName>
    <definedName name="총소계38">#REF!</definedName>
    <definedName name="총소계39">#REF!</definedName>
    <definedName name="총소계4">#REF!</definedName>
    <definedName name="총소계40">#REF!</definedName>
    <definedName name="총소계41">#REF!</definedName>
    <definedName name="총소계42">#REF!</definedName>
    <definedName name="총소계43">#REF!</definedName>
    <definedName name="총소계44">#REF!</definedName>
    <definedName name="총소계45">#REF!</definedName>
    <definedName name="총소계46">#REF!</definedName>
    <definedName name="총소계47">#REF!</definedName>
    <definedName name="총소계48">#REF!</definedName>
    <definedName name="총소계49">#REF!</definedName>
    <definedName name="총소계5">#REF!</definedName>
    <definedName name="총소계50">#REF!</definedName>
    <definedName name="총소계51">#REF!</definedName>
    <definedName name="총소계52">#REF!</definedName>
    <definedName name="총소계53">#REF!</definedName>
    <definedName name="총소계6">#REF!</definedName>
    <definedName name="총소계7">#REF!</definedName>
    <definedName name="총소계8">#REF!</definedName>
    <definedName name="총소계9">#REF!</definedName>
    <definedName name="총연">#REF!</definedName>
    <definedName name="총원가">#REF!</definedName>
    <definedName name="총원가2">#REF!</definedName>
    <definedName name="총원가격">#REF!</definedName>
    <definedName name="총이윤">#REF!</definedName>
    <definedName name="총자본">#REF!</definedName>
    <definedName name="총자산순이익">#REF!</definedName>
    <definedName name="총재료집계">#REF!</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총" hidden="1">#REF!</definedName>
    <definedName name="총토탈">#REF!</definedName>
    <definedName name="총토탈1">#REF!</definedName>
    <definedName name="총토탈2">#REF!</definedName>
    <definedName name="총폭">#REF!</definedName>
    <definedName name="촬영">#REF!</definedName>
    <definedName name="최" hidden="1">{#N/A,#N/A,FALSE,"Sheet1"}</definedName>
    <definedName name="최1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최13" hidden="1">{#N/A,#N/A,FALSE,"집계";#N/A,#N/A,FALSE,"표지";#N/A,#N/A,FALSE,"터빈집계";#N/A,#N/A,FALSE,"터빈내역";#N/A,#N/A,FALSE,"주제어집계";#N/A,#N/A,FALSE,"주제어내역";#N/A,#N/A,FALSE,"보일러집계";#N/A,#N/A,FALSE,"보일러내역"}</definedName>
    <definedName name="최15" hidden="1">{#N/A,#N/A,FALSE,"신청통보";#N/A,#N/A,FALSE,"기성확인서";#N/A,#N/A,FALSE,"기성내역서"}</definedName>
    <definedName name="최16" hidden="1">{#N/A,#N/A,FALSE,"터빈집계";#N/A,#N/A,FALSE,"터빈내역";#N/A,#N/A,FALSE,"보일러집계";#N/A,#N/A,FALSE,"보일러내역"}</definedName>
    <definedName name="최17" hidden="1">{#N/A,#N/A,FALSE,"물가변동 (2)";#N/A,#N/A,FALSE,"공사비";#N/A,#N/A,FALSE,"사급";#N/A,#N/A,FALSE,"도급집계";#N/A,#N/A,FALSE,"재료비";#N/A,#N/A,FALSE,"노무비";#N/A,#N/A,FALSE,"경비"}</definedName>
    <definedName name="최18" hidden="1">{#N/A,#N/A,FALSE,"도급대비시행율";#N/A,#N/A,FALSE,"결의서";#N/A,#N/A,FALSE,"내역서";#N/A,#N/A,FALSE,"도급예상"}</definedName>
    <definedName name="최건진행">#REF!</definedName>
    <definedName name="최건청산">#REF!</definedName>
    <definedName name="최건청산2">#REF!</definedName>
    <definedName name="최대용량">MAX(#REF!/#REF!,#REF!/#REF!,#REF!/(#REF!-1),#REF!/(#REF!-1))</definedName>
    <definedName name="최대현" hidden="1">{"LKD",#N/A,FALSE,"표지"}</definedName>
    <definedName name="최만정">#REF!</definedName>
    <definedName name="최소배근량">#REF!</definedName>
    <definedName name="최신기자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영만">#REF!</definedName>
    <definedName name="최종">{"Book1","킥오프원.xls","킥오프투.xls","덕소킥오프31.27xls.xls"}</definedName>
    <definedName name="최종갑지" hidden="1">{#N/A,#N/A,FALSE,"단가표지"}</definedName>
    <definedName name="최종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조건" hidden="1">{#N/A,#N/A,FALSE,"기안지";#N/A,#N/A,FALSE,"통신지"}</definedName>
    <definedName name="최종대비표">#N/A</definedName>
    <definedName name="최종변경내용">#REF!</definedName>
    <definedName name="최종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실행도급비교">#REF!</definedName>
    <definedName name="최종실행확정" localSheetId="0">BlankMacro1</definedName>
    <definedName name="최종실행확정">BlankMacro1</definedName>
    <definedName name="최종익">{"Book1","TOTAL.xls"}</definedName>
    <definedName name="최종조정">#REF!</definedName>
    <definedName name="최종추가합" hidden="1">#REF!</definedName>
    <definedName name="최진대1">#REF!</definedName>
    <definedName name="최향란" hidden="1">{#N/A,#N/A,FALSE,"이태원철근"}</definedName>
    <definedName name="추" localSheetId="0">[0]!BlankMacro1</definedName>
    <definedName name="추">[0]!BlankMacro1</definedName>
    <definedName name="추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#REF!</definedName>
    <definedName name="추가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검토">{"Book1","예술의전당.xls"}</definedName>
    <definedName name="추가견적갑지" localSheetId="0">BlankMacro1</definedName>
    <definedName name="추가견적갑지">BlankMacro1</definedName>
    <definedName name="추가기성" hidden="1">{#N/A,#N/A,FALSE,"집계표"}</definedName>
    <definedName name="추가내역" hidden="1">#REF!</definedName>
    <definedName name="추가내역2" hidden="1">#REF!</definedName>
    <definedName name="추가목록">#REF!</definedName>
    <definedName name="추가분" hidden="1">{#N/A,#N/A,FALSE,"현장 NCR 분석";#N/A,#N/A,FALSE,"현장품질감사";#N/A,#N/A,FALSE,"현장품질감사"}</definedName>
    <definedName name="추가옵션01" hidden="1">#REF!</definedName>
    <definedName name="추가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공내역서" hidden="1">#REF!</definedName>
    <definedName name="추산산서2" hidden="1">{#N/A,#N/A,FALSE,"견적갑지";#N/A,#N/A,FALSE,"총괄표";#N/A,#N/A,FALSE,"철골공사";#N/A,#N/A,FALSE,"토목공사";#N/A,#N/A,FALSE,"판넬전기공사"}</definedName>
    <definedName name="추석맞이" hidden="1">{#N/A,#N/A,TRUE,"대외공문"}</definedName>
    <definedName name="추정" hidden="1">{#N/A,#N/A,FALSE,"포장2"}</definedName>
    <definedName name="추정2" hidden="1">#REF!</definedName>
    <definedName name="추정가격">#REF!</definedName>
    <definedName name="추정공사22" hidden="1">{#N/A,#N/A,FALSE,"지침";#N/A,#N/A,FALSE,"환경분석";#N/A,#N/A,FALSE,"Sheet16"}</definedName>
    <definedName name="추정사업계획">#REF!</definedName>
    <definedName name="추진">#REF!</definedName>
    <definedName name="추진333" hidden="1">{#N/A,#N/A,FALSE,"단가표지"}</definedName>
    <definedName name="추진현황">#REF!</definedName>
    <definedName name="추추" localSheetId="0">BlankMacro1</definedName>
    <definedName name="추추">BlankMacro1</definedName>
    <definedName name="추후인셍" hidden="1">{#N/A,#N/A,FALSE,"표지목차"}</definedName>
    <definedName name="축">#REF!</definedName>
    <definedName name="축력">#REF!</definedName>
    <definedName name="축력측정">#REF!</definedName>
    <definedName name="축수산장설비" hidden="1">{#N/A,#N/A,FALSE,"견적갑지";#N/A,#N/A,FALSE,"총괄표";#N/A,#N/A,FALSE,"철골공사";#N/A,#N/A,FALSE,"토목공사";#N/A,#N/A,FALSE,"판넬전기공사"}</definedName>
    <definedName name="축중기차로옹벽" localSheetId="0">ErrorHandler_1</definedName>
    <definedName name="축중기차로옹벽">ErrorHandler_1</definedName>
    <definedName name="춘추" hidden="1">{#N/A,#N/A,FALSE,"현장 NCR 분석";#N/A,#N/A,FALSE,"현장품질감사";#N/A,#N/A,FALSE,"현장품질감사"}</definedName>
    <definedName name="출">#REF!</definedName>
    <definedName name="출고합">#REF!</definedName>
    <definedName name="출력">#REF!</definedName>
    <definedName name="출력범위">#REF!,#REF!,#REF!,#REF!,#REF!</definedName>
    <definedName name="출력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출력인원" localSheetId="0">BlankMacro1</definedName>
    <definedName name="출력인원">BlankMacro1</definedName>
    <definedName name="출입문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출장횟수대리급이하">#REF!</definedName>
    <definedName name="출장횟수부장급이상">#REF!</definedName>
    <definedName name="출장횟수차과장급">#REF!</definedName>
    <definedName name="출판" hidden="1">{#N/A,#N/A,FALSE,"지침";#N/A,#N/A,FALSE,"환경분석";#N/A,#N/A,FALSE,"Sheet16"}</definedName>
    <definedName name="출판차입">#REF!</definedName>
    <definedName name="출판C">#REF!</definedName>
    <definedName name="출판CF">#REF!</definedName>
    <definedName name="충격계수1">#REF!</definedName>
    <definedName name="충돌">#N/A</definedName>
    <definedName name="충산대">#REF!</definedName>
    <definedName name="충전견적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주" hidden="1">#REF!</definedName>
    <definedName name="취___하">#REF!</definedName>
    <definedName name="취득점수">#REF!</definedName>
    <definedName name="취소">#N/A</definedName>
    <definedName name="취수로" hidden="1">{#N/A,#N/A,FALSE,"전력간선"}</definedName>
    <definedName name="취입보집계" hidden="1">{#N/A,#N/A,FALSE,"2~8번"}</definedName>
    <definedName name="취하" hidden="1">{#N/A,#N/A,FALSE,"이태원철근"}</definedName>
    <definedName name="취하실적1." hidden="1">{#N/A,#N/A,FALSE,"이태원철근"}</definedName>
    <definedName name="츄ㅕ여ㅗㄹㄷ" hidden="1">{#N/A,#N/A,FALSE,"운반시간"}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 hidden="1">{#N/A,#N/A,FALSE,"단가표지"}</definedName>
    <definedName name="츄ㅜ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ㅡ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츌휴" hidden="1">{#N/A,#N/A,FALSE,"혼합골재"}</definedName>
    <definedName name="츓유" hidden="1">{#N/A,#N/A,FALSE,"운반시간"}</definedName>
    <definedName name="츓윯" hidden="1">{#N/A,#N/A,FALSE,"운반시간"}</definedName>
    <definedName name="츗ㄱ" hidden="1">{#N/A,#N/A,FALSE,"표지목차"}</definedName>
    <definedName name="츗휴" hidden="1">{#N/A,#N/A,FALSE,"혼합골재"}</definedName>
    <definedName name="츙ㄷ" hidden="1">{#N/A,#N/A,FALSE,"현장 NCR 분석";#N/A,#N/A,FALSE,"현장품질감사";#N/A,#N/A,FALSE,"현장품질감사"}</definedName>
    <definedName name="츠ㅜ력" hidden="1">{#N/A,#N/A,FALSE,"단가표지"}</definedName>
    <definedName name="측________부">#REF!</definedName>
    <definedName name="측_구_공_수_량_집_계">#REF!</definedName>
    <definedName name="측구">#REF!</definedName>
    <definedName name="측구공_개소별명세_제목">#REF!</definedName>
    <definedName name="측구공개소별명세">#REF!</definedName>
    <definedName name="측구단수L옹벽형" hidden="1">#REF!</definedName>
    <definedName name="측량">#REF!</definedName>
    <definedName name="측량내역">#REF!</definedName>
    <definedName name="측량내역서">#REF!</definedName>
    <definedName name="측량사">#REF!</definedName>
    <definedName name="측량지질">#REF!</definedName>
    <definedName name="측벽수압1">#REF!</definedName>
    <definedName name="측벽수압2">#REF!</definedName>
    <definedName name="측벽콘구멍막기">#REF!</definedName>
    <definedName name="측벽콘구멍막기노">#REF!</definedName>
    <definedName name="측벽활하중">#REF!</definedName>
    <definedName name="측부001">#REF!</definedName>
    <definedName name="측부002">#REF!</definedName>
    <definedName name="측부011">#REF!</definedName>
    <definedName name="측부982">#REF!</definedName>
    <definedName name="측부991">#REF!</definedName>
    <definedName name="측부992">#REF!</definedName>
    <definedName name="측정함">#REF!</definedName>
    <definedName name="층별표시판">#REF!</definedName>
    <definedName name="층용도별수량비교표">#REF!</definedName>
    <definedName name="층층">#REF!</definedName>
    <definedName name="치_장_벽_돌_공">#REF!</definedName>
    <definedName name="치1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치과건축">#REF!</definedName>
    <definedName name="치과기계">#REF!</definedName>
    <definedName name="치과소방">#REF!</definedName>
    <definedName name="치과전기">#REF!</definedName>
    <definedName name="치과조경">#REF!</definedName>
    <definedName name="치과토목">#REF!</definedName>
    <definedName name="치과통신">#REF!</definedName>
    <definedName name="치장__벽돌공">#REF!</definedName>
    <definedName name="치장벽돌공">#REF!</definedName>
    <definedName name="치장벽돌공001">#REF!</definedName>
    <definedName name="치장벽돌공002">#REF!</definedName>
    <definedName name="치장벽돌공011">#REF!</definedName>
    <definedName name="치장벽돌공982">#REF!</definedName>
    <definedName name="치장벽돌공991">#REF!</definedName>
    <definedName name="치장벽돌공992">#REF!</definedName>
    <definedName name="치핑">#REF!</definedName>
    <definedName name="칠">#REF!</definedName>
    <definedName name="칠곡" hidden="1">{#N/A,#N/A,TRUE,"손익보고"}</definedName>
    <definedName name="칠월">#REF!</definedName>
    <definedName name="칠칠">#N/A</definedName>
    <definedName name="칠칠칠">#N/A</definedName>
    <definedName name="칠칠칠칠">#N/A</definedName>
    <definedName name="칠호표">#REF!</definedName>
    <definedName name="ㅋ">#REF!</definedName>
    <definedName name="ㅋ_1" hidden="1">{#N/A,#N/A,FALSE,"조골재"}</definedName>
    <definedName name="ㅋㄴ" hidden="1">#REF!</definedName>
    <definedName name="ㅋㄴㄴ">#REF!,#REF!,#REF!</definedName>
    <definedName name="ㅋㄴㅇㄴㅇㄹ">#REF!</definedName>
    <definedName name="ㅋㄹ" hidden="1">{#N/A,#N/A,FALSE,"명세표"}</definedName>
    <definedName name="ㅋㄹㄴㅇㄹ" hidden="1">{#N/A,#N/A,FALSE,"BS";#N/A,#N/A,FALSE,"PL";#N/A,#N/A,FALSE,"처분";#N/A,#N/A,FALSE,"현금";#N/A,#N/A,FALSE,"매출";#N/A,#N/A,FALSE,"원가";#N/A,#N/A,FALSE,"경영"}</definedName>
    <definedName name="ㅋ라ㅓ라" hidden="1">{#N/A,#N/A,FALSE,"교리2"}</definedName>
    <definedName name="ㅋ럴카" hidden="1">{#N/A,#N/A,FALSE,"교리2"}</definedName>
    <definedName name="ㅋㅁ" hidden="1">{#N/A,#N/A,FALSE,"명세표"}</definedName>
    <definedName name="ㅋㅇㅍㅋㅇㄹㅋㄴㅇㅋ">{0,0,0,0}</definedName>
    <definedName name="ㅋㅊㄴㄹㅋㄴㅇㅊㄹㅋㅇㅍㅋㄴㅇ" hidden="1">#REF!</definedName>
    <definedName name="ㅋㅊ퓽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츄" hidden="1">{#N/A,#N/A,FALSE,"이태원철근"}</definedName>
    <definedName name="ㅋㅋ" hidden="1">{#N/A,#N/A,FALSE,"BS";#N/A,#N/A,FALSE,"PL";#N/A,#N/A,FALSE,"처분";#N/A,#N/A,FALSE,"현금";#N/A,#N/A,FALSE,"매출";#N/A,#N/A,FALSE,"원가";#N/A,#N/A,FALSE,"경영"}</definedName>
    <definedName name="ㅋㅋㅋ" hidden="1">{#N/A,#N/A,FALSE,"현장 NCR 분석";#N/A,#N/A,FALSE,"현장품질감사";#N/A,#N/A,FALSE,"현장품질감사"}</definedName>
    <definedName name="ㅋㅋㅋ_1" hidden="1">{#N/A,#N/A,FALSE,"전력간선"}</definedName>
    <definedName name="ㅋㅋㅋ_2" hidden="1">{#N/A,#N/A,FALSE,"전력간선"}</definedName>
    <definedName name="ㅋㅋㅋ_3" hidden="1">{#N/A,#N/A,FALSE,"전력간선"}</definedName>
    <definedName name="ㅋㅋㅋ1" hidden="1">{#N/A,#N/A,FALSE,"명세표"}</definedName>
    <definedName name="ㅋㅋㅋㅋ" hidden="1">{#N/A,#N/A,FALSE,"BS";#N/A,#N/A,FALSE,"PL";#N/A,#N/A,FALSE,"처분";#N/A,#N/A,FALSE,"현금";#N/A,#N/A,FALSE,"매출";#N/A,#N/A,FALSE,"원가";#N/A,#N/A,FALSE,"경영"}</definedName>
    <definedName name="ㅋㅋㅋㅋㅋ" hidden="1">{#N/A,#N/A,FALSE,"BS";#N/A,#N/A,FALSE,"PL";#N/A,#N/A,FALSE,"처분";#N/A,#N/A,FALSE,"현금";#N/A,#N/A,FALSE,"매출";#N/A,#N/A,FALSE,"원가";#N/A,#N/A,FALSE,"경영"}</definedName>
    <definedName name="ㅋㅋㅋㅋㅋㅋ" hidden="1">{#N/A,#N/A,FALSE,"BS";#N/A,#N/A,FALSE,"PL";#N/A,#N/A,FALSE,"처분";#N/A,#N/A,FALSE,"현금";#N/A,#N/A,FALSE,"매출";#N/A,#N/A,FALSE,"원가";#N/A,#N/A,FALSE,"경영"}</definedName>
    <definedName name="ㅋㅋㅋㅋㅋㅋㅋㅋ" hidden="1">{#N/A,#N/A,FALSE,"2~8번"}</definedName>
    <definedName name="ㅋㅋㅋㅎㅎㅎ">{"'용역비'!$A$4:$C$8"}</definedName>
    <definedName name="ㅋㅋㅌㅌ" hidden="1">{#N/A,#N/A,FALSE,"골재소요량";#N/A,#N/A,FALSE,"골재소요량"}</definedName>
    <definedName name="ㅋ카카" localSheetId="0">Dlog_Show</definedName>
    <definedName name="ㅋ카카">Dlog_Show</definedName>
    <definedName name="ㅋㅌ" hidden="1">{#N/A,#N/A,FALSE,"구조1"}</definedName>
    <definedName name="ㅋㅌㅇ">#REF!</definedName>
    <definedName name="ㅋㅌㅊ">#REF!</definedName>
    <definedName name="ㅋㅌㅊㄹ" hidden="1">{#N/A,#N/A,FALSE,"조골재"}</definedName>
    <definedName name="ㅋㅌㅌ">#REF!</definedName>
    <definedName name="ㅋ토ㅕㅑㄹㅇ" hidden="1">{#N/A,#N/A,FALSE,"운반시간"}</definedName>
    <definedName name="ㅋㅍㅌㅊㅍㅊㅌㅋㅍㅊㅌㅋ" hidden="1">{#N/A,#N/A,FALSE,"골재소요량";#N/A,#N/A,FALSE,"골재소요량"}</definedName>
    <definedName name="카" hidden="1">{#N/A,#N/A,FALSE,"CCTV"}</definedName>
    <definedName name="카다록">#REF!</definedName>
    <definedName name="카메라" hidden="1">{#N/A,#N/A,FALSE,"지침";#N/A,#N/A,FALSE,"환경분석";#N/A,#N/A,FALSE,"Sheet16"}</definedName>
    <definedName name="카메라11" hidden="1">{#N/A,#N/A,FALSE,"지침";#N/A,#N/A,FALSE,"환경분석";#N/A,#N/A,FALSE,"Sheet16"}</definedName>
    <definedName name="카메라1212" hidden="1">{#N/A,#N/A,FALSE,"지침";#N/A,#N/A,FALSE,"환경분석";#N/A,#N/A,FALSE,"Sheet16"}</definedName>
    <definedName name="카믹서별표" hidden="1">#REF!</definedName>
    <definedName name="카바">#N/A</definedName>
    <definedName name="카비">#REF!</definedName>
    <definedName name="카빋">#REF!</definedName>
    <definedName name="칸막이27재">#REF!</definedName>
    <definedName name="칸막이장노">#REF!</definedName>
    <definedName name="칼라샌드블록수량">#REF!</definedName>
    <definedName name="캇타간재">#REF!</definedName>
    <definedName name="캇타노무">#REF!</definedName>
    <definedName name="캇타손료">#REF!</definedName>
    <definedName name="캐쉬" hidden="1">{#N/A,#N/A,FALSE,"지침";#N/A,#N/A,FALSE,"환경분석";#N/A,#N/A,FALSE,"Sheet16"}</definedName>
    <definedName name="커텐박스노">#REF!</definedName>
    <definedName name="커텐박스설치">#REF!</definedName>
    <definedName name="컥" hidden="1">{#N/A,#N/A,FALSE,"기안지";#N/A,#N/A,FALSE,"통신지"}</definedName>
    <definedName name="컵커피3" hidden="1">{#N/A,#N/A,FALSE,"생산성";#N/A,#N/A,FALSE,"인력1";#N/A,#N/A,FALSE,"인력2";#N/A,#N/A,FALSE,"인력3";#N/A,#N/A,FALSE,"인건1";#N/A,#N/A,FALSE,"인건2";#N/A,#N/A,FALSE,"인건3";#N/A,#N/A,FALSE,"인원증감";#N/A,#N/A,FALSE,"인건증감";#N/A,#N/A,FALSE,"표지등"}</definedName>
    <definedName name="컷트">#REF!</definedName>
    <definedName name="케노피">#REF!</definedName>
    <definedName name="케러" hidden="1">{#N/A,#N/A,FALSE,"2~8번"}</definedName>
    <definedName name="케이블"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케이블_1">#REF!</definedName>
    <definedName name="케이블_CAT5_4P">#N/A</definedName>
    <definedName name="케이블_CPEV">#N/A</definedName>
    <definedName name="케이블_CV_1C">#N/A</definedName>
    <definedName name="케이블_CV_2C">#N/A</definedName>
    <definedName name="케이블_CV_3C">#N/A</definedName>
    <definedName name="케이블_CV_4C">#N/A</definedName>
    <definedName name="케이블_CVV_1.25">#N/A</definedName>
    <definedName name="케이블_CVVS_1.25">#N/A</definedName>
    <definedName name="케이블_CVVS_2">#N/A</definedName>
    <definedName name="케이블_ECX">#N/A</definedName>
    <definedName name="케이블_FR3_2">#N/A</definedName>
    <definedName name="케이블_FR3_2C">#N/A</definedName>
    <definedName name="케이블_FR3_2P">#N/A</definedName>
    <definedName name="케이블_FR8_1C">#N/A</definedName>
    <definedName name="케이블_FR8_2C">#N/A</definedName>
    <definedName name="케이블_FR8_3C">#N/A</definedName>
    <definedName name="케이블_FR8_4C">#N/A</definedName>
    <definedName name="케이블_HFB">#N/A</definedName>
    <definedName name="케이블_P_BOX">#N/A</definedName>
    <definedName name="케이블_UTP">#N/A</definedName>
    <definedName name="케이블_VCT">#N/A</definedName>
    <definedName name="케이블간지" hidden="1">{#N/A,#N/A,TRUE,"토적및재료집계";#N/A,#N/A,TRUE,"토적및재료집계";#N/A,#N/A,TRUE,"단위량"}</definedName>
    <definedName name="케이블공노">#REF!</definedName>
    <definedName name="케이블산출"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케이블환체산출내역서" hidden="1">{#N/A,#N/A,FALSE,"3가";#N/A,#N/A,FALSE,"3나";#N/A,#N/A,FALSE,"3다"}</definedName>
    <definedName name="켄">#REF!</definedName>
    <definedName name="켐온건축" hidden="1">{#N/A,#N/A,FALSE,"CCTV"}</definedName>
    <definedName name="켜ㅜㅛ" hidden="1">{#N/A,#N/A,FALSE,"전력간선"}</definedName>
    <definedName name="코" hidden="1">{#N/A,#N/A,FALSE,"2~8번"}</definedName>
    <definedName name="코___킹___공">#REF!</definedName>
    <definedName name="코_킹">#REF!</definedName>
    <definedName name="코드">#REF!</definedName>
    <definedName name="코드명">#REF!</definedName>
    <definedName name="코드입력">#REF!</definedName>
    <definedName name="코리안" hidden="1">{#N/A,#N/A,FALSE,"이태원철근"}</definedName>
    <definedName name="코리안_1" hidden="1">{#N/A,#N/A,FALSE,"이태원철근"}</definedName>
    <definedName name="코리안_2" hidden="1">{#N/A,#N/A,FALSE,"이태원철근"}</definedName>
    <definedName name="코리안_3" hidden="1">{#N/A,#N/A,FALSE,"이태원철근"}</definedName>
    <definedName name="코아공">#REF!</definedName>
    <definedName name="코아공통">#REF!</definedName>
    <definedName name="코아공통비">#REF!</definedName>
    <definedName name="코아공통비네">#REF!</definedName>
    <definedName name="코아공통비다">#REF!</definedName>
    <definedName name="코오롱" hidden="1">{#N/A,#N/A,TRUE,"대외공문"}</definedName>
    <definedName name="코오롱0" hidden="1">{#N/A,#N/A,FALSE,"현장 NCR 분석";#N/A,#N/A,FALSE,"현장품질감사";#N/A,#N/A,FALSE,"현장품질감사"}</definedName>
    <definedName name="코오롱0_1" hidden="1">{#N/A,#N/A,FALSE,"현장 NCR 분석";#N/A,#N/A,FALSE,"현장품질감사";#N/A,#N/A,FALSE,"현장품질감사"}</definedName>
    <definedName name="코오롱0_2" hidden="1">{#N/A,#N/A,FALSE,"현장 NCR 분석";#N/A,#N/A,FALSE,"현장품질감사";#N/A,#N/A,FALSE,"현장품질감사"}</definedName>
    <definedName name="코오롱0_3" hidden="1">{#N/A,#N/A,FALSE,"현장 NCR 분석";#N/A,#N/A,FALSE,"현장품질감사";#N/A,#N/A,FALSE,"현장품질감사"}</definedName>
    <definedName name="코오롱건설" hidden="1">{#N/A,#N/A,FALSE,"현장 NCR 분석";#N/A,#N/A,FALSE,"현장품질감사";#N/A,#N/A,FALSE,"현장품질감사"}</definedName>
    <definedName name="코오롱건설_1" hidden="1">{#N/A,#N/A,FALSE,"현장 NCR 분석";#N/A,#N/A,FALSE,"현장품질감사";#N/A,#N/A,FALSE,"현장품질감사"}</definedName>
    <definedName name="코오롱건설_2" hidden="1">{#N/A,#N/A,FALSE,"현장 NCR 분석";#N/A,#N/A,FALSE,"현장품질감사";#N/A,#N/A,FALSE,"현장품질감사"}</definedName>
    <definedName name="코오롱건설_3" hidden="1">{#N/A,#N/A,FALSE,"현장 NCR 분석";#N/A,#N/A,FALSE,"현장품질감사";#N/A,#N/A,FALSE,"현장품질감사"}</definedName>
    <definedName name="코오롱건설0" hidden="1">{#N/A,#N/A,FALSE,"현장 NCR 분석";#N/A,#N/A,FALSE,"현장품질감사";#N/A,#N/A,FALSE,"현장품질감사"}</definedName>
    <definedName name="코오롱건설0_1" hidden="1">{#N/A,#N/A,FALSE,"현장 NCR 분석";#N/A,#N/A,FALSE,"현장품질감사";#N/A,#N/A,FALSE,"현장품질감사"}</definedName>
    <definedName name="코오롱건설0_2" hidden="1">{#N/A,#N/A,FALSE,"현장 NCR 분석";#N/A,#N/A,FALSE,"현장품질감사";#N/A,#N/A,FALSE,"현장품질감사"}</definedName>
    <definedName name="코오롱건설0_3" hidden="1">{#N/A,#N/A,FALSE,"현장 NCR 분석";#N/A,#N/A,FALSE,"현장품질감사";#N/A,#N/A,FALSE,"현장품질감사"}</definedName>
    <definedName name="코오롱건설주식회사">#REF!</definedName>
    <definedName name="코코" hidden="1">{#N/A,#N/A,FALSE,"운반시간"}</definedName>
    <definedName name="코킹공001">#REF!</definedName>
    <definedName name="코킹공002">#REF!</definedName>
    <definedName name="코킹공011">#REF!</definedName>
    <definedName name="코킹공982">#REF!</definedName>
    <definedName name="코킹공991">#REF!</definedName>
    <definedName name="코킹공992">#REF!</definedName>
    <definedName name="코킹노">#REF!</definedName>
    <definedName name="코핑높이">#REF!</definedName>
    <definedName name="콘">#REF!</definedName>
    <definedName name="콘_크_리_트_진_동_기">#REF!</definedName>
    <definedName name="콘25">#REF!</definedName>
    <definedName name="콘40">#REF!</definedName>
    <definedName name="콘노">#REF!</definedName>
    <definedName name="콘덴샤">#N/A</definedName>
    <definedName name="콘벡타">#N/A</definedName>
    <definedName name="콘벡타카바">#N/A</definedName>
    <definedName name="콘센트">#N/A</definedName>
    <definedName name="콘센트_아울렛">#N/A</definedName>
    <definedName name="콘재">#REF!</definedName>
    <definedName name="콘주철거공구손료">#REF!</definedName>
    <definedName name="콘주철거공비">#REF!</definedName>
    <definedName name="콘주철거합계">#REF!</definedName>
    <definedName name="콘집계">#REF!</definedName>
    <definedName name="콘크">#REF!</definedName>
    <definedName name="콘크리트">#REF!</definedName>
    <definedName name="콘크리트__공">#REF!</definedName>
    <definedName name="콘크리트_구입">#REF!</definedName>
    <definedName name="콘크리트_생산">#REF!</definedName>
    <definedName name="콘크리트_재료량산출">#REF!</definedName>
    <definedName name="콘크리트_타설">#REF!</definedName>
    <definedName name="콘크리트2" hidden="1">#REF!</definedName>
    <definedName name="콘크리트3" hidden="1">{#N/A,#N/A,FALSE,"현장 NCR 분석";#N/A,#N/A,FALSE,"현장품질감사";#N/A,#N/A,FALSE,"현장품질감사"}</definedName>
    <definedName name="콘크리트경계석">#REF!</definedName>
    <definedName name="콘크리트공">#REF!</definedName>
    <definedName name="콘크리트공_광의">#REF!</definedName>
    <definedName name="콘크리트공001">#REF!</definedName>
    <definedName name="콘크리트공002">#REF!</definedName>
    <definedName name="콘크리트공011">#REF!</definedName>
    <definedName name="콘크리트공982">#REF!</definedName>
    <definedName name="콘크리트공991">#REF!</definedName>
    <definedName name="콘크리트공992">#REF!</definedName>
    <definedName name="콘크리트공칭강도">#REF!</definedName>
    <definedName name="콘크리트깨기">{"'중기작업1'!$A$1:$V$18"}</definedName>
    <definedName name="콘크리트단위중량">#REF!</definedName>
    <definedName name="콘크리트면처리">#REF!</definedName>
    <definedName name="콘크리트면처리노">#REF!</definedName>
    <definedName name="콘크리트면처리요철">#REF!</definedName>
    <definedName name="콘크리트면처리요철노">#REF!</definedName>
    <definedName name="콘크리트캇타경비">#REF!</definedName>
    <definedName name="콘크리트캇타계">#REF!</definedName>
    <definedName name="콘크리트캇타노무비">#REF!</definedName>
    <definedName name="콘크리트캇타재료비">#REF!</definedName>
    <definedName name="콘크리트타석">#REF!</definedName>
    <definedName name="콘크리트타설">#REF!</definedName>
    <definedName name="콘크리트탄성계수">#REF!</definedName>
    <definedName name="콘크리트포장파괴0.2경비">#REF!</definedName>
    <definedName name="콘크리트포장파괴0.2계">#REF!</definedName>
    <definedName name="콘크리트포장파괴0.2기계경비">#REF!</definedName>
    <definedName name="콘크리트포장파괴0.2기계계">#REF!</definedName>
    <definedName name="콘크리트포장파괴0.2기계노무비">#REF!</definedName>
    <definedName name="콘크리트포장파괴0.2기계재료비">#REF!</definedName>
    <definedName name="콘크리트포장파괴0.2노무비">#REF!</definedName>
    <definedName name="콘크리트포장파괴0.2인력계">#REF!</definedName>
    <definedName name="콘크리트포장파괴0.2인력노무비">#REF!</definedName>
    <definedName name="콘크리트포장파괴0.2재료비">#REF!</definedName>
    <definedName name="콘크리트포장파괴0.2치즐계">#REF!</definedName>
    <definedName name="콘크리트포장파괴0.2치즐재료비">#REF!</definedName>
    <definedName name="콘크리트포장파괴0.4경비">#REF!</definedName>
    <definedName name="콘크리트포장파괴0.4계">#REF!</definedName>
    <definedName name="콘크리트포장파괴0.4기계경비">#REF!</definedName>
    <definedName name="콘크리트포장파괴0.4기계계">#REF!</definedName>
    <definedName name="콘크리트포장파괴0.4기계노무비">#REF!</definedName>
    <definedName name="콘크리트포장파괴0.4기계재료비">#REF!</definedName>
    <definedName name="콘크리트포장파괴0.4노무비">#REF!</definedName>
    <definedName name="콘크리트포장파괴0.4작업보조원경비">#REF!</definedName>
    <definedName name="콘크리트포장파괴0.4작업보조원계">#REF!</definedName>
    <definedName name="콘크리트포장파괴0.4작업보조원노무비">#REF!</definedName>
    <definedName name="콘크리트포장파괴0.4작업보조원재료비">#REF!</definedName>
    <definedName name="콘크리트포장파괴0.4재료비">#REF!</definedName>
    <definedName name="콘크리트포장파괴0.4치즐경비">#REF!</definedName>
    <definedName name="콘크리트포장파괴0.4치즐계">#REF!</definedName>
    <definedName name="콘크리트포장파괴0.4치즐노무비">#REF!</definedName>
    <definedName name="콘크리트포장파괴0.4치즐재료비">#REF!</definedName>
    <definedName name="콘크리트포장파괴0.7경비">#REF!</definedName>
    <definedName name="콘크리트포장파괴0.7계">#REF!</definedName>
    <definedName name="콘크리트포장파괴0.7기계경비">#REF!</definedName>
    <definedName name="콘크리트포장파괴0.7기계계">#REF!</definedName>
    <definedName name="콘크리트포장파괴0.7기계노무비">#REF!</definedName>
    <definedName name="콘크리트포장파괴0.7기계재료비">#REF!</definedName>
    <definedName name="콘크리트포장파괴0.7노무비">#REF!</definedName>
    <definedName name="콘크리트포장파괴0.7작업보조원경비">#REF!</definedName>
    <definedName name="콘크리트포장파괴0.7작업보조원계">#REF!</definedName>
    <definedName name="콘크리트포장파괴0.7작업보조원노무비">#REF!</definedName>
    <definedName name="콘크리트포장파괴0.7작업보조원재료비">#REF!</definedName>
    <definedName name="콘크리트포장파괴0.7재료비">#REF!</definedName>
    <definedName name="콘크리트포장파괴0.7치즐경비">#REF!</definedName>
    <definedName name="콘크리트포장파괴0.7치즐계">#REF!</definedName>
    <definedName name="콘크리트포장파괴0.7치즐노무비">#REF!</definedName>
    <definedName name="콘크리트포장파괴0.7치즐재료비">#REF!</definedName>
    <definedName name="콘트롤러">{"'용역비'!$A$4:$C$8"}</definedName>
    <definedName name="콤팩터경비">#REF!</definedName>
    <definedName name="콤팩터노무비">#REF!</definedName>
    <definedName name="콤팩터재료비">#REF!</definedName>
    <definedName name="콤프">#REF!</definedName>
    <definedName name="콧" hidden="1">{#N/A,#N/A,FALSE,"현장 NCR 분석";#N/A,#N/A,FALSE,"현장품질감사";#N/A,#N/A,FALSE,"현장품질감사"}</definedName>
    <definedName name="콩" hidden="1">{#N/A,#N/A,FALSE,"구조1"}</definedName>
    <definedName name="쿙" hidden="1">{#N/A,#N/A,FALSE,"현장 NCR 분석";#N/A,#N/A,FALSE,"현장품질감사";#N/A,#N/A,FALSE,"현장품질감사"}</definedName>
    <definedName name="쿨" hidden="1">{#N/A,#N/A,FALSE,"지침";#N/A,#N/A,FALSE,"환경분석";#N/A,#N/A,FALSE,"Sheet16"}</definedName>
    <definedName name="퀘ㄹ" hidden="1">{#N/A,#N/A,FALSE,"지침";#N/A,#N/A,FALSE,"환경분석";#N/A,#N/A,FALSE,"Sheet16"}</definedName>
    <definedName name="퀼" hidden="1">{#N/A,#N/A,FALSE,"지침";#N/A,#N/A,FALSE,"환경분석";#N/A,#N/A,FALSE,"Sheet16"}</definedName>
    <definedName name="큐">#REF!</definedName>
    <definedName name="큥" hidden="1">{#N/A,#N/A,FALSE,"현장 NCR 분석";#N/A,#N/A,FALSE,"현장품질감사";#N/A,#N/A,FALSE,"현장품질감사"}</definedName>
    <definedName name="크러셔">#REF!</definedName>
    <definedName name="크레인">#REF!</definedName>
    <definedName name="크레인가격">#N/A</definedName>
    <definedName name="큰구">#REF!</definedName>
    <definedName name="큰사">#REF!</definedName>
    <definedName name="큰삼">#REF!</definedName>
    <definedName name="큰십">#REF!</definedName>
    <definedName name="큰십이">#REF!</definedName>
    <definedName name="큰십일">#REF!</definedName>
    <definedName name="큰오">#REF!</definedName>
    <definedName name="큰육">#REF!</definedName>
    <definedName name="큰이">#REF!</definedName>
    <definedName name="큰일">#REF!</definedName>
    <definedName name="큰칠">#REF!</definedName>
    <definedName name="큰팔">#REF!</definedName>
    <definedName name="클_레_임">#N/A</definedName>
    <definedName name="클러경">#N/A</definedName>
    <definedName name="클러노">#N/A</definedName>
    <definedName name="클러재">#N/A</definedName>
    <definedName name="ㅌ">#REF!</definedName>
    <definedName name="ㅌ_1" hidden="1">{#N/A,#N/A,FALSE,"2~8번"}</definedName>
    <definedName name="ㅌ.ㅏㅏ허" hidden="1">{#N/A,#N/A,FALSE,"운반시간"}</definedName>
    <definedName name="ㅌ.ㅓㅍㄹㅇ포ㅕㄹㅇ퓨" hidden="1">{#N/A,#N/A,FALSE,"단가표지"}</definedName>
    <definedName name="ㅌ1121">#REF!</definedName>
    <definedName name="ㅌㄹ" hidden="1">{#N/A,#N/A,FALSE,"단축1";#N/A,#N/A,FALSE,"단축2";#N/A,#N/A,FALSE,"단축3";#N/A,#N/A,FALSE,"장축";#N/A,#N/A,FALSE,"4WD"}</definedName>
    <definedName name="ㅌㄹㅊ퓰유" hidden="1">{#N/A,#N/A,FALSE,"조골재"}</definedName>
    <definedName name="ㅌㄹ처혃ㅎ" hidden="1">{#N/A,#N/A,FALSE,"조골재"}</definedName>
    <definedName name="ㅌ라ㅓ댜ㅐㅎ" hidden="1">{#N/A,#N/A,FALSE,"2~8번"}</definedName>
    <definedName name="ㅌ러도렫ㅈ" hidden="1">{#N/A,#N/A,FALSE,"단가표지"}</definedName>
    <definedName name="ㅌㅁ" hidden="1">{#N/A,#N/A,FALSE,"골재소요량";#N/A,#N/A,FALSE,"골재소요량"}</definedName>
    <definedName name="ㅌㅅㅅㅅ" hidden="1">{#N/A,#N/A,FALSE,"2~8번"}</definedName>
    <definedName name="ㅌㅇ" hidden="1">{#N/A,#N/A,FALSE,"이태원철근"}</definedName>
    <definedName name="ㅌㅇㄴ">255</definedName>
    <definedName name="ㅌㅇㅇㅇㅇㅇㅇㅇㅇㅇㅇㅇㅇㅇㅇㅇㅇㅇㅇㅇㅇㅇㅇㅇㅇㅇㅇㅇㅇㅇㅇㅇㅇㅇㅇㅇ" hidden="1">{#N/A,#N/A,FALSE,"운반시간"}</definedName>
    <definedName name="ㅌㅊ" hidden="1">{#N/A,#N/A,FALSE,"이태원철근"}</definedName>
    <definedName name="ㅌㅊㅊㅊㅋ" hidden="1">{#N/A,#N/A,FALSE,"BS";#N/A,#N/A,FALSE,"PL";#N/A,#N/A,FALSE,"처분";#N/A,#N/A,FALSE,"현금";#N/A,#N/A,FALSE,"매출";#N/A,#N/A,FALSE,"원가";#N/A,#N/A,FALSE,"경영"}</definedName>
    <definedName name="ㅌㅊㅍ">#REF!</definedName>
    <definedName name="ㅌㅊㅀ" hidden="1">{#N/A,#N/A,FALSE,"운반시간"}</definedName>
    <definedName name="ㅌㅌ" hidden="1">{#N/A,#N/A,FALSE,"단가표지"}</definedName>
    <definedName name="ㅌㅌㅌ">#REF!</definedName>
    <definedName name="ㅌㅌㅌㅌ">#REF!</definedName>
    <definedName name="ㅌㅌㅌㅌ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ㅌㅌㅌㅌ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ㅌㅌㅌㅌㅌㅌ">#REF!</definedName>
    <definedName name="ㅌㅍ" hidden="1">{#N/A,#N/A,FALSE,"부대2"}</definedName>
    <definedName name="ㅌㅍㅊㅇㅌㅎ" hidden="1">{#N/A,#N/A,FALSE,"도급대비시행율";#N/A,#N/A,FALSE,"결의서";#N/A,#N/A,FALSE,"내역서";#N/A,#N/A,FALSE,"도급예상"}</definedName>
    <definedName name="ㅌㅍ츛ㅌ" hidden="1">{#N/A,#N/A,FALSE,"운반시간"}</definedName>
    <definedName name="ㅌㅎㄱㅇㅎ" hidden="1">{#N/A,#N/A,FALSE,"혼합골재"}</definedName>
    <definedName name="ㅌㅀㄱㄷㅇㅎㄳ" hidden="1">{#N/A,#N/A,FALSE,"2~8번"}</definedName>
    <definedName name="ㅌㅀㅇ휴" hidden="1">{#N/A,#N/A,FALSE,"혼합골재"}</definedName>
    <definedName name="타" hidden="1">{#N/A,#N/A,FALSE,"CCTV"}</definedName>
    <definedName name="타___일___공">#REF!</definedName>
    <definedName name="타계정1">#REF!</definedName>
    <definedName name="타공100">#REF!</definedName>
    <definedName name="타공150">#REF!</definedName>
    <definedName name="타공200">#REF!</definedName>
    <definedName name="타공250">#REF!</definedName>
    <definedName name="타공종이월수량">#REF!</definedName>
    <definedName name="타럳ㅈㄹ" hidden="1">{#N/A,#N/A,FALSE,"운반시간"}</definedName>
    <definedName name="타사공사비1" hidden="1">#REF!</definedName>
    <definedName name="타설공" hidden="1">{#N/A,#N/A,FALSE,"현장 NCR 분석";#N/A,#N/A,FALSE,"현장품질감사";#N/A,#N/A,FALSE,"현장품질감사"}</definedName>
    <definedName name="타설공사" hidden="1">{#N/A,#N/A,FALSE,"현장 NCR 분석";#N/A,#N/A,FALSE,"현장품질감사";#N/A,#N/A,FALSE,"현장품질감사"}</definedName>
    <definedName name="타설니" hidden="1">{#N/A,#N/A,FALSE,"현장 NCR 분석";#N/A,#N/A,FALSE,"현장품질감사";#N/A,#N/A,FALSE,"현장품질감사"}</definedName>
    <definedName name="타설미" hidden="1">{#N/A,#N/A,FALSE,"현장 NCR 분석";#N/A,#N/A,FALSE,"현장품질감사";#N/A,#N/A,FALSE,"현장품질감사"}</definedName>
    <definedName name="타설후" hidden="1">{#N/A,#N/A,FALSE,"현장 NCR 분석";#N/A,#N/A,FALSE,"현장품질감사";#N/A,#N/A,FALSE,"현장품질감사"}</definedName>
    <definedName name="타설후1" hidden="1">{#N/A,#N/A,FALSE,"현장 NCR 분석";#N/A,#N/A,FALSE,"현장품질감사";#N/A,#N/A,FALSE,"현장품질감사"}</definedName>
    <definedName name="타설후체크" hidden="1">{#N/A,#N/A,FALSE,"현장 NCR 분석";#N/A,#N/A,FALSE,"현장품질감사";#N/A,#N/A,FALSE,"현장품질감사"}</definedName>
    <definedName name="타워"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타워경">#REF!</definedName>
    <definedName name="타워노">#REF!</definedName>
    <definedName name="타워노무비">#REF!</definedName>
    <definedName name="타워설치"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타워재">#REF!</definedName>
    <definedName name="타이러겯ㄹ" hidden="1">{#N/A,#N/A,FALSE,"단가표지"}</definedName>
    <definedName name="타이어경">#REF!</definedName>
    <definedName name="타이어노무">#REF!</definedName>
    <definedName name="타이어로라">250000</definedName>
    <definedName name="타이어재료">#REF!</definedName>
    <definedName name="타인자본">#REF!</definedName>
    <definedName name="타일">#N/A</definedName>
    <definedName name="타일2" hidden="1">{#N/A,#N/A,FALSE,"이태원철근"}</definedName>
    <definedName name="타일2_1" hidden="1">{#N/A,#N/A,FALSE,"이태원철근"}</definedName>
    <definedName name="타일2_2" hidden="1">{#N/A,#N/A,FALSE,"이태원철근"}</definedName>
    <definedName name="타일2_3" hidden="1">{#N/A,#N/A,FALSE,"이태원철근"}</definedName>
    <definedName name="타일경비">#REF!</definedName>
    <definedName name="타일공">#REF!</definedName>
    <definedName name="타일공001">#REF!</definedName>
    <definedName name="타일공002">#REF!</definedName>
    <definedName name="타일공011">#REF!</definedName>
    <definedName name="타일공982">#REF!</definedName>
    <definedName name="타일공991">#REF!</definedName>
    <definedName name="타일공992">#REF!</definedName>
    <definedName name="타일공과잡비">#REF!</definedName>
    <definedName name="타일공사">#REF!</definedName>
    <definedName name="타일노무">#REF!</definedName>
    <definedName name="타일붙이기_발코니_현관바닥">#REF!</definedName>
    <definedName name="타일붙이기_발코니바닥">#REF!</definedName>
    <definedName name="타일붙이기_주방벽">#REF!</definedName>
    <definedName name="타일붙이기_화장실바닥">#REF!</definedName>
    <definedName name="타일붙이기_화장실벽">#REF!</definedName>
    <definedName name="타일붙이기발바노">#REF!</definedName>
    <definedName name="타일붙이기발현바노">#REF!</definedName>
    <definedName name="타일붙이기주방벽노">#REF!</definedName>
    <definedName name="타일붙이기화바노">#REF!</definedName>
    <definedName name="타일붙이기화벽노">#REF!</definedName>
    <definedName name="타일석재보경">#REF!</definedName>
    <definedName name="타일석재보노">#REF!</definedName>
    <definedName name="타일석재보재">#REF!</definedName>
    <definedName name="타일재료">#REF!</definedName>
    <definedName name="타일A소계">#REF!</definedName>
    <definedName name="타일B소계">#REF!</definedName>
    <definedName name="타입3">#N/A</definedName>
    <definedName name="타ㅑㅐㄱㅎ" hidden="1">{#N/A,#N/A,FALSE,"2~8번"}</definedName>
    <definedName name="타ㅓ오춍ㅊ" hidden="1">{#N/A,#N/A,FALSE,"단가표지"}</definedName>
    <definedName name="타ㅓ퓽ㄱ" hidden="1">{#N/A,#N/A,FALSE,"2~8번"}</definedName>
    <definedName name="타ㅓㅗ렫" hidden="1">{#N/A,#N/A,FALSE,"골재소요량";#N/A,#N/A,FALSE,"골재소요량"}</definedName>
    <definedName name="탄성계수비">#REF!</definedName>
    <definedName name="탄성고무받침">#REF!</definedName>
    <definedName name="탈" hidden="1">{#N/A,#N/A,FALSE,"CCTV"}</definedName>
    <definedName name="탈취설비">#REF!</definedName>
    <definedName name="탕감합계">#REF!</definedName>
    <definedName name="태극기" hidden="1">{#N/A,#N/A,FALSE,"생산성";#N/A,#N/A,FALSE,"인력1";#N/A,#N/A,FALSE,"인력2";#N/A,#N/A,FALSE,"인력3";#N/A,#N/A,FALSE,"인건1";#N/A,#N/A,FALSE,"인건2";#N/A,#N/A,FALSE,"인건3";#N/A,#N/A,FALSE,"인원증감";#N/A,#N/A,FALSE,"인건증감";#N/A,#N/A,FALSE,"표지등"}</definedName>
    <definedName name="태빈">#N/A</definedName>
    <definedName name="태산목10노무">#REF!</definedName>
    <definedName name="태산목10재료">#REF!</definedName>
    <definedName name="태산목12노무">#REF!</definedName>
    <definedName name="태산목12재료">#REF!</definedName>
    <definedName name="태산목H2.5">#REF!</definedName>
    <definedName name="태안도장"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태양열.도금">#REF!</definedName>
    <definedName name="태영" hidden="1">{#N/A,#N/A,FALSE,"골재소요량";#N/A,#N/A,FALSE,"골재소요량"}</definedName>
    <definedName name="태영지급" hidden="1">{#N/A,#N/A,FALSE,"부대1"}</definedName>
    <definedName name="태원" hidden="1">{#N/A,#N/A,FALSE,"Sheet1"}</definedName>
    <definedName name="태ㅌ크">#N/A</definedName>
    <definedName name="태풍나비" hidden="1">{#N/A,#N/A,FALSE,"구조1"}</definedName>
    <definedName name="태흥설변부분내역" hidden="1">{#N/A,#N/A,FALSE,"CCTV"}</definedName>
    <definedName name="태흥설변부분내역1" hidden="1">{#N/A,#N/A,FALSE,"CCTV"}</definedName>
    <definedName name="택코팅30디스트리뷰우터3000경비">#REF!</definedName>
    <definedName name="택코팅30디스트리뷰우터3000계">#REF!</definedName>
    <definedName name="택코팅30디스트리뷰우터3000노무비">#REF!</definedName>
    <definedName name="택코팅30디스트리뷰우터3000살포경비">#REF!</definedName>
    <definedName name="택코팅30디스트리뷰우터3000살포노무비">#REF!</definedName>
    <definedName name="택코팅30디스트리뷰우터3000살포재료비">#REF!</definedName>
    <definedName name="택코팅30디스트리뷰우터3000인건비경비">#REF!</definedName>
    <definedName name="택코팅30디스트리뷰우터3000인건비계">#REF!</definedName>
    <definedName name="택코팅30디스트리뷰우터3000인건비노무비">#REF!</definedName>
    <definedName name="택코팅30디스트리뷰우터3000인건비재료비">#REF!</definedName>
    <definedName name="택코팅30디스트리뷰우터3000재료비">#REF!</definedName>
    <definedName name="택코팅30디스트리뷰우터3000청소비경비">#REF!</definedName>
    <definedName name="택코팅30디스트리뷰우터3000청소비계">#REF!</definedName>
    <definedName name="택코팅30디스트리뷰우터3000청소비노무비">#REF!</definedName>
    <definedName name="택코팅30디스트리뷰우터3000청소비재료비">#REF!</definedName>
    <definedName name="택코팅40아스팔트스프레이어300경비">#REF!</definedName>
    <definedName name="택코팅40아스팔트스프레이어300계">#REF!</definedName>
    <definedName name="택코팅40아스팔트스프레이어300노무비">#REF!</definedName>
    <definedName name="택코팅40아스팔트스프레이어300살포경비">#REF!</definedName>
    <definedName name="택코팅40아스팔트스프레이어300살포계">#REF!</definedName>
    <definedName name="택코팅40아스팔트스프레이어300살포노무비">#REF!</definedName>
    <definedName name="택코팅40아스팔트스프레이어300살포재료비">#REF!</definedName>
    <definedName name="택코팅40아스팔트스프레이어300인건비경비">#REF!</definedName>
    <definedName name="택코팅40아스팔트스프레이어300인건비계">#REF!</definedName>
    <definedName name="택코팅40아스팔트스프레이어300인건비노무비">#REF!</definedName>
    <definedName name="택코팅40아스팔트스프레이어300인건비재료비">#REF!</definedName>
    <definedName name="택코팅40아스팔트스프레이어300재료비">#REF!</definedName>
    <definedName name="택코팅40아스팔트스프레이어300청소비경비">#REF!</definedName>
    <definedName name="택코팅40아스팔트스프레이어300청소비계">#REF!</definedName>
    <definedName name="택코팅40아스팔트스프레이어300청소비노무비">#REF!</definedName>
    <definedName name="택코팅40아스팔트스프레이어300청소비재료비">#REF!</definedName>
    <definedName name="탠">#N/A</definedName>
    <definedName name="탱크하품">#N/A</definedName>
    <definedName name="탱크현조">#REF!</definedName>
    <definedName name="탱크현조1">#N/A</definedName>
    <definedName name="터">#REF!</definedName>
    <definedName name="터기" hidden="1">{#N/A,#N/A,FALSE,"단가표지"}</definedName>
    <definedName name="터널" hidden="1">{#N/A,#N/A,FALSE,"전력간선"}</definedName>
    <definedName name="터널공2">#REF!</definedName>
    <definedName name="터널구간" hidden="1">{#N/A,#N/A,FALSE,"단가표지"}</definedName>
    <definedName name="터라기2">#REF!</definedName>
    <definedName name="터터터">#REF!</definedName>
    <definedName name="터파기">#REF!</definedName>
    <definedName name="터파기1">#REF!</definedName>
    <definedName name="터파기2">#REF!</definedName>
    <definedName name="터파기경">#REF!</definedName>
    <definedName name="터파기계산">#REF!</definedName>
    <definedName name="터파기고">#REF!</definedName>
    <definedName name="터파기구배">#REF!</definedName>
    <definedName name="터파기기계0.2경비">#REF!</definedName>
    <definedName name="터파기기계0.2계">#REF!</definedName>
    <definedName name="터파기기계0.2노무비">#REF!</definedName>
    <definedName name="터파기기계0.2재료비">#REF!</definedName>
    <definedName name="터파기기계0.4경비">#REF!</definedName>
    <definedName name="터파기기계0.4계">#REF!</definedName>
    <definedName name="터파기기계0.4노무비">#REF!</definedName>
    <definedName name="터파기기계0.4재료비">#REF!</definedName>
    <definedName name="터파기기계0.7경비">#REF!</definedName>
    <definedName name="터파기기계0.7계">#REF!</definedName>
    <definedName name="터파기기계0.7노무비">#REF!</definedName>
    <definedName name="터파기기계0.7재료비">#REF!</definedName>
    <definedName name="터파기기계노무비0.2">#REF!</definedName>
    <definedName name="터파기깊이">#REF!</definedName>
    <definedName name="터파기노">#REF!</definedName>
    <definedName name="터파기량">#REF!</definedName>
    <definedName name="터파기리핑">#REF!</definedName>
    <definedName name="터파기반경">#REF!</definedName>
    <definedName name="터파기발파암">#REF!</definedName>
    <definedName name="터파기방법">#REF!</definedName>
    <definedName name="터파기상폭">#N/A</definedName>
    <definedName name="터파기재">#REF!</definedName>
    <definedName name="터파기체적">#REF!</definedName>
    <definedName name="터파기토사">#REF!</definedName>
    <definedName name="터ㅛㄷㄱㄹ" hidden="1">{#N/A,#N/A,FALSE,"혼합골재"}</definedName>
    <definedName name="텊ㄹㅇ퍼ㅏㅇ" hidden="1">{#N/A,#N/A,FALSE,"조골재"}</definedName>
    <definedName name="테관0.4">#REF!</definedName>
    <definedName name="테관0.5">#REF!</definedName>
    <definedName name="테관0.6">#REF!</definedName>
    <definedName name="테관1.0">#REF!</definedName>
    <definedName name="테관1.2">#REF!</definedName>
    <definedName name="테관1.5">#REF!</definedName>
    <definedName name="테관2.0">#REF!</definedName>
    <definedName name="테라죠판바닥노">#REF!</definedName>
    <definedName name="테라죠판벽노">#REF!</definedName>
    <definedName name="테라죠판붙이기바닥">#REF!</definedName>
    <definedName name="테라죠판붙이기벽">#REF!</definedName>
    <definedName name="테스크" hidden="1">{#N/A,#N/A,FALSE,"단가표지"}</definedName>
    <definedName name="테스크_1" hidden="1">{#N/A,#N/A,FALSE,"단가표지"}</definedName>
    <definedName name="테스크_2" hidden="1">{#N/A,#N/A,FALSE,"단가표지"}</definedName>
    <definedName name="테스크_3" hidden="1">{#N/A,#N/A,FALSE,"단가표지"}</definedName>
    <definedName name="테스트" hidden="1">#REF!</definedName>
    <definedName name="테지">#REF!</definedName>
    <definedName name="템" localSheetId="0">BlankMacro1</definedName>
    <definedName name="템">BlankMacro1</definedName>
    <definedName name="템11" localSheetId="0">BlankMacro1</definedName>
    <definedName name="템11">BlankMacro1</definedName>
    <definedName name="템111" localSheetId="0">BlankMacro1</definedName>
    <definedName name="템111">BlankMacro1</definedName>
    <definedName name="템13" localSheetId="0">BlankMacro1</definedName>
    <definedName name="템13">BlankMacro1</definedName>
    <definedName name="템14" localSheetId="0">BlankMacro1</definedName>
    <definedName name="템14">BlankMacro1</definedName>
    <definedName name="템15" localSheetId="0">BlankMacro1</definedName>
    <definedName name="템15">BlankMacro1</definedName>
    <definedName name="템16" localSheetId="0">BlankMacro1</definedName>
    <definedName name="템16">BlankMacro1</definedName>
    <definedName name="템2" localSheetId="0">BlankMacro1</definedName>
    <definedName name="템2">BlankMacro1</definedName>
    <definedName name="템222" localSheetId="0">BlankMacro1</definedName>
    <definedName name="템222">BlankMacro1</definedName>
    <definedName name="템3" localSheetId="0">BlankMacro1</definedName>
    <definedName name="템3">BlankMacro1</definedName>
    <definedName name="템333" localSheetId="0">BlankMacro1</definedName>
    <definedName name="템333">BlankMacro1</definedName>
    <definedName name="템4" localSheetId="0">BlankMacro1</definedName>
    <definedName name="템4">BlankMacro1</definedName>
    <definedName name="템4444" localSheetId="0">BlankMacro1</definedName>
    <definedName name="템4444">BlankMacro1</definedName>
    <definedName name="템5" localSheetId="0">BlankMacro1</definedName>
    <definedName name="템5">BlankMacro1</definedName>
    <definedName name="템5555" localSheetId="0">BlankMacro1</definedName>
    <definedName name="템5555">BlankMacro1</definedName>
    <definedName name="템6" localSheetId="0">BlankMacro1</definedName>
    <definedName name="템6">BlankMacro1</definedName>
    <definedName name="템66666" localSheetId="0">BlankMacro1</definedName>
    <definedName name="템66666">BlankMacro1</definedName>
    <definedName name="템이1" localSheetId="0">BlankMacro1</definedName>
    <definedName name="템이1">BlankMacro1</definedName>
    <definedName name="템플리트모듈1" localSheetId="0">BlankMacro1</definedName>
    <definedName name="템플리트모듈1">BlankMacro1</definedName>
    <definedName name="템플리트모듈1_2">#NAME?</definedName>
    <definedName name="템플리트모듈10" localSheetId="0">BlankMacro1</definedName>
    <definedName name="템플리트모듈10">BlankMacro1</definedName>
    <definedName name="템플리트모듈100" localSheetId="0">BlankMacro1</definedName>
    <definedName name="템플리트모듈100">BlankMacro1</definedName>
    <definedName name="템플리트모듈14" localSheetId="0">BlankMacro1</definedName>
    <definedName name="템플리트모듈14">BlankMacro1</definedName>
    <definedName name="템플리트모듈2" localSheetId="0">BlankMacro1</definedName>
    <definedName name="템플리트모듈2">BlankMacro1</definedName>
    <definedName name="템플리트모듈2_2">#NAME?</definedName>
    <definedName name="템플리트모듈3" localSheetId="0">BlankMacro1</definedName>
    <definedName name="템플리트모듈3">BlankMacro1</definedName>
    <definedName name="템플리트모듈3_2">#NAME?</definedName>
    <definedName name="템플리트모듈4" localSheetId="0">BlankMacro1</definedName>
    <definedName name="템플리트모듈4">BlankMacro1</definedName>
    <definedName name="템플리트모듈4_2">#NAME?</definedName>
    <definedName name="템플리트모듈5" localSheetId="0">BlankMacro1</definedName>
    <definedName name="템플리트모듈5">BlankMacro1</definedName>
    <definedName name="템플리트모듈5_2">#NAME?</definedName>
    <definedName name="템플리트모듈6" localSheetId="0">BlankMacro1</definedName>
    <definedName name="템플리트모듈6">BlankMacro1</definedName>
    <definedName name="템플리트모듈6_2">#NAME?</definedName>
    <definedName name="템플리트모듈7">#N/A</definedName>
    <definedName name="템플리트모듈8" localSheetId="0">BlankMacro1</definedName>
    <definedName name="템플리트모듈8">BlankMacro1</definedName>
    <definedName name="템플리트모튤4" localSheetId="0">BlankMacro1</definedName>
    <definedName name="템플리트모튤4">BlankMacro1</definedName>
    <definedName name="테B10">#REF!</definedName>
    <definedName name="테B12">#REF!</definedName>
    <definedName name="테B20">#REF!</definedName>
    <definedName name="테B6">#REF!</definedName>
    <definedName name="테B8">#REF!</definedName>
    <definedName name="테H1.5">#REF!</definedName>
    <definedName name="테H2.0">#REF!</definedName>
    <definedName name="테H2.5">#REF!</definedName>
    <definedName name="테H3.0">#REF!</definedName>
    <definedName name="테H3.5">#REF!</definedName>
    <definedName name="테H4.0">#REF!</definedName>
    <definedName name="테R10">#REF!</definedName>
    <definedName name="테R12">#REF!</definedName>
    <definedName name="테R15">#REF!</definedName>
    <definedName name="테R4">#REF!</definedName>
    <definedName name="테R5">#REF!</definedName>
    <definedName name="테R6">#REF!</definedName>
    <definedName name="테R8">#REF!</definedName>
    <definedName name="토" hidden="1">#REF!</definedName>
    <definedName name="토_________공">#REF!</definedName>
    <definedName name="토_공_수_량__산_출_근_거">#REF!</definedName>
    <definedName name="토_공_집_계_표">#REF!</definedName>
    <definedName name="토\40" hidden="1">{#N/A,#N/A,FALSE,"토공2"}</definedName>
    <definedName name="토1" hidden="1">{#N/A,#N/A,FALSE,"이정표"}</definedName>
    <definedName name="토2" hidden="1">{#N/A,#N/A,FALSE,"조골재"}</definedName>
    <definedName name="토3" localSheetId="0">BlankMacro1</definedName>
    <definedName name="토3">BlankMacro1</definedName>
    <definedName name="토3333" localSheetId="0">BlankMacro1</definedName>
    <definedName name="토3333">BlankMacro1</definedName>
    <definedName name="토간접">#REF!</definedName>
    <definedName name="토건" hidden="1">{"'장비'!$A$3:$M$12"}</definedName>
    <definedName name="토건업체" hidden="1">{"'장비'!$A$3:$M$12"}</definedName>
    <definedName name="토경비">#REF!</definedName>
    <definedName name="토공" hidden="1">{#N/A,#N/A,FALSE,"포장2"}</definedName>
    <definedName name="토공." hidden="1">{#N/A,#N/A,FALSE,"운반시간"}</definedName>
    <definedName name="토공1">#REF!</definedName>
    <definedName name="토공11" hidden="1">{#N/A,#N/A,FALSE,"포장2"}</definedName>
    <definedName name="토공2">#REF!</definedName>
    <definedName name="토공222" hidden="1">{#N/A,#N/A,FALSE,"토공2"}</definedName>
    <definedName name="토공3">#REF!</definedName>
    <definedName name="토공견적">#REF!</definedName>
    <definedName name="토공경">#N/A</definedName>
    <definedName name="토공경비">#REF!</definedName>
    <definedName name="토공공">#REF!</definedName>
    <definedName name="토공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노">#N/A</definedName>
    <definedName name="토공노무">#REF!</definedName>
    <definedName name="토공대비" hidden="1">{#N/A,#N/A,FALSE,"단가표지"}</definedName>
    <definedName name="토공도" hidden="1">{#N/A,#N/A,FALSE,"변경관리예산";#N/A,#N/A,FALSE,"변경장비예산";#N/A,#N/A,FALSE,"변경준설예산";#N/A,#N/A,FALSE,"변경철구예산"}</definedName>
    <definedName name="토공량" hidden="1">{#N/A,#N/A,FALSE,"기안지";#N/A,#N/A,FALSE,"통신지"}</definedName>
    <definedName name="토공량_1" hidden="1">{#N/A,#N/A,FALSE,"기안지";#N/A,#N/A,FALSE,"통신지"}</definedName>
    <definedName name="토공량1">#NAME?</definedName>
    <definedName name="토공량1_2">#NAME?</definedName>
    <definedName name="토공매역">#N/A</definedName>
    <definedName name="토공및흙막이공사비">#N/A</definedName>
    <definedName name="토공번호">#REF!</definedName>
    <definedName name="토공사">#REF!</definedName>
    <definedName name="토공사발주">{"Book1","TOTAL.xls"}</definedName>
    <definedName name="토공사조건1" hidden="1">{#N/A,#N/A,FALSE,"물량산출"}</definedName>
    <definedName name="토공사현장설명서">#REF!</definedName>
    <definedName name="토공수량">#N/A</definedName>
    <definedName name="토공유동표">#REF!</definedName>
    <definedName name="토공이수" hidden="1">#REF!</definedName>
    <definedName name="토공일반">#N/A</definedName>
    <definedName name="토공재">#N/A</definedName>
    <definedName name="토공재료">#REF!</definedName>
    <definedName name="토공전체" hidden="1">{#N/A,#N/A,FALSE,"운반시간"}</definedName>
    <definedName name="토공집계">#REF!</definedName>
    <definedName name="토공집ㄲ표">#REF!</definedName>
    <definedName name="토공체적">#N/A</definedName>
    <definedName name="토공합">#REF!</definedName>
    <definedName name="토공현설내역" hidden="1">{#N/A,#N/A,TRUE,"토적및재료집계";#N/A,#N/A,TRUE,"토적및재료집계";#N/A,#N/A,TRUE,"단위량"}</definedName>
    <definedName name="토공A25">#REF!</definedName>
    <definedName name="토관리">#REF!</definedName>
    <definedName name="토당초">#REF!,#REF!</definedName>
    <definedName name="토량">#N/A</definedName>
    <definedName name="토류">{"'정산내역서'!$A$1:$I$35","'정산서(절.성토부)'!$A$1:$Q$17","'정산서(교량부)'!$A$1:$Q$84","'총괄표'!$A$1:$M$12","'시행현황'!$A$1:$G$12","'표지'!$A$1:$N$27","'정산서(절.성토부)'!$A$3:$Q$7"}</definedName>
    <definedName name="토류벽집계표">{"'정산내역서'!$A$1:$I$35","'정산서(절.성토부)'!$A$1:$Q$17","'정산서(교량부)'!$A$1:$Q$84","'총괄표'!$A$1:$M$12","'시행현황'!$A$1:$G$12","'표지'!$A$1:$N$27","'정산서(절.성토부)'!$A$3:$Q$7"}</definedName>
    <definedName name="토류시설">{"'정산내역서'!$A$1:$I$35","'정산서(절.성토부)'!$A$1:$Q$17","'정산서(교량부)'!$A$1:$Q$84","'총괄표'!$A$1:$M$12","'시행현황'!$A$1:$G$12","'표지'!$A$1:$N$27","'정산서(절.성토부)'!$A$3:$Q$7"}</definedName>
    <definedName name="토류판">#REF!</definedName>
    <definedName name="토목" hidden="1">{#N/A,#N/A,FALSE,"CCTV"}</definedName>
    <definedName name="토목_1" hidden="1">{#N/A,#N/A,FALSE,"단가표지"}</definedName>
    <definedName name="토목_2" hidden="1">{#N/A,#N/A,FALSE,"단가표지"}</definedName>
    <definedName name="토목_3" hidden="1">{#N/A,#N/A,FALSE,"단가표지"}</definedName>
    <definedName name="토목0728" hidden="1">{#N/A,#N/A,FALSE,"Sheet1"}</definedName>
    <definedName name="토목1">#REF!</definedName>
    <definedName name="토목2">#REF!</definedName>
    <definedName name="토목견적" hidden="1">{#N/A,#N/A,FALSE,"골재소요량";#N/A,#N/A,FALSE,"골재소요량"}</definedName>
    <definedName name="토목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목공사" hidden="1">{"'Sheet1'!$A$4:$M$21","'Sheet1'!$J$17:$K$19"}</definedName>
    <definedName name="토목공사_1" hidden="1">{#N/A,#N/A,FALSE,"이태원철근"}</definedName>
    <definedName name="토목공사_2" hidden="1">{#N/A,#N/A,FALSE,"이태원철근"}</definedName>
    <definedName name="토목공사_3" hidden="1">{#N/A,#N/A,FALSE,"이태원철근"}</definedName>
    <definedName name="토목공사_4" hidden="1">{#N/A,#N/A,FALSE,"이태원철근"}</definedName>
    <definedName name="토목공사강릉" hidden="1">#REF!</definedName>
    <definedName name="토목공사계약3" hidden="1">{#N/A,#N/A,FALSE,"CCTV"}</definedName>
    <definedName name="토목관급">#REF!</definedName>
    <definedName name="토목기타공사">#REF!</definedName>
    <definedName name="토목내역">#REF!</definedName>
    <definedName name="토목내역2">#REF!</definedName>
    <definedName name="토목내역서" hidden="1">{#N/A,#N/A,FALSE,"CCTV"}</definedName>
    <definedName name="토목대비" hidden="1">#REF!</definedName>
    <definedName name="토목도급">#REF!</definedName>
    <definedName name="토목매숯">#REF!</definedName>
    <definedName name="토목변경" hidden="1">{"'장비'!$A$3:$M$12"}</definedName>
    <definedName name="토목변경요약" hidden="1">#REF!</definedName>
    <definedName name="토목부가">#REF!</definedName>
    <definedName name="토목산재">#REF!</definedName>
    <definedName name="토목설계" hidden="1">{#N/A,#N/A,FALSE,"골재소요량";#N/A,#N/A,FALSE,"골재소요량"}</definedName>
    <definedName name="토목설계_1" hidden="1">{#N/A,#N/A,FALSE,"골재소요량";#N/A,#N/A,FALSE,"골재소요량"}</definedName>
    <definedName name="토목설계_2" hidden="1">{#N/A,#N/A,FALSE,"골재소요량";#N/A,#N/A,FALSE,"골재소요량"}</definedName>
    <definedName name="토목설계_3" hidden="1">{#N/A,#N/A,FALSE,"골재소요량";#N/A,#N/A,FALSE,"골재소요량"}</definedName>
    <definedName name="토목설계_4" hidden="1">{#N/A,#N/A,FALSE,"골재소요량";#N/A,#N/A,FALSE,"골재소요량"}</definedName>
    <definedName name="토목소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목실견적" hidden="1">{#N/A,#N/A,FALSE,"이태원철근"}</definedName>
    <definedName name="토목실견적_1" hidden="1">{#N/A,#N/A,FALSE,"이태원철근"}</definedName>
    <definedName name="토목실견적_2" hidden="1">{#N/A,#N/A,FALSE,"이태원철근"}</definedName>
    <definedName name="토목실견적_3" hidden="1">{#N/A,#N/A,FALSE,"이태원철근"}</definedName>
    <definedName name="토목실견적_4" hidden="1">{#N/A,#N/A,FALSE,"이태원철근"}</definedName>
    <definedName name="토목실내역총괄표" hidden="1">{#N/A,#N/A,FALSE,"CCTV"}</definedName>
    <definedName name="토목실행" hidden="1">{#N/A,#N/A,FALSE,"골재소요량";#N/A,#N/A,FALSE,"골재소요량"}</definedName>
    <definedName name="토목실행내역서" hidden="1">{#N/A,#N/A,FALSE,"CCTV"}</definedName>
    <definedName name="토목실행예산" hidden="1">{"'장비'!$A$3:$M$12"}</definedName>
    <definedName name="토목안전">#REF!</definedName>
    <definedName name="토목예산서" hidden="1">{#N/A,#N/A,FALSE,"현장 NCR 분석";#N/A,#N/A,FALSE,"현장품질감사";#N/A,#N/A,FALSE,"현장품질감사"}</definedName>
    <definedName name="토목이라니깐" hidden="1">{#N/A,#N/A,FALSE,"기안지";#N/A,#N/A,FALSE,"통신지"}</definedName>
    <definedName name="토목이월">#REF!</definedName>
    <definedName name="토목이월1">#REF!</definedName>
    <definedName name="토목자재대">#REF!</definedName>
    <definedName name="토목재고">#REF!</definedName>
    <definedName name="토목점검">#REF!</definedName>
    <definedName name="토목조정분" hidden="1">{"'장비'!$A$3:$M$12"}</definedName>
    <definedName name="토목증">#REF!</definedName>
    <definedName name="토목지입재료비">#REF!</definedName>
    <definedName name="토목집계">#REF!</definedName>
    <definedName name="토목집계표" hidden="1">{#N/A,#N/A,FALSE,"현장 NCR 분석";#N/A,#N/A,FALSE,"현장품질감사";#N/A,#N/A,FALSE,"현장품질감사"}</definedName>
    <definedName name="토목집계표_1" hidden="1">{#N/A,#N/A,FALSE,"현장 NCR 분석";#N/A,#N/A,FALSE,"현장품질감사";#N/A,#N/A,FALSE,"현장품질감사"}</definedName>
    <definedName name="토목p">#REF!</definedName>
    <definedName name="토변경">#REF!,#REF!</definedName>
    <definedName name="토보험">#REF!</definedName>
    <definedName name="토부가">#REF!</definedName>
    <definedName name="토사">#REF!</definedName>
    <definedName name="토사1">#REF!</definedName>
    <definedName name="토사2">#REF!</definedName>
    <definedName name="토사3">#REF!</definedName>
    <definedName name="토사변경">#REF!,#REF!</definedName>
    <definedName name="토사자중">710.185</definedName>
    <definedName name="토안전">#REF!</definedName>
    <definedName name="토압S1">#REF!</definedName>
    <definedName name="토압S2">#REF!</definedName>
    <definedName name="토압W1">#REF!</definedName>
    <definedName name="토압W2">#REF!</definedName>
    <definedName name="토양">#REF!</definedName>
    <definedName name="토이윤">#REF!</definedName>
    <definedName name="토적">#REF!</definedName>
    <definedName name="토적2" localSheetId="0">BlankMacro1</definedName>
    <definedName name="토적2">BlankMacro1</definedName>
    <definedName name="토적계산" hidden="1">#REF!</definedName>
    <definedName name="토적집계">#REF!</definedName>
    <definedName name="토적표" hidden="1">#REF!</definedName>
    <definedName name="토적표01" hidden="1">#REF!</definedName>
    <definedName name="토적표1">#REF!</definedName>
    <definedName name="토지이용">#REF!</definedName>
    <definedName name="토철" hidden="1">{#N/A,#N/A,FALSE,"구조2"}</definedName>
    <definedName name="토출조">{"'중기작업1'!$A$1:$V$18"}</definedName>
    <definedName name="토토토" hidden="1">{#N/A,#N/A,FALSE,"골재소요량";#N/A,#N/A,FALSE,"골재소요량"}</definedName>
    <definedName name="토피">#REF!</definedName>
    <definedName name="토피고">#REF!</definedName>
    <definedName name="토현1가도교">#REF!</definedName>
    <definedName name="토현2가도교">#REF!</definedName>
    <definedName name="톱">#REF!</definedName>
    <definedName name="톱밥퇴비">#REF!</definedName>
    <definedName name="톱H4.0">#REF!</definedName>
    <definedName name="통" hidden="1">{#N/A,#N/A,FALSE,"기안지";#N/A,#N/A,FALSE,"통신지"}</definedName>
    <definedName name="통2">#REF!</definedName>
    <definedName name="통간">#REF!</definedName>
    <definedName name="통계">#N/A</definedName>
    <definedName name="통과점수">#N/A</definedName>
    <definedName name="통관총괄" hidden="1">#REF!</definedName>
    <definedName name="통광갑지">#N/A</definedName>
    <definedName name="통기">#REF!</definedName>
    <definedName name="통기2">60000</definedName>
    <definedName name="통내">#REF!</definedName>
    <definedName name="통설">#REF!</definedName>
    <definedName name="통신">#REF!</definedName>
    <definedName name="통신__기능사">#REF!</definedName>
    <definedName name="통신__내선공">#REF!</definedName>
    <definedName name="통신__설비공">#REF!</definedName>
    <definedName name="통신__외선공">#REF!</definedName>
    <definedName name="통신1공구">#REF!</definedName>
    <definedName name="통신2공구">#REF!</definedName>
    <definedName name="통신관급">#REF!</definedName>
    <definedName name="통신관련기능사_통신기능사001">#REF!</definedName>
    <definedName name="통신관련기능사_통신기능사002">#REF!</definedName>
    <definedName name="통신관련기능사_통신기능사011">#REF!</definedName>
    <definedName name="통신관련기능사_통신기능사982">#REF!</definedName>
    <definedName name="통신관련기능사_통신기능사991">#REF!</definedName>
    <definedName name="통신관련기능사_통신기능사992">#REF!</definedName>
    <definedName name="통신관련기사_통신기사1급001">#REF!</definedName>
    <definedName name="통신관련기사_통신기사1급002">#REF!</definedName>
    <definedName name="통신관련기사_통신기사1급011">#REF!</definedName>
    <definedName name="통신관련기사_통신기사1급982">#REF!</definedName>
    <definedName name="통신관련기사_통신기사1급991">#REF!</definedName>
    <definedName name="통신관련기사_통신기사1급992">#REF!</definedName>
    <definedName name="통신관련산업기사">#N/A</definedName>
    <definedName name="통신관련산업기사_통신기사2급001">#REF!</definedName>
    <definedName name="통신관련산업기사_통신기사2급002">#REF!</definedName>
    <definedName name="통신관련산업기사_통신기사2급011">#REF!</definedName>
    <definedName name="통신관련산업기사_통신기사2급982">#REF!</definedName>
    <definedName name="통신관련산업기사_통신기사2급991">#REF!</definedName>
    <definedName name="통신관련산업기사_통신기사2급992">#REF!</definedName>
    <definedName name="통신금">#REF!</definedName>
    <definedName name="통신기능사">#REF!</definedName>
    <definedName name="통신기사">#REF!</definedName>
    <definedName name="통신기사_1급">#REF!</definedName>
    <definedName name="통신기사_2급">#REF!</definedName>
    <definedName name="통신기사1급">#REF!</definedName>
    <definedName name="통신기사2급">#REF!</definedName>
    <definedName name="통신낙찰율">#REF!</definedName>
    <definedName name="통신내">#REF!</definedName>
    <definedName name="통신내2004">#REF!</definedName>
    <definedName name="통신내선">#REF!</definedName>
    <definedName name="통신내선공">#REF!</definedName>
    <definedName name="통신내선공001">#REF!</definedName>
    <definedName name="통신내선공002">#REF!</definedName>
    <definedName name="통신내선공011">#REF!</definedName>
    <definedName name="통신내선공982">#REF!</definedName>
    <definedName name="통신내선공991">#REF!</definedName>
    <definedName name="통신내선공992">#REF!</definedName>
    <definedName name="통신산업기사">#REF!</definedName>
    <definedName name="통신설2004">#REF!</definedName>
    <definedName name="통신설비">#REF!</definedName>
    <definedName name="통신설비공">#REF!</definedName>
    <definedName name="통신설비공001">#REF!</definedName>
    <definedName name="통신설비공002">#REF!</definedName>
    <definedName name="통신설비공011">#REF!</definedName>
    <definedName name="통신설비공982">#REF!</definedName>
    <definedName name="통신설비공991">#REF!</definedName>
    <definedName name="통신설비공992">#REF!</definedName>
    <definedName name="통신수탁공사비">#N/A</definedName>
    <definedName name="통신외2004">#REF!</definedName>
    <definedName name="통신외선공">#REF!</definedName>
    <definedName name="통신외선공001">#REF!</definedName>
    <definedName name="통신외선공002">#REF!</definedName>
    <definedName name="통신외선공011">#REF!</definedName>
    <definedName name="통신외선공982">#REF!</definedName>
    <definedName name="통신외선공991">#REF!</definedName>
    <definedName name="통신외선공992">#REF!</definedName>
    <definedName name="통신집계" localSheetId="0">BlankMacro1</definedName>
    <definedName name="통신집계">BlankMacro1</definedName>
    <definedName name="통신케2004">#REF!</definedName>
    <definedName name="통신케이블공">#REF!</definedName>
    <definedName name="통신케이블공001">#REF!</definedName>
    <definedName name="통신케이블공002">#REF!</definedName>
    <definedName name="통신케이블공011">#REF!</definedName>
    <definedName name="통신케이블공982">#REF!</definedName>
    <definedName name="통신케이블공991">#REF!</definedName>
    <definedName name="통신케이블공992">#REF!</definedName>
    <definedName name="통영수량">#REF!</definedName>
    <definedName name="통장2" localSheetId="0">BlankMacro1</definedName>
    <definedName name="통장2">BlankMacro1</definedName>
    <definedName name="통장내역1">#REF!</definedName>
    <definedName name="통조림" hidden="1">{#N/A,#N/A,FALSE,"생산성";#N/A,#N/A,FALSE,"인력1";#N/A,#N/A,FALSE,"인력2";#N/A,#N/A,FALSE,"인력3";#N/A,#N/A,FALSE,"인건1";#N/A,#N/A,FALSE,"인건2";#N/A,#N/A,FALSE,"인건3";#N/A,#N/A,FALSE,"인원증감";#N/A,#N/A,FALSE,"인건증감";#N/A,#N/A,FALSE,"표지등"}</definedName>
    <definedName name="통케">#REF!</definedName>
    <definedName name="통합">#N/A</definedName>
    <definedName name="통합사무실Data">#REF!</definedName>
    <definedName name="퇴" hidden="1">{#N/A,#N/A,FALSE,"지침";#N/A,#N/A,FALSE,"환경분석";#N/A,#N/A,FALSE,"Sheet16"}</definedName>
    <definedName name="퇴직">#REF!</definedName>
    <definedName name="퇴직공제">#N/A</definedName>
    <definedName name="퇴직공제부금">#REF!</definedName>
    <definedName name="퇴직공제부금비">#REF!</definedName>
    <definedName name="퇴직급여율">#REF!</definedName>
    <definedName name="퇴직부금비">#REF!</definedName>
    <definedName name="퇴직부금비_산식">#N/A</definedName>
    <definedName name="퇴직세">#REF!</definedName>
    <definedName name="퇴직주민세">#REF!</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투" hidden="1">#REF!</definedName>
    <definedName name="투3" hidden="1">{#N/A,#N/A,FALSE,"배수2"}</definedName>
    <definedName name="투수콘">#REF!</definedName>
    <definedName name="투우자">{"'자리배치도'!$AG$1:$CI$28"}</definedName>
    <definedName name="투입">#REF!</definedName>
    <definedName name="투자.2">#REF!</definedName>
    <definedName name="투자액">#REF!</definedName>
    <definedName name="투찰">[0]!_qa07</definedName>
    <definedName name="투찰_1" hidden="1">{#N/A,#N/A,FALSE,"단가표지"}</definedName>
    <definedName name="투찰_2" hidden="1">{#N/A,#N/A,FALSE,"단가표지"}</definedName>
    <definedName name="투찰_3" hidden="1">{#N/A,#N/A,FALSE,"단가표지"}</definedName>
    <definedName name="투찰서_2">#N/A</definedName>
    <definedName name="투찰서_3">[0]!_qa15</definedName>
    <definedName name="투찰서2">[0]!_qa16</definedName>
    <definedName name="투찰예정가50" hidden="1">{"'장비'!$A$3:$M$12"}</definedName>
    <definedName name="투찰예정본부장" hidden="1">{"'장비'!$A$3:$M$12"}</definedName>
    <definedName name="투찰율1">0.83</definedName>
    <definedName name="투찰율2">0.75</definedName>
    <definedName name="투찰율3">0.7</definedName>
    <definedName name="투찰조">#N/A</definedName>
    <definedName name="투찰표" hidden="1">{#N/A,#N/A,FALSE,"부대1"}</definedName>
    <definedName name="투ㅛㄷㄹ" hidden="1">{#N/A,#N/A,FALSE,"단가표지"}</definedName>
    <definedName name="툿" hidden="1">{#N/A,#N/A,FALSE,"사업총괄";#N/A,#N/A,FALSE,"장비사업";#N/A,#N/A,FALSE,"철구사업";#N/A,#N/A,FALSE,"준설사업"}</definedName>
    <definedName name="트레이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트렌치터파기">#REF!</definedName>
    <definedName name="특">{"서울냉천 3차( 5. 6-7).xls","Sheet1"}</definedName>
    <definedName name="특_별__인_부">#REF!</definedName>
    <definedName name="특_별_인_부">#REF!</definedName>
    <definedName name="특_수_화__공">#REF!</definedName>
    <definedName name="특고">#REF!</definedName>
    <definedName name="특고2004">#REF!</definedName>
    <definedName name="특고압케이블전공">#REF!</definedName>
    <definedName name="특고압케이블전공001">#REF!</definedName>
    <definedName name="특고압케이블전공002">#REF!</definedName>
    <definedName name="특고압케이블전공011">#REF!</definedName>
    <definedName name="특고압케이블전공982">#REF!</definedName>
    <definedName name="특고압케이블전공991">#REF!</definedName>
    <definedName name="특고압케이블전공992">#REF!</definedName>
    <definedName name="특급">#REF!</definedName>
    <definedName name="특급기술자">#REF!</definedName>
    <definedName name="특급기술자노무비">#N/A</definedName>
    <definedName name="특급원자력비파괴시험">#REF!</definedName>
    <definedName name="특급원자력비파괴시험공001">#REF!</definedName>
    <definedName name="특급원자력비파괴시험공002">#REF!</definedName>
    <definedName name="특급원자력비파괴시험공011">#REF!</definedName>
    <definedName name="특급원자력비파괴시험공982">#REF!</definedName>
    <definedName name="특급원자력비파괴시험공991">#REF!</definedName>
    <definedName name="특급원자력비파괴시험공992">#REF!</definedName>
    <definedName name="특급자">#N/A</definedName>
    <definedName name="특기시방" hidden="1">#REF!</definedName>
    <definedName name="특기시방서" hidden="1">{#N/A,#N/A,FALSE,"단가표지"}</definedName>
    <definedName name="특기조건">#REF!</definedName>
    <definedName name="특별">#REF!</definedName>
    <definedName name="특별_인부">#REF!</definedName>
    <definedName name="특별2004">#REF!</definedName>
    <definedName name="특별인부">#REF!</definedName>
    <definedName name="특별인부001">#REF!</definedName>
    <definedName name="특별인부002">#REF!</definedName>
    <definedName name="특별인부011">#REF!</definedName>
    <definedName name="특별인부982">#REF!</definedName>
    <definedName name="특별인부991">#REF!</definedName>
    <definedName name="특별인부992">#REF!</definedName>
    <definedName name="특별인부노임">#REF!</definedName>
    <definedName name="특수">#N/A</definedName>
    <definedName name="특수및기타건설공사">#REF!</definedName>
    <definedName name="특수별표" hidden="1">#REF!</definedName>
    <definedName name="특수비계공">#REF!</definedName>
    <definedName name="특수비계공001">#REF!</definedName>
    <definedName name="특수비계공002">#REF!</definedName>
    <definedName name="특수비계공011">#REF!</definedName>
    <definedName name="특수비계공982">#REF!</definedName>
    <definedName name="특수비계공991">#REF!</definedName>
    <definedName name="특수비계공992">#REF!</definedName>
    <definedName name="특수인부">62000</definedName>
    <definedName name="특수조건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특수화공001">#REF!</definedName>
    <definedName name="특수화공002">#REF!</definedName>
    <definedName name="특수화공011">#REF!</definedName>
    <definedName name="특수화공982">#REF!</definedName>
    <definedName name="특수화공991">#REF!</definedName>
    <definedName name="특수화공992">#REF!</definedName>
    <definedName name="특인">#REF!</definedName>
    <definedName name="특케">#REF!</definedName>
    <definedName name="틀바단면그림">INDIRECT("그림2!a"&amp;#REF!)</definedName>
    <definedName name="틀바단면그림2">INDIRECT("그림2!a"&amp;#REF!)</definedName>
    <definedName name="틀바단면그림3">INDIRECT("그림2!a"&amp;#REF!)</definedName>
    <definedName name="틀바단면그림4">INDIRECT("그림2!a"&amp;#REF!)</definedName>
    <definedName name="티" hidden="1">{#N/A,#N/A,FALSE,"예상손익";#N/A,#N/A,FALSE,"관리분석";#N/A,#N/A,FALSE,"장비분석";#N/A,#N/A,FALSE,"준설분석";#N/A,#N/A,FALSE,"철구분석"}</definedName>
    <definedName name="티경">#N/A</definedName>
    <definedName name="티노">#N/A</definedName>
    <definedName name="티재">#N/A</definedName>
    <definedName name="틴" localSheetId="0">ErrorHandler_1</definedName>
    <definedName name="틴">ErrorHandler_1</definedName>
    <definedName name="틸트">#REF!</definedName>
    <definedName name="팀별계획" hidden="1">{#N/A,#N/A,FALSE,"UNIT";#N/A,#N/A,FALSE,"UNIT";#N/A,#N/A,FALSE,"계정"}</definedName>
    <definedName name="팀장님" hidden="1">#REF!</definedName>
    <definedName name="ㅌㄵㅅ" hidden="1">{#N/A,#N/A,FALSE,"이태원철근"}</definedName>
    <definedName name="ㅍ" hidden="1">{#N/A,#N/A,FALSE,"2~8번"}</definedName>
    <definedName name="ㅍ_1" hidden="1">{#N/A,#N/A,FALSE,"2~8번"}</definedName>
    <definedName name="ㅍ1" hidden="1">{#N/A,#N/A,FALSE,"명세표"}</definedName>
    <definedName name="ㅍ49">#REF!</definedName>
    <definedName name="ㅍ가ㅓㅎ" hidden="1">{#N/A,#N/A,FALSE,"표지목차"}</definedName>
    <definedName name="ㅍ거ㅗ퓨" hidden="1">{#N/A,#N/A,FALSE,"단가표지"}</definedName>
    <definedName name="ㅍ그ㅗㅕㄹ" hidden="1">{#N/A,#N/A,FALSE,"단가표지"}</definedName>
    <definedName name="ㅍㄴㅇㄹ" hidden="1">#REF!</definedName>
    <definedName name="ㅍ라휴" hidden="1">{#N/A,#N/A,FALSE,"단가표지"}</definedName>
    <definedName name="ㅍ룰" hidden="1">{#N/A,#N/A,FALSE,"단가표지"}</definedName>
    <definedName name="ㅍ뤂러훗" hidden="1">{#N/A,#N/A,FALSE,"단가표지"}</definedName>
    <definedName name="ㅍㅁ" hidden="1">{#N/A,#N/A,FALSE,"기안지";#N/A,#N/A,FALSE,"통신지"}</definedName>
    <definedName name="ㅍ스ㅜ러" hidden="1">{#N/A,#N/A,FALSE,"혼합골재"}</definedName>
    <definedName name="ㅍㅇㄴ" hidden="1">#REF!</definedName>
    <definedName name="ㅍㅇㅁㅂ" hidden="1">{#N/A,#N/A,FALSE,"이태원철근"}</definedName>
    <definedName name="ㅍ웋ㅍㅇㄹ햐" hidden="1">{#N/A,#N/A,FALSE,"단가표지"}</definedName>
    <definedName name="ㅍㅈ" hidden="1">{#N/A,#N/A,FALSE,"이태원철근"}</definedName>
    <definedName name="ㅍㅊㅌㅍㅊㅋㅌㅍㅋㅌㅊㅍㅊㅌㅋ">{"'자리배치도'!$AG$1:$CI$28"}</definedName>
    <definedName name="ㅍㅊ타ㅕㅎㄺ호" hidden="1">{#N/A,#N/A,FALSE,"표지목차"}</definedName>
    <definedName name="ㅍㅊ혀솧ㅅㄱ" hidden="1">{#N/A,#N/A,FALSE,"운반시간"}</definedName>
    <definedName name="ㅍ춫" hidden="1">{#N/A,#N/A,FALSE,"골재소요량";#N/A,#N/A,FALSE,"골재소요량"}</definedName>
    <definedName name="ㅍ츄" hidden="1">{#N/A,#N/A,FALSE,"골재소요량";#N/A,#N/A,FALSE,"골재소요량"}</definedName>
    <definedName name="ㅍ츌ㅇ퓨ㅍ" hidden="1">{#N/A,#N/A,FALSE,"단가표지"}</definedName>
    <definedName name="ㅍ츌휴" hidden="1">{#N/A,#N/A,FALSE,"혼합골재"}</definedName>
    <definedName name="ㅍ츝" hidden="1">{#N/A,#N/A,FALSE,"표지목차"}</definedName>
    <definedName name="ㅍㅋㅌㅊㅍㅇㄷ" hidden="1">#REF!</definedName>
    <definedName name="ㅍㅍ" hidden="1">{#N/A,#N/A,TRUE,"토적및재료집계";#N/A,#N/A,TRUE,"토적및재료집계";#N/A,#N/A,TRUE,"단위량"}</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ㅍ" hidden="1">#REF!</definedName>
    <definedName name="ㅍㅍㅍㅍㄹ" hidden="1">{#N/A,#N/A,FALSE,"운반시간"}</definedName>
    <definedName name="ㅍㅍㅍㅍ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ㅍㅍㅍㅍㅍ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ㅍㅍㅍㅍㅍㅍㅍ" hidden="1">{#N/A,#N/A,FALSE,"이태원철근"}</definedName>
    <definedName name="ㅍㅍㅍㅍㅍㅍㅍㅍ" hidden="1">{#N/A,#N/A,FALSE,"표지목차"}</definedName>
    <definedName name="ㅍ팧" hidden="1">{#N/A,#N/A,FALSE,"조골재"}</definedName>
    <definedName name="ㅍ퍄ㅐㅅ" hidden="1">{#N/A,#N/A,FALSE,"단가표지"}</definedName>
    <definedName name="ㅍ퍼ㅏㅕㄹ홋" hidden="1">{#N/A,#N/A,FALSE,"조골재"}</definedName>
    <definedName name="ㅍ표지" hidden="1">{#N/A,#N/A,FALSE,"전열산출서"}</definedName>
    <definedName name="ㅍ프프ㅡㅍ">#REF!</definedName>
    <definedName name="ㅍㅎㄷ" hidden="1">{#N/A,#N/A,FALSE,"이태원철근"}</definedName>
    <definedName name="ㅍㅎㅈㄷㅂ" hidden="1">{#N/A,#N/A,FALSE,"조골재"}</definedName>
    <definedName name="ㅍ헐햐ㅗ" hidden="1">{#N/A,#N/A,FALSE,"조골재"}</definedName>
    <definedName name="ㅍ호ㅗ" hidden="1">{#N/A,#N/A,FALSE,"골재소요량";#N/A,#N/A,FALSE,"골재소요량"}</definedName>
    <definedName name="ㅍ후랴ㅜㅎ풋호" hidden="1">{#N/A,#N/A,FALSE,"운반시간"}</definedName>
    <definedName name="파" hidden="1">{#N/A,#N/A,FALSE,"CCTV"}</definedName>
    <definedName name="파고라노">#REF!</definedName>
    <definedName name="파고라재">#REF!</definedName>
    <definedName name="파군재교" hidden="1">{#N/A,#N/A,FALSE,"단면 제원"}</definedName>
    <definedName name="파도" hidden="1">{#N/A,#N/A,FALSE,"혼합골재"}</definedName>
    <definedName name="파도라면" hidden="1">{#N/A,#N/A,FALSE,"단가표지"}</definedName>
    <definedName name="파라페트강도">#REF!</definedName>
    <definedName name="파래">#REF!</definedName>
    <definedName name="파리" hidden="1">{#N/A,#N/A,FALSE,"혼합골재"}</definedName>
    <definedName name="파상형PE전선관">#N/A</definedName>
    <definedName name="파이1">#REF!</definedName>
    <definedName name="파이2">#REF!</definedName>
    <definedName name="파이프펜던트">#REF!</definedName>
    <definedName name="파일" hidden="1">#REF!</definedName>
    <definedName name="파일1간격">0.6</definedName>
    <definedName name="파일4" hidden="1">#REF!</definedName>
    <definedName name="파일간격">1.3</definedName>
    <definedName name="파일견적용">#N/A</definedName>
    <definedName name="파일공사">#REF!</definedName>
    <definedName name="파일길이">#REF!</definedName>
    <definedName name="파일내역" hidden="1">0</definedName>
    <definedName name="파일산출3" hidden="1">#REF!</definedName>
    <definedName name="파일수량2">#REF!,#REF!</definedName>
    <definedName name="파일종갯수">#REF!</definedName>
    <definedName name="파일횡갯수">#REF!</definedName>
    <definedName name="파주">#REF!</definedName>
    <definedName name="파주보고최종4.26" hidden="1">{#N/A,#N/A,FALSE,"현장 NCR 분석";#N/A,#N/A,FALSE,"현장품질감사";#N/A,#N/A,FALSE,"현장품질감사"}</definedName>
    <definedName name="파파">#REF!</definedName>
    <definedName name="파파파">#REF!</definedName>
    <definedName name="파푸령" hidden="1">{#N/A,#N/A,FALSE,"혼합골재"}</definedName>
    <definedName name="파ㅠㅐㅅ" hidden="1">{#N/A,#N/A,FALSE,"단가표지"}</definedName>
    <definedName name="파ㅣㅎㄹㅇ" hidden="1">{#N/A,#N/A,FALSE,"배수1"}</definedName>
    <definedName name="파ㅣㅓㅇ라ㅣ퓨ㅏ" hidden="1">{#N/A,#N/A,FALSE,"2~8번"}</definedName>
    <definedName name="판관비2">#N/A</definedName>
    <definedName name="판관비FM">#REF!</definedName>
    <definedName name="판넬">#REF!</definedName>
    <definedName name="판넬__조립공">#REF!</definedName>
    <definedName name="판넬보온히팅">#REF!</definedName>
    <definedName name="판넬자재">#N/A</definedName>
    <definedName name="판넬조립공001">#REF!</definedName>
    <definedName name="판넬조립공002">#REF!</definedName>
    <definedName name="판넬조립공011">#REF!</definedName>
    <definedName name="판넬조립공982">#REF!</definedName>
    <definedName name="판넬조립공991">#REF!</definedName>
    <definedName name="판넬조립공992">#REF!</definedName>
    <definedName name="판넬히팅노">#REF!</definedName>
    <definedName name="판매" hidden="1">{#N/A,#N/A,FALSE,"생산성";#N/A,#N/A,FALSE,"인력1";#N/A,#N/A,FALSE,"인력2";#N/A,#N/A,FALSE,"인력3";#N/A,#N/A,FALSE,"인건1";#N/A,#N/A,FALSE,"인건2";#N/A,#N/A,FALSE,"인건3";#N/A,#N/A,FALSE,"인원증감";#N/A,#N/A,FALSE,"인건증감";#N/A,#N/A,FALSE,"표지등"}</definedName>
    <definedName name="판석">#REF!</definedName>
    <definedName name="판석노">#REF!</definedName>
    <definedName name="판석재">#REF!</definedName>
    <definedName name="판석포장노무">#REF!</definedName>
    <definedName name="팔" hidden="1">#REF!</definedName>
    <definedName name="八11" hidden="1">{#N/A,#N/A,FALSE,"조골재"}</definedName>
    <definedName name="팔월">#REF!</definedName>
    <definedName name="팔팔">#N/A</definedName>
    <definedName name="팔팔팔">#N/A</definedName>
    <definedName name="팔팔팔팔">#N/A</definedName>
    <definedName name="팔호표">#REF!</definedName>
    <definedName name="팥배나무H3.0">#REF!</definedName>
    <definedName name="패랭이노무">#REF!</definedName>
    <definedName name="패랭이재료">#REF!</definedName>
    <definedName name="팩스대수">#REF!</definedName>
    <definedName name="팬" hidden="1">{#N/A,#N/A,TRUE,"공조기";#N/A,#N/A,TRUE,"FCU";#N/A,#N/A,TRUE,"1-20";#N/A,#N/A,TRUE,"21-40";#N/A,#N/A,TRUE,"41-60";#N/A,#N/A,TRUE,"61-80";#N/A,#N/A,TRUE,"화장실부하집계";#N/A,#N/A,TRUE,"화장실"}</definedName>
    <definedName name="팻스">#REF!</definedName>
    <definedName name="팽">#REF!</definedName>
    <definedName name="팽나무H4.0">#REF!</definedName>
    <definedName name="팽창">#REF!</definedName>
    <definedName name="팽창보급수">#REF!</definedName>
    <definedName name="팽창탱크">#REF!</definedName>
    <definedName name="퍼랴ㅐㅎㄹ" hidden="1">{#N/A,#N/A,FALSE,"단가표지"}</definedName>
    <definedName name="퍼랴ㅓㄱ" hidden="1">{#N/A,#N/A,FALSE,"단가표지"}</definedName>
    <definedName name="퍼러ㅕㅑㅎㄱ" hidden="1">{#N/A,#N/A,FALSE,"운반시간"}</definedName>
    <definedName name="퍼로ㅕㄱㅎ" hidden="1">{#N/A,#N/A,FALSE,"골재소요량";#N/A,#N/A,FALSE,"골재소요량"}</definedName>
    <definedName name="퍼센트">#REF!</definedName>
    <definedName name="퍼어ㅗ려ㅑㄱ" hidden="1">{#N/A,#N/A,FALSE,"2~8번"}</definedName>
    <definedName name="퍼차" hidden="1">{#N/A,#N/A,FALSE,"혼합골재"}</definedName>
    <definedName name="퍼히ㅗ" hidden="1">{#N/A,#N/A,FALSE,"2~8번"}</definedName>
    <definedName name="펀어ㅗㅇ렫ㄱ" hidden="1">{#N/A,#N/A,FALSE,"단가표지"}</definedName>
    <definedName name="펌프" hidden="1">{#N/A,#N/A,TRUE,"1. 부하계산";#N/A,#N/A,TRUE,"1-1.부하계산기준";#N/A,#N/A,TRUE,"1-2.부하계산방법";#N/A,#N/A,TRUE,"1-3.부하집계";#N/A,#N/A,TRUE,"1-4.부하계산"}</definedName>
    <definedName name="펌프구경">#REF!</definedName>
    <definedName name="펌프카타설7층이상">#REF!</definedName>
    <definedName name="펌프카타설7층이상노">#REF!</definedName>
    <definedName name="펌프카타설무근">#REF!</definedName>
    <definedName name="펌프카타설무근노">#REF!</definedName>
    <definedName name="펌프카타설철근">#REF!</definedName>
    <definedName name="펌프카타설철근노">#REF!</definedName>
    <definedName name="펑ㄹ호ㅕㄳ" hidden="1">{#N/A,#N/A,FALSE,"단가표지"}</definedName>
    <definedName name="페기갑지" hidden="1">#REF!</definedName>
    <definedName name="페기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페이지" hidden="1">{"'Firr(선)'!$AS$1:$AY$62","'Firr(사)'!$AS$1:$AY$62","'Firr(회)'!$AS$1:$AY$62","'Firr(선)'!$L$1:$V$62","'Firr(사)'!$L$1:$V$62","'Firr(회)'!$L$1:$V$62"}</definedName>
    <definedName name="펩시목표" hidden="1">{#N/A,#N/A,FALSE,"생산성";#N/A,#N/A,FALSE,"인력1";#N/A,#N/A,FALSE,"인력2";#N/A,#N/A,FALSE,"인력3";#N/A,#N/A,FALSE,"인건1";#N/A,#N/A,FALSE,"인건2";#N/A,#N/A,FALSE,"인건3";#N/A,#N/A,FALSE,"인원증감";#N/A,#N/A,FALSE,"인건증감";#N/A,#N/A,FALSE,"표지등"}</definedName>
    <definedName name="펴">#REF!</definedName>
    <definedName name="펴겨ㅑㅓ햐ㅐㅅ" hidden="1">{#N/A,#N/A,FALSE,"혼합골재"}</definedName>
    <definedName name="편입토지조서">#REF!</definedName>
    <definedName name="편지기초" hidden="1">{#N/A,#N/A,FALSE,"배수2"}</definedName>
    <definedName name="평">#REF!</definedName>
    <definedName name="평가기준">#N/A</definedName>
    <definedName name="평가기준금액">#REF!</definedName>
    <definedName name="평가단">#REF!</definedName>
    <definedName name="평가대상지역">#REF!</definedName>
    <definedName name="평균높이">#REF!</definedName>
    <definedName name="평균단가">#REF!</definedName>
    <definedName name="평균연장공주">#REF!</definedName>
    <definedName name="평균연장서천">#REF!</definedName>
    <definedName name="평균이자율" hidden="1">#REF!</definedName>
    <definedName name="평균점수">#REF!</definedName>
    <definedName name="평균H">#REF!</definedName>
    <definedName name="평단가">#REF!</definedName>
    <definedName name="평당">#REF!</definedName>
    <definedName name="평당견적" hidden="1">#REF!</definedName>
    <definedName name="평당단가" hidden="1">#REF!</definedName>
    <definedName name="평야부자재">#REF!</definedName>
    <definedName name="평의자">#REF!</definedName>
    <definedName name="평의자노">#REF!</definedName>
    <definedName name="평의자재">#REF!</definedName>
    <definedName name="평택요이소방" hidden="1">#REF!</definedName>
    <definedName name="평형_48세대">#N/A</definedName>
    <definedName name="평형구분">#REF!</definedName>
    <definedName name="평화설비">#REF!</definedName>
    <definedName name="폐_기_물___수_수_료">#N/A</definedName>
    <definedName name="폐_기_물___처_리_비">#N/A</definedName>
    <definedName name="폐공집계1" hidden="1">{#N/A,#N/A,FALSE,"운반시간"}</definedName>
    <definedName name="폐공집계2" hidden="1">{#N/A,#N/A,FALSE,"골재소요량";#N/A,#N/A,FALSE,"골재소요량"}</definedName>
    <definedName name="폐공집계3" hidden="1">{#N/A,#N/A,FALSE,"2~8번"}</definedName>
    <definedName name="폐공집계4" hidden="1">{#N/A,#N/A,FALSE,"2~8번"}</definedName>
    <definedName name="폐공집계5" hidden="1">{#N/A,#N/A,FALSE,"조골재"}</definedName>
    <definedName name="폐기" hidden="1">#REF!</definedName>
    <definedName name="폐기물">#REF!</definedName>
    <definedName name="폐기물내역서">#REF!</definedName>
    <definedName name="폐기물수량산출서" hidden="1">#REF!</definedName>
    <definedName name="폐기물수수료">#N/A</definedName>
    <definedName name="폐기물예산">#REF!,#REF!</definedName>
    <definedName name="폐기물집계표">[0]!_35574</definedName>
    <definedName name="폐기물처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3">#REF!</definedName>
    <definedName name="폐기물처리비용">#REF!</definedName>
    <definedName name="폐수처리장">#N/A</definedName>
    <definedName name="폐추니아">#REF!</definedName>
    <definedName name="폐추니아노무">#REF!</definedName>
    <definedName name="폐추니아재료">#REF!</definedName>
    <definedName name="포" hidden="1">{#N/A,#N/A,FALSE,"골재소요량";#N/A,#N/A,FALSE,"골재소요량"}</definedName>
    <definedName name="포____장____공">#REF!</definedName>
    <definedName name="포___설___공">#REF!</definedName>
    <definedName name="포___장___공">#REF!</definedName>
    <definedName name="포기3" hidden="1">{#N/A,#N/A,FALSE,"표지목차"}</definedName>
    <definedName name="포기3_1" hidden="1">{#N/A,#N/A,FALSE,"표지목차"}</definedName>
    <definedName name="포기3_2" hidden="1">{#N/A,#N/A,FALSE,"표지목차"}</definedName>
    <definedName name="포기3_3" hidden="1">{#N/A,#N/A,FALSE,"표지목차"}</definedName>
    <definedName name="포당초">#REF!,#REF!</definedName>
    <definedName name="포변경">#REF!,#REF!</definedName>
    <definedName name="포설공">#N/A</definedName>
    <definedName name="포설공001">#REF!</definedName>
    <definedName name="포설공002">#REF!</definedName>
    <definedName name="포설공011">#REF!</definedName>
    <definedName name="포설공982">#REF!</definedName>
    <definedName name="포설공991">#REF!</definedName>
    <definedName name="포설공992">#REF!</definedName>
    <definedName name="포설단산">#REF!</definedName>
    <definedName name="포장">#REF!</definedName>
    <definedName name="포장1">#REF!</definedName>
    <definedName name="포장2" hidden="1">{#N/A,#N/A,FALSE,"포장1";#N/A,#N/A,FALSE,"포장1"}</definedName>
    <definedName name="포장2월ocf" hidden="1">{#N/A,#N/A,FALSE,"지침";#N/A,#N/A,FALSE,"환경분석";#N/A,#N/A,FALSE,"Sheet16"}</definedName>
    <definedName name="포장3">#REF!</definedName>
    <definedName name="포장4">#REF!</definedName>
    <definedName name="포장5">#REF!</definedName>
    <definedName name="포장6">#REF!</definedName>
    <definedName name="포장7">#REF!</definedName>
    <definedName name="포장8">#REF!</definedName>
    <definedName name="포장갑" hidden="1">{#N/A,#N/A,FALSE,"현장 NCR 분석";#N/A,#N/A,FALSE,"현장품질감사";#N/A,#N/A,FALSE,"현장품질감사"}</definedName>
    <definedName name="포장공">#REF!</definedName>
    <definedName name="포장공001">#REF!</definedName>
    <definedName name="포장공002">#REF!</definedName>
    <definedName name="포장공011">#REF!</definedName>
    <definedName name="포장공1">#REF!</definedName>
    <definedName name="포장공2">#REF!</definedName>
    <definedName name="포장공3">#REF!</definedName>
    <definedName name="포장공982">#REF!</definedName>
    <definedName name="포장공991">#REF!</definedName>
    <definedName name="포장공992">#REF!</definedName>
    <definedName name="포장공사">#REF!</definedName>
    <definedName name="포장공수량집계표">#REF!</definedName>
    <definedName name="포장공A985">#REF!</definedName>
    <definedName name="포장구분">#REF!</definedName>
    <definedName name="포장단가" hidden="1">{#N/A,#N/A,FALSE,"포장단가"}</definedName>
    <definedName name="포장단가1" hidden="1">{#N/A,#N/A,FALSE,"포장단가"}</definedName>
    <definedName name="포장단가3" hidden="1">{#N/A,#N/A,FALSE,"포장단가"}</definedName>
    <definedName name="포장단가4" hidden="1">{#N/A,#N/A,FALSE,"포장단가"}</definedName>
    <definedName name="포장단위수량">#REF!</definedName>
    <definedName name="포장라인">#REF!</definedName>
    <definedName name="포장비">#REF!</definedName>
    <definedName name="포장상태">#REF!</definedName>
    <definedName name="포장을" hidden="1">{#N/A,#N/A,FALSE,"현장 NCR 분석";#N/A,#N/A,FALSE,"현장품질감사";#N/A,#N/A,FALSE,"현장품질감사"}</definedName>
    <definedName name="포장을1" hidden="1">{#N/A,#N/A,FALSE,"현장 NCR 분석";#N/A,#N/A,FALSE,"현장품질감사";#N/A,#N/A,FALSE,"현장품질감사"}</definedName>
    <definedName name="포장을14" hidden="1">{#N/A,#N/A,FALSE,"현장 NCR 분석";#N/A,#N/A,FALSE,"현장품질감사";#N/A,#N/A,FALSE,"현장품질감사"}</definedName>
    <definedName name="포장재" hidden="1">{#N/A,#N/A,FALSE,"골재소요량";#N/A,#N/A,FALSE,"골재소요량"}</definedName>
    <definedName name="포장재집계" hidden="1">{#N/A,#N/A,FALSE,"2~8번"}</definedName>
    <definedName name="포장조서">#REF!</definedName>
    <definedName name="포장조서2" hidden="1">{#N/A,#N/A,FALSE,"골재소요량";#N/A,#N/A,FALSE,"골재소요량"}</definedName>
    <definedName name="포장집계">#REF!</definedName>
    <definedName name="포장추가분">#REF!</definedName>
    <definedName name="포장층_높이">#REF!</definedName>
    <definedName name="포장층두께">#N/A</definedName>
    <definedName name="포장포장" hidden="1">{#N/A,#N/A,FALSE,"포장1";#N/A,#N/A,FALSE,"포장1"}</definedName>
    <definedName name="포장DATA">#REF!</definedName>
    <definedName name="포장h">#REF!</definedName>
    <definedName name="포장ocf" hidden="1">{#N/A,#N/A,FALSE,"지침";#N/A,#N/A,FALSE,"환경분석";#N/A,#N/A,FALSE,"Sheet16"}</definedName>
    <definedName name="포지머ㅗㄱㄷㅌ킹1" hidden="1">{#N/A,#N/A,FALSE,"표지목차"}</definedName>
    <definedName name="포천석노">#REF!</definedName>
    <definedName name="포천석재">#REF!</definedName>
    <definedName name="포천압축">#REF!</definedName>
    <definedName name="포항내역서">#REF!</definedName>
    <definedName name="포허">#REF!</definedName>
    <definedName name="포화">#REF!</definedName>
    <definedName name="포휴ㅗㅓㅀ" hidden="1">{#N/A,#N/A,FALSE,"단가표지"}</definedName>
    <definedName name="포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폭">#REF!</definedName>
    <definedName name="폭폭">#REF!</definedName>
    <definedName name="폴호" hidden="1">{#N/A,#N/A,FALSE,"단가표지"}</definedName>
    <definedName name="폼">#REF!</definedName>
    <definedName name="폽장2" hidden="1">{#N/A,#N/A,FALSE,"포장1";#N/A,#N/A,FALSE,"포장1"}</definedName>
    <definedName name="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2" hidden="1">#REF!</definedName>
    <definedName name="표면보호경비">#REF!</definedName>
    <definedName name="표면보호노무비">#REF!</definedName>
    <definedName name="표면보호재료비">#REF!</definedName>
    <definedName name="표면처리">#REF!</definedName>
    <definedName name="표묜">#REF!</definedName>
    <definedName name="표복사">#REF!</definedName>
    <definedName name="표석">#REF!</definedName>
    <definedName name="표준">#REF!</definedName>
    <definedName name="표준안전관리비">#REF!</definedName>
    <definedName name="표준일위">#REF!</definedName>
    <definedName name="표준일위대가">#REF!</definedName>
    <definedName name="표준편차">#REF!</definedName>
    <definedName name="표지">#REF!</definedName>
    <definedName name="표지_공량산출집계표" hidden="1">{#N/A,#N/A,FALSE,"명세표"}</definedName>
    <definedName name="표지..." hidden="1">{"'단계별시설공사비'!$A$3:$K$51"}</definedName>
    <definedName name="표지001">#N/A</definedName>
    <definedName name="표지01">#N/A</definedName>
    <definedName name="표지1" hidden="1">{#N/A,#N/A,FALSE,"속도"}</definedName>
    <definedName name="표지11" hidden="1">{#N/A,#N/A,FALSE,"2~8번"}</definedName>
    <definedName name="표지14" localSheetId="0">BlankMacro1</definedName>
    <definedName name="표지14">BlankMacro1</definedName>
    <definedName name="표지2" hidden="1">#REF!</definedName>
    <definedName name="표지2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3" hidden="1">{#N/A,#N/A,FALSE,"이정표"}</definedName>
    <definedName name="표지4" hidden="1">#REF!</definedName>
    <definedName name="표지5" hidden="1">{#N/A,#N/A,FALSE,"전력간선"}</definedName>
    <definedName name="표지다">#REF!</definedName>
    <definedName name="표지로">#REF!</definedName>
    <definedName name="표지중">#REF!</definedName>
    <definedName name="표지지" hidden="1">{#N/A,#N/A,FALSE,"표지"}</definedName>
    <definedName name="표지최하">#REF!</definedName>
    <definedName name="표지폭" hidden="1">{#N/A,#N/A,FALSE,"표지목차"}</definedName>
    <definedName name="표지표지4" hidden="1">{#N/A,#N/A,FALSE,"전력간선"}</definedName>
    <definedName name="표지하">#REF!</definedName>
    <definedName name="표층기계경비">#REF!</definedName>
    <definedName name="표층기계계">#REF!</definedName>
    <definedName name="표층기계노무비">#REF!</definedName>
    <definedName name="표층기계살수경비">#REF!</definedName>
    <definedName name="표층기계살수계">#REF!</definedName>
    <definedName name="표층기계살수노무비">#REF!</definedName>
    <definedName name="표층기계살수재료비">#REF!</definedName>
    <definedName name="표층기계인건비경비">#REF!</definedName>
    <definedName name="표층기계인건비계">#REF!</definedName>
    <definedName name="표층기계인건비노무비">#REF!</definedName>
    <definedName name="표층기계인건비재료비">#REF!</definedName>
    <definedName name="표층기계재료비">#REF!</definedName>
    <definedName name="표층기계전압단뎀경비">#REF!</definedName>
    <definedName name="표층기계전압단뎀계">#REF!</definedName>
    <definedName name="표층기계전압단뎀노무비">#REF!</definedName>
    <definedName name="표층기계전압단뎀재료비">#REF!</definedName>
    <definedName name="표층기계전압마카담경비">#REF!</definedName>
    <definedName name="표층기계전압마카담계">#REF!</definedName>
    <definedName name="표층기계전압마카담노무비">#REF!</definedName>
    <definedName name="표층기계전압마카담재료비">#REF!</definedName>
    <definedName name="표층기계전압타이어경비">#REF!</definedName>
    <definedName name="표층기계전압타이어계">#REF!</definedName>
    <definedName name="표층기계전압타이어노무비">#REF!</definedName>
    <definedName name="표층기계전압타이어재료비">#REF!</definedName>
    <definedName name="표층기계포설경비">#REF!</definedName>
    <definedName name="표층기계포설계">#REF!</definedName>
    <definedName name="표층기계포설노무비">#REF!</definedName>
    <definedName name="표층기계포설재료비">#REF!</definedName>
    <definedName name="표층소규모경비">#REF!</definedName>
    <definedName name="표층소규모계">#REF!</definedName>
    <definedName name="표층소규모노무비">#REF!</definedName>
    <definedName name="표층소규모재료비">#REF!</definedName>
    <definedName name="표층소규모전압단뎀경비">#REF!</definedName>
    <definedName name="표층소규모전압단뎀계">#REF!</definedName>
    <definedName name="표층소규모전압단뎀노무비">#REF!</definedName>
    <definedName name="표층소규모전압단뎀재료비">#REF!</definedName>
    <definedName name="표층소규모포설경비">#REF!</definedName>
    <definedName name="표층소규모포설계">#REF!</definedName>
    <definedName name="표층소규모포설노무비">#REF!</definedName>
    <definedName name="표층소규모포설재료비">#REF!</definedName>
    <definedName name="표층인력경비">#REF!</definedName>
    <definedName name="표층인력계">#REF!</definedName>
    <definedName name="표층인력노무비">#REF!</definedName>
    <definedName name="표층인력살수경비">#REF!</definedName>
    <definedName name="표층인력살수계">#REF!</definedName>
    <definedName name="표층인력살수노무비">#REF!</definedName>
    <definedName name="표층인력살수재료비">#REF!</definedName>
    <definedName name="표층인력재료비">#REF!</definedName>
    <definedName name="표층인력전압단뎀경비">#REF!</definedName>
    <definedName name="표층인력전압단뎀계">#REF!</definedName>
    <definedName name="표층인력전압단뎀노무비">#REF!</definedName>
    <definedName name="표층인력전압단뎀재료비">#REF!</definedName>
    <definedName name="표층인력전압마카담경비">#REF!</definedName>
    <definedName name="표층인력전압마카담계">#REF!</definedName>
    <definedName name="표층인력전압마카담노무비">#REF!</definedName>
    <definedName name="표층인력전압마카담재료비">#REF!</definedName>
    <definedName name="표층인력전압타이어경비">#REF!</definedName>
    <definedName name="표층인력전압타이어계">#REF!</definedName>
    <definedName name="표층인력전압타이어노무비">#REF!</definedName>
    <definedName name="표층인력전압타이어재료비">#REF!</definedName>
    <definedName name="표층인력포설경비">#REF!</definedName>
    <definedName name="표층인력포설계">#REF!</definedName>
    <definedName name="표층인력포설노무비">#REF!</definedName>
    <definedName name="표층인력포설재료비">#REF!</definedName>
    <definedName name="표층진동경비">#REF!</definedName>
    <definedName name="표층진동계">#REF!</definedName>
    <definedName name="표층진동노무비">#REF!</definedName>
    <definedName name="표층진동살수경비">#REF!</definedName>
    <definedName name="표층진동살수계">#REF!</definedName>
    <definedName name="표층진동살수노무비">#REF!</definedName>
    <definedName name="표층진동살수재료비">#REF!</definedName>
    <definedName name="표층진동재료비">#REF!</definedName>
    <definedName name="표층진동전압경비">#REF!</definedName>
    <definedName name="표층진동전압계">#REF!</definedName>
    <definedName name="표층진동전압노무비">#REF!</definedName>
    <definedName name="표층진동전압재료비">#REF!</definedName>
    <definedName name="표층진동포설경비">#REF!</definedName>
    <definedName name="표층진동포설계">#REF!</definedName>
    <definedName name="표층진동포설노무비">#REF!</definedName>
    <definedName name="표층진동포설재료비">#REF!</definedName>
    <definedName name="표품_통신_6_13">#REF!</definedName>
    <definedName name="표ㅜ" hidden="1">{#N/A,#N/A,FALSE,"조골재"}</definedName>
    <definedName name="ㅍㅜ" hidden="1">{#N/A,#N/A,FALSE,"토공2"}</definedName>
    <definedName name="푸른하늘">#REF!</definedName>
    <definedName name="푸호ㅠㄹ휴" hidden="1">{#N/A,#N/A,FALSE,"운반시간"}</definedName>
    <definedName name="푸ㅕㅑㄳㅎ" hidden="1">{#N/A,#N/A,FALSE,"2~8번"}</definedName>
    <definedName name="푸ㅠㅑㅐ셔소" hidden="1">{#N/A,#N/A,FALSE,"단가표지"}</definedName>
    <definedName name="풀박스">#N/A</definedName>
    <definedName name="품_______">#N/A</definedName>
    <definedName name="품_______________명">#REF!</definedName>
    <definedName name="품___________명">#REF!</definedName>
    <definedName name="품5">#REF!</definedName>
    <definedName name="품9">ROUND(#REF!*0.0254,3)</definedName>
    <definedName name="품명">#REF!</definedName>
    <definedName name="품명LIST">#REF!</definedName>
    <definedName name="품목분류">#REF!</definedName>
    <definedName name="품목사양">#REF!</definedName>
    <definedName name="품셈" hidden="1">{#N/A,#N/A,FALSE,"CCTV"}</definedName>
    <definedName name="품셈2" hidden="1">{#N/A,#N/A,FALSE,"CCTV"}</definedName>
    <definedName name="품셈3" hidden="1">{#N/A,#N/A,FALSE,"CCTV"}</definedName>
    <definedName name="품셈4" hidden="1">{#N/A,#N/A,FALSE,"CCTV"}</definedName>
    <definedName name="품셈5" hidden="1">{#N/A,#N/A,FALSE,"CCTV"}</definedName>
    <definedName name="품셈계">#REF!</definedName>
    <definedName name="품셈공종">#REF!</definedName>
    <definedName name="품셈공종1">#REF!</definedName>
    <definedName name="품셈내역" hidden="1">{#N/A,#N/A,FALSE,"현장 NCR 분석";#N/A,#N/A,FALSE,"현장품질감사";#N/A,#N/A,FALSE,"현장품질감사"}</definedName>
    <definedName name="품셈단가">#REF!</definedName>
    <definedName name="품셈단가표">#REF!</definedName>
    <definedName name="품신">#REF!</definedName>
    <definedName name="품위내역서" localSheetId="0">BlankMacro1</definedName>
    <definedName name="품위내역서">BlankMacro1</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서" hidden="1">{#N/A,#N/A,FALSE,"생산성";#N/A,#N/A,FALSE,"인력1";#N/A,#N/A,FALSE,"인력2";#N/A,#N/A,FALSE,"인력3";#N/A,#N/A,FALSE,"인건1";#N/A,#N/A,FALSE,"인건2";#N/A,#N/A,FALSE,"인건3";#N/A,#N/A,FALSE,"인원증감";#N/A,#N/A,FALSE,"인건증감";#N/A,#N/A,FALSE,"표지등"}</definedName>
    <definedName name="품의서1" hidden="1">#REF!</definedName>
    <definedName name="품의서AB">#REF!</definedName>
    <definedName name="품질">#REF!</definedName>
    <definedName name="품질경영">#REF!</definedName>
    <definedName name="품질관리" hidden="1">{#N/A,#N/A,TRUE,"대외공문"}</definedName>
    <definedName name="품질관리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품질관리계">#REF!</definedName>
    <definedName name="풍납동" hidden="1">#REF!</definedName>
    <definedName name="풍납동아파트" hidden="1">#REF!</definedName>
    <definedName name="풍무1">#N/A</definedName>
    <definedName name="풍전2" hidden="1">{#N/A,#N/A,TRUE,"손익보고"}</definedName>
    <definedName name="풍화0_3">#REF!</definedName>
    <definedName name="풍화12_15">#REF!</definedName>
    <definedName name="풍화15_18">#REF!</definedName>
    <definedName name="풍화3_6">#REF!</definedName>
    <definedName name="풍화6_9">#REF!</definedName>
    <definedName name="풍화9_12">#REF!</definedName>
    <definedName name="풍화암">#REF!</definedName>
    <definedName name="풍화암1">#REF!</definedName>
    <definedName name="풍화암C">#N/A</definedName>
    <definedName name="풍화암L">#N/A</definedName>
    <definedName name="풍화토">#REF!</definedName>
    <definedName name="풍화합">#REF!</definedName>
    <definedName name="풓ㄹ후" hidden="1">{#N/A,#N/A,FALSE,"조골재"}</definedName>
    <definedName name="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퓨푸" hidden="1">{#N/A,#N/A,FALSE,"표지목차"}</definedName>
    <definedName name="퓨퓨퓨" hidden="1">#REF!</definedName>
    <definedName name="퓨퓽" hidden="1">{#N/A,#N/A,FALSE,"생산성";#N/A,#N/A,FALSE,"인력1";#N/A,#N/A,FALSE,"인력2";#N/A,#N/A,FALSE,"인력3";#N/A,#N/A,FALSE,"인건1";#N/A,#N/A,FALSE,"인건2";#N/A,#N/A,FALSE,"인건3";#N/A,#N/A,FALSE,"인원증감";#N/A,#N/A,FALSE,"인건증감";#N/A,#N/A,FALSE,"표지등"}</definedName>
    <definedName name="퓨ㅏㅐㅗㅜ" hidden="1">{#N/A,#N/A,FALSE,"표지목차"}</definedName>
    <definedName name="퓨ㅜ파ㅗㅓ">#REF!,#REF!</definedName>
    <definedName name="퓨ㅜㅏ" hidden="1">{#N/A,#N/A,FALSE,"조골재"}</definedName>
    <definedName name="퓨ㅜㅡ" hidden="1">{#N/A,#N/A,FALSE,"혼합골재"}</definedName>
    <definedName name="퓨ㅠㅎㄹ" hidden="1">{#N/A,#N/A,FALSE,"단가표지"}</definedName>
    <definedName name="퓶츟" hidden="1">{#N/A,#N/A,FALSE,"단가표지"}</definedName>
    <definedName name="퓸" hidden="1">{#N/A,#N/A,FALSE,"사업총괄";#N/A,#N/A,FALSE,"장비사업";#N/A,#N/A,FALSE,"철구사업";#N/A,#N/A,FALSE,"준설사업"}</definedName>
    <definedName name="퓿ㅌ" hidden="1">{#N/A,#N/A,FALSE,"단가표지"}</definedName>
    <definedName name="픃루" hidden="1">{#N/A,#N/A,FALSE,"운반시간"}</definedName>
    <definedName name="프라임코팅75디스트리뷰우터3000경비">#REF!</definedName>
    <definedName name="프라임코팅75디스트리뷰우터3000계">#REF!</definedName>
    <definedName name="프라임코팅75디스트리뷰우터3000노무비">#REF!</definedName>
    <definedName name="프라임코팅75디스트리뷰우터3000살포경비">#REF!</definedName>
    <definedName name="프라임코팅75디스트리뷰우터3000살포계">#REF!</definedName>
    <definedName name="프라임코팅75디스트리뷰우터3000살포노무비">#REF!</definedName>
    <definedName name="프라임코팅75디스트리뷰우터3000살포재료비">#REF!</definedName>
    <definedName name="프라임코팅75디스트리뷰우터3000용해비경비">#REF!</definedName>
    <definedName name="프라임코팅75디스트리뷰우터3000용해비계">#REF!</definedName>
    <definedName name="프라임코팅75디스트리뷰우터3000용해비노무비">#REF!</definedName>
    <definedName name="프라임코팅75디스트리뷰우터3000용해비재료비">#REF!</definedName>
    <definedName name="프라임코팅75디스트리뷰우터3000인건비경비">#REF!</definedName>
    <definedName name="프라임코팅75디스트리뷰우터3000인건비계">#REF!</definedName>
    <definedName name="프라임코팅75디스트리뷰우터3000인건비노무비">#REF!</definedName>
    <definedName name="프라임코팅75디스트리뷰우터3000인건비재료비">#REF!</definedName>
    <definedName name="프라임코팅75디스트리뷰우터3000재료비">#REF!</definedName>
    <definedName name="프라임코팅75디스트리뷰우터3000청소비경비">#REF!</definedName>
    <definedName name="프라임코팅75디스트리뷰우터3000청소비계">#REF!</definedName>
    <definedName name="프라임코팅75디스트리뷰우터3000청소비노무비">#REF!</definedName>
    <definedName name="프라임코팅75디스트리뷰우터3000청소비재료비">#REF!</definedName>
    <definedName name="프라임코팅75아스팔트스프레이어300경비">#REF!</definedName>
    <definedName name="프라임코팅75아스팔트스프레이어300계">#REF!</definedName>
    <definedName name="프라임코팅75아스팔트스프레이어300노무비">#REF!</definedName>
    <definedName name="프라임코팅75아스팔트스프레이어300살포경비">#REF!</definedName>
    <definedName name="프라임코팅75아스팔트스프레이어300살포계">#REF!</definedName>
    <definedName name="프라임코팅75아스팔트스프레이어300살포노무비">#REF!</definedName>
    <definedName name="프라임코팅75아스팔트스프레이어300살포재료비">#REF!</definedName>
    <definedName name="프라임코팅75아스팔트스프레이어300용해비경비">#REF!</definedName>
    <definedName name="프라임코팅75아스팔트스프레이어300용해비계">#REF!</definedName>
    <definedName name="프라임코팅75아스팔트스프레이어300용해비노무비">#REF!</definedName>
    <definedName name="프라임코팅75아스팔트스프레이어300용해비재료비">#REF!</definedName>
    <definedName name="프라임코팅75아스팔트스프레이어300인건비경비">#REF!</definedName>
    <definedName name="프라임코팅75아스팔트스프레이어300인건비계">#REF!</definedName>
    <definedName name="프라임코팅75아스팔트스프레이어300인건비노무비">#REF!</definedName>
    <definedName name="프라임코팅75아스팔트스프레이어300인건비재료비">#REF!</definedName>
    <definedName name="프라임코팅75아스팔트스프레이어300재료비">#REF!</definedName>
    <definedName name="프라임코팅75아스팔트스프레이어300청소비경비">#REF!</definedName>
    <definedName name="프라임코팅75아스팔트스프레이어300청소비계">#REF!</definedName>
    <definedName name="프라임코팅75아스팔트스프레이어300청소비노무비">#REF!</definedName>
    <definedName name="프라임코팅75아스팔트스프레이어300청소비재료비">#REF!</definedName>
    <definedName name="프로" hidden="1">{#N/A,#N/A,FALSE,"단가표지"}</definedName>
    <definedName name="프로파일형태">OFFSET(#REF!,0,0,COUNTA(#REF!),1)</definedName>
    <definedName name="프린ㄷ트">#REF!</definedName>
    <definedName name="프린트">#REF!</definedName>
    <definedName name="프ㅏ랴" hidden="1">{#N/A,#N/A,FALSE,"단가표지"}</definedName>
    <definedName name="프ㅠㅜㄹ오" hidden="1">{#N/A,#N/A,FALSE,"혼합골재"}</definedName>
    <definedName name="플">#N/A</definedName>
    <definedName name="플2004">#REF!</definedName>
    <definedName name="플3">#REF!</definedName>
    <definedName name="플기">#REF!</definedName>
    <definedName name="플라스틱창호">{"서울냉천 3차( 5. 6-7).xls","Sheet1"}</definedName>
    <definedName name="플라스틱창호4">{"서울냉천 3차( 5. 6-7).xls","Sheet1"}</definedName>
    <definedName name="플라타너스B8">#REF!</definedName>
    <definedName name="플랜">#REF!</definedName>
    <definedName name="플랜지돌출폭">#REF!</definedName>
    <definedName name="플랜트">#REF!</definedName>
    <definedName name="플랜트__전공">#REF!</definedName>
    <definedName name="플랜트기계설치공">#REF!</definedName>
    <definedName name="플랜트기계설치공001">#REF!</definedName>
    <definedName name="플랜트기계설치공002">#REF!</definedName>
    <definedName name="플랜트기계설치공011">#REF!</definedName>
    <definedName name="플랜트기계설치공982">#REF!</definedName>
    <definedName name="플랜트기계설치공991">#REF!</definedName>
    <definedName name="플랜트기계설치공992">#REF!</definedName>
    <definedName name="플랜트노">#REF!</definedName>
    <definedName name="플랜트배관공">#REF!</definedName>
    <definedName name="플랜트배관공001">#REF!</definedName>
    <definedName name="플랜트배관공002">#REF!</definedName>
    <definedName name="플랜트배관공011">#REF!</definedName>
    <definedName name="플랜트배관공982">#REF!</definedName>
    <definedName name="플랜트배관공991">#REF!</definedName>
    <definedName name="플랜트배관공992">#REF!</definedName>
    <definedName name="플랜트배관공노임">#REF!</definedName>
    <definedName name="플랜트용접공">#REF!</definedName>
    <definedName name="플랜트용접공001">#REF!</definedName>
    <definedName name="플랜트용접공002">#REF!</definedName>
    <definedName name="플랜트용접공011">#REF!</definedName>
    <definedName name="플랜트용접공982">#REF!</definedName>
    <definedName name="플랜트용접공991">#REF!</definedName>
    <definedName name="플랜트용접공992">#REF!</definedName>
    <definedName name="플랜트용접공노임">#REF!</definedName>
    <definedName name="플랜트전공">#REF!</definedName>
    <definedName name="플랜트전공001">#REF!</definedName>
    <definedName name="플랜트전공002">#REF!</definedName>
    <definedName name="플랜트전공011">#REF!</definedName>
    <definedName name="플랜트전공982">#REF!</definedName>
    <definedName name="플랜트전공991">#REF!</definedName>
    <definedName name="플랜트전공992">#REF!</definedName>
    <definedName name="플랜트제관공">#REF!</definedName>
    <definedName name="플랜트제관공001">#REF!</definedName>
    <definedName name="플랜트제관공002">#REF!</definedName>
    <definedName name="플랜트제관공011">#REF!</definedName>
    <definedName name="플랜트제관공982">#REF!</definedName>
    <definedName name="플랜트제관공991">#REF!</definedName>
    <definedName name="플랜트제관공992">#REF!</definedName>
    <definedName name="플랜트특수용접공">#REF!</definedName>
    <definedName name="플랜트특수용접공001">#REF!</definedName>
    <definedName name="플랜트특수용접공002">#REF!</definedName>
    <definedName name="플랜트특수용접공011">#REF!</definedName>
    <definedName name="플랜트특수용접공982">#REF!</definedName>
    <definedName name="플랜트특수용접공991">#REF!</definedName>
    <definedName name="플랜트특수용접공992">#REF!</definedName>
    <definedName name="플레이트콤펙터경비">#REF!</definedName>
    <definedName name="플레이트콤펙터계">#REF!</definedName>
    <definedName name="플레이트콤펙터노무비">#REF!</definedName>
    <definedName name="플레이트콤펙터재료비">#REF!</definedName>
    <definedName name="플륨관" hidden="1">{"'산출근거'!$B$4:$D$8"}</definedName>
    <definedName name="플륨관." hidden="1">{#N/A,#N/A,FALSE,"포장단가"}</definedName>
    <definedName name="플륨괌ㅁ" hidden="1">{#N/A,#N/A,FALSE,"포장단가"}</definedName>
    <definedName name="플배">#REF!</definedName>
    <definedName name="플배2004">#REF!</definedName>
    <definedName name="플용">#REF!</definedName>
    <definedName name="피" hidden="1">{#N/A,#N/A,FALSE,"기안지";#N/A,#N/A,FALSE,"통신지"}</definedName>
    <definedName name="피간접">#REF!</definedName>
    <definedName name="피경비">#REF!</definedName>
    <definedName name="피관리">#REF!</definedName>
    <definedName name="피광희1" hidden="1">{#N/A,#N/A,FALSE,"도급대비시행율";#N/A,#N/A,FALSE,"결의서";#N/A,#N/A,FALSE,"내역서";#N/A,#N/A,FALSE,"도급예상"}</definedName>
    <definedName name="피라3노무">#REF!</definedName>
    <definedName name="피라3재료">#REF!</definedName>
    <definedName name="피라칸사스H1.5">#REF!</definedName>
    <definedName name="피로티" hidden="1">{#N/A,#N/A,FALSE,"이태원철근"}</definedName>
    <definedName name="피로티_1" hidden="1">{#N/A,#N/A,FALSE,"이태원철근"}</definedName>
    <definedName name="피로티_2" hidden="1">{#N/A,#N/A,FALSE,"이태원철근"}</definedName>
    <definedName name="피로티_3" hidden="1">{#N/A,#N/A,FALSE,"이태원철근"}</definedName>
    <definedName name="피로티_4" hidden="1">{#N/A,#N/A,FALSE,"이태원철근"}</definedName>
    <definedName name="피로티1" hidden="1">{#N/A,#N/A,FALSE,"이태원철근"}</definedName>
    <definedName name="피로티1_1" hidden="1">{#N/A,#N/A,FALSE,"이태원철근"}</definedName>
    <definedName name="피로티1_2" hidden="1">{#N/A,#N/A,FALSE,"이태원철근"}</definedName>
    <definedName name="피로티1_3" hidden="1">{#N/A,#N/A,FALSE,"이태원철근"}</definedName>
    <definedName name="피로티1_4" hidden="1">{#N/A,#N/A,FALSE,"이태원철근"}</definedName>
    <definedName name="피뢰침" localSheetId="0">BlankMacro1</definedName>
    <definedName name="피뢰침">BlankMacro1</definedName>
    <definedName name="피벗2"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피보험">#REF!</definedName>
    <definedName name="피복대상인원">#REF!</definedName>
    <definedName name="피복두께">#REF!</definedName>
    <definedName name="피부가">#REF!</definedName>
    <definedName name="피시">#REF!</definedName>
    <definedName name="피안전">#REF!</definedName>
    <definedName name="피이윤">#REF!</definedName>
    <definedName name="피해2" hidden="1">#REF!</definedName>
    <definedName name="필름깔기경">#REF!</definedName>
    <definedName name="필름깔기노">#REF!</definedName>
    <definedName name="필름깔기재">#REF!</definedName>
    <definedName name="핑">#REF!</definedName>
    <definedName name="ㅍㄿㄿㄿㄿㄹ">#N/A</definedName>
    <definedName name="ㅎ">#REF!</definedName>
    <definedName name="ㅎ.ㅓ샤" hidden="1">{#N/A,#N/A,FALSE,"단가표지"}</definedName>
    <definedName name="ㅎ.ㅗㅗ" hidden="1">{#N/A,#N/A,FALSE,"포장2"}</definedName>
    <definedName name="ㅎ.hh" hidden="1">{#N/A,#N/A,FALSE,"토공2"}</definedName>
    <definedName name="ㅎ.hjdj" hidden="1">{#N/A,#N/A,FALSE,"포장2"}</definedName>
    <definedName name="ㅎ1">#REF!</definedName>
    <definedName name="ㅎ200">#REF!</definedName>
    <definedName name="ㅎ23">#REF!</definedName>
    <definedName name="ㅎ311">#REF!</definedName>
    <definedName name="ㅎ314">#REF!</definedName>
    <definedName name="ㅎ384">#REF!</definedName>
    <definedName name="ㅎ4ㄷㅈ" hidden="1">{#N/A,#N/A,FALSE,"이태원철근"}</definedName>
    <definedName name="ㅎ5" hidden="1">{#N/A,#N/A,FALSE,"골재소요량";#N/A,#N/A,FALSE,"골재소요량"}</definedName>
    <definedName name="ㅎ5_1" hidden="1">{#N/A,#N/A,FALSE,"골재소요량";#N/A,#N/A,FALSE,"골재소요량"}</definedName>
    <definedName name="ㅎ662">#N/A</definedName>
    <definedName name="ㅎㄱ">#N/A</definedName>
    <definedName name="ㅎㄱㄱㄷ" hidden="1">{#N/A,#N/A,FALSE,"운반시간"}</definedName>
    <definedName name="ㅎㄱ놓ㄹ호" hidden="1">{#N/A,#N/A,FALSE,"운반시간"}</definedName>
    <definedName name="ㅎㄱㄷ">#N/A</definedName>
    <definedName name="ㅎㄱㄷㅂㅈ" hidden="1">{#N/A,#N/A,FALSE,"이태원철근"}</definedName>
    <definedName name="ㅎㄱㄷㅈ" hidden="1">{#N/A,#N/A,FALSE,"이태원철근"}</definedName>
    <definedName name="ㅎㄱㄷㅎ">#N/A</definedName>
    <definedName name="ㅎㄱㄷㅎㄱ">#REF!</definedName>
    <definedName name="ㅎㄱㄷㅎㅅ" hidden="1">{#N/A,#N/A,FALSE,"조골재"}</definedName>
    <definedName name="ㅎㄱㅁㄷㄹ" hidden="1">{#N/A,#N/A,FALSE,"단가표지"}</definedName>
    <definedName name="ㅎㄱㅁㄹㄷ" hidden="1">{#N/A,#N/A,FALSE,"전력간선"}</definedName>
    <definedName name="ㅎㄱㅁㄹㅈㄷ" hidden="1">{#N/A,#N/A,FALSE,"2~8번"}</definedName>
    <definedName name="ㅎㄱ샤ㅕ혁" hidden="1">{#N/A,#N/A,FALSE,"조골재"}</definedName>
    <definedName name="ㅎㄱㅈ" hidden="1">{#N/A,#N/A,FALSE,"이태원철근"}</definedName>
    <definedName name="ㅎㄱㅎ">#REF!</definedName>
    <definedName name="ㅎㄱㅎㄱ">#N/A</definedName>
    <definedName name="ㅎㄱㅎㄱㄷ" hidden="1">{#N/A,#N/A,FALSE,"운반시간"}</definedName>
    <definedName name="ㅎㄱㅎ고" hidden="1">{#N/A,#N/A,FALSE,"골재소요량";#N/A,#N/A,FALSE,"골재소요량"}</definedName>
    <definedName name="ㅎㄱㅎㄷ" hidden="1">{#N/A,#N/A,FALSE,"단가표지"}</definedName>
    <definedName name="ㅎㄱㅎㅎㄷㄶ" hidden="1">{#N/A,#N/A,FALSE,"골재소요량";#N/A,#N/A,FALSE,"골재소요량"}</definedName>
    <definedName name="ㅎㄱㅎ해ㅏㅎㄱㄷ" hidden="1">{#N/A,#N/A,FALSE,"표지목차"}</definedName>
    <definedName name="ㅎㄱ허ㅏ수호" hidden="1">{#N/A,#N/A,FALSE,"표지목차"}</definedName>
    <definedName name="ㅎ가헉" hidden="1">{#N/A,#N/A,FALSE,"2~8번"}</definedName>
    <definedName name="ㅎ가ㅓㅕㄹㅇㅇㄴ" hidden="1">{#N/A,#N/A,FALSE,"표지목차"}</definedName>
    <definedName name="ㅎ가ㅓㅕㅇ" hidden="1">{#N/A,#N/A,FALSE,"혼합골재"}</definedName>
    <definedName name="ㅎ갸ㅏㅕ8ㅎ" hidden="1">{#N/A,#N/A,FALSE,"골재소요량";#N/A,#N/A,FALSE,"골재소요량"}</definedName>
    <definedName name="ㅎ갸ㅐ욕7ㅕㅕㅎ" hidden="1">{#N/A,#N/A,FALSE,"단가표지"}</definedName>
    <definedName name="ㅎ갸ㅗ형" hidden="1">{#N/A,#N/A,FALSE,"운반시간"}</definedName>
    <definedName name="ㅎ거ㅗㅕㅊㅎ" hidden="1">{#N/A,#N/A,FALSE,"단가표지"}</definedName>
    <definedName name="ㅎ겨ㅗㄹㄹㅇ" hidden="1">{#N/A,#N/A,FALSE,"혼합골재"}</definedName>
    <definedName name="ㅎ고ㅕㅊ토ㅛㅕㄿㅎㄹ" hidden="1">{#N/A,#N/A,FALSE,"단가표지"}</definedName>
    <definedName name="ㅎ기ㅏㅎ갸" hidden="1">{#N/A,#N/A,FALSE,"단가표지"}</definedName>
    <definedName name="ㅎㄴ" hidden="1">{#N/A,#N/A,FALSE,"단가표지"}</definedName>
    <definedName name="ㅎㄴㄱㅎㄴ" hidden="1">{#N/A,#N/A,FALSE,"교리2"}</definedName>
    <definedName name="ㅎㄴㄱㅎㄴㄳㄶ" hidden="1">{#N/A,#N/A,FALSE,"교리2"}</definedName>
    <definedName name="ㅎㄴㄱㅗㄴㄷㄱㄷㅅㄱㄹ" hidden="1">{#N/A,#N/A,FALSE,"교리2"}</definedName>
    <definedName name="ㅎㄴㄱㄶㄱㄶ" hidden="1">{"'공사부문'!$A$6:$A$32"}</definedName>
    <definedName name="ㅎㄴㄱㄶㄴㄱㅎ" hidden="1">{#N/A,#N/A,FALSE,"교리2"}</definedName>
    <definedName name="ㅎㄴㅁㄹㅇㄹㄴ" hidden="1">{#N/A,"수불부",FALSE,"사급자재수불서";#N/A,"수불부",FALSE,"사급자재수불서"}</definedName>
    <definedName name="ㅎㄴㅇ" hidden="1">{#N/A,#N/A,FALSE,"골재소요량";#N/A,#N/A,FALSE,"골재소요량"}</definedName>
    <definedName name="ㅎㄴㅇㅁㄹ" hidden="1">#REF!</definedName>
    <definedName name="ㅎㄴㅇㅎㅁㄴ" hidden="1">{#N/A,#N/A,FALSE,"교리2"}</definedName>
    <definedName name="ㅎㄴ튜">#REF!</definedName>
    <definedName name="ㅎ너ㅓㅏ" hidden="1">{#N/A,#N/A,FALSE,"단가표지"}</definedName>
    <definedName name="ㅎ노ㅠ" hidden="1">{#N/A,#N/A,FALSE,"배수1"}</definedName>
    <definedName name="ㅎ녹ㄴㄶ" hidden="1">{#N/A,#N/A,FALSE,"교리2"}</definedName>
    <definedName name="ㅎㄴㄳㄶㄴㄱㄷㅅㅎㄴ" hidden="1">{#N/A,#N/A,FALSE,"교리2"}</definedName>
    <definedName name="ㅎㄷ" hidden="1">{#N/A,#N/A,FALSE,"명세표"}</definedName>
    <definedName name="ㅎㄷㄱ">#N/A</definedName>
    <definedName name="ㅎㄷㅁㅎㄱㄷㄱㄷ">#REF!</definedName>
    <definedName name="ㅎㄷㅂㅈㅎ">#REF!</definedName>
    <definedName name="ㅎㄷㅇ" hidden="1">{#N/A,#N/A,FALSE,"골재소요량";#N/A,#N/A,FALSE,"골재소요량"}</definedName>
    <definedName name="ㅎㄷㅈ" hidden="1">{#N/A,#N/A,FALSE,"명세표"}</definedName>
    <definedName name="ㅎㄷㅈㄹ" hidden="1">{#N/A,#N/A,FALSE,"운반시간"}</definedName>
    <definedName name="ㅎㄷㅈㅈ" hidden="1">{#N/A,#N/A,FALSE,"이태원철근"}</definedName>
    <definedName name="ㅎㄷㅈㅎㅅㄱㅎ">#REF!</definedName>
    <definedName name="ㅎㄷㅎㄷ" hidden="1">{#N/A,#N/A,FALSE,"골재소요량";#N/A,#N/A,FALSE,"골재소요량"}</definedName>
    <definedName name="ㅎㄷㅎㅅㅎ" hidden="1">{#N/A,#N/A,FALSE,"단가표지"}</definedName>
    <definedName name="ㅎㄷㅎㅎㅎㄱ" hidden="1">{#N/A,#N/A,FALSE,"단가표지"}</definedName>
    <definedName name="ㅎㄹ">#N/A</definedName>
    <definedName name="ㅎㄹㄴ" hidden="1">{#N/A,#N/A,FALSE,"2~8번"}</definedName>
    <definedName name="ㅎㄹㄴㅇ" hidden="1">{#N/A,#N/A,FALSE,"단가표지"}</definedName>
    <definedName name="ㅎㄹㄴㅀㅀㅀ">{"'자리배치도'!$AG$1:$CI$28"}</definedName>
    <definedName name="ㅎㄹ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ㄹ">#REF!</definedName>
    <definedName name="ㅎㄹㅇ">#REF!,#REF!</definedName>
    <definedName name="ㅎㄹㅇㄴ" hidden="1">{#N/A,#N/A,FALSE,"골재소요량";#N/A,#N/A,FALSE,"골재소요량"}</definedName>
    <definedName name="ㅎㄹㅇㄴㅁㅎㄹㅇㅁ"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ㅎㄹㅇㄴㅎㄹ"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ㅎㄹㅇㄹㄴㅇㄴㄹ" hidden="1">{#N/A,#N/A,FALSE,"표지목차"}</definedName>
    <definedName name="ㅎㄹㅇㅁㅁㅎ" hidden="1">{#N/A,#N/A,FALSE,"조골재"}</definedName>
    <definedName name="ㅎㄹㅇㅁㅎㅁ" hidden="1">{#N/A,#N/A,FALSE,"표지목차"}</definedName>
    <definedName name="ㅎㄹㅇㅎ" hidden="1">{#N/A,#N/A,FALSE,"단가표지"}</definedName>
    <definedName name="ㅎㄹㅇㅎㄹㅇㄶㄹㅇㄴ"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ㅎㄹㅇㅎㅇㅁㅎ" hidden="1">{#N/A,#N/A,FALSE,"운반시간"}</definedName>
    <definedName name="ㅎㄹㅇ허곻ㅅ" hidden="1">{#N/A,#N/A,FALSE,"운반시간"}</definedName>
    <definedName name="ㅎㄹㅇㅀ" hidden="1">{#N/A,#N/A,FALSE,"부대1"}</definedName>
    <definedName name="ㅎㄹㅇㅀㄱ" hidden="1">{#N/A,#N/A,FALSE,"조골재"}</definedName>
    <definedName name="ㅎㄹㅇㅀㅇㄹ" hidden="1">#REF!</definedName>
    <definedName name="ㅎㄹ아ㅗㅅ혀" hidden="1">{#N/A,#N/A,FALSE,"골재소요량";#N/A,#N/A,FALSE,"골재소요량"}</definedName>
    <definedName name="ㅎㄹ어ㅏㅗㅎㄱ" hidden="1">{#N/A,#N/A,FALSE,"단가표지"}</definedName>
    <definedName name="ㅎㄹ오" hidden="1">{#N/A,#N/A,FALSE,"단가표지"}</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ㅓ" hidden="1">{#N/A,#N/A,FALSE,"구조2"}</definedName>
    <definedName name="ㅎㄹ오ㅗ">{"'자리배치도'!$AG$1:$CI$28"}</definedName>
    <definedName name="ㅎㄹ우ㅠㅎㄳ" hidden="1">{#N/A,#N/A,FALSE,"2~8번"}</definedName>
    <definedName name="ㅎㄹ잏ㅅ" hidden="1">{#N/A,#N/A,FALSE,"표지목차"}</definedName>
    <definedName name="ㅎㄹㅈㄷㅎㄱㄷ">#N/A</definedName>
    <definedName name="ㅎㄹ하ㅜㄱㅎ" hidden="1">{#N/A,#N/A,FALSE,"표지목차"}</definedName>
    <definedName name="ㅎㄹ허ㅐㅔㅣㅇ" hidden="1">{#N/A,#N/A,FALSE,"혼합골재"}</definedName>
    <definedName name="ㅎㄹ허ㅓ라허" hidden="1">{#N/A,#N/A,FALSE,"기안지";#N/A,#N/A,FALSE,"통신지"}</definedName>
    <definedName name="ㅎㄹ흐ㅑㅊ" hidden="1">{#N/A,#N/A,FALSE,"표지목차"}</definedName>
    <definedName name="ㅎㄹㅀㅀㅀㅀㅀㄹ호" hidden="1">{#N/A,#N/A,FALSE,"혼합골재"}</definedName>
    <definedName name="ㅎ라허ㅠ" hidden="1">{#N/A,#N/A,FALSE,"표지목차"}</definedName>
    <definedName name="ㅎ라헉" hidden="1">{#N/A,#N/A,FALSE,"조골재"}</definedName>
    <definedName name="ㅎ라ㅓ" hidden="1">{#N/A,#N/A,FALSE,"생산성";#N/A,#N/A,FALSE,"인력1";#N/A,#N/A,FALSE,"인력2";#N/A,#N/A,FALSE,"인력3";#N/A,#N/A,FALSE,"인건1";#N/A,#N/A,FALSE,"인건2";#N/A,#N/A,FALSE,"인건3";#N/A,#N/A,FALSE,"인원증감";#N/A,#N/A,FALSE,"인건증감";#N/A,#N/A,FALSE,"표지등"}</definedName>
    <definedName name="ㅎ라ㅓㅎ곃" hidden="1">{#N/A,#N/A,FALSE,"골재소요량";#N/A,#N/A,FALSE,"골재소요량"}</definedName>
    <definedName name="ㅎ라ㅓㅓㅗㅎ라러" hidden="1">{#N/A,#N/A,FALSE,"이태원철근"}</definedName>
    <definedName name="ㅎ라ㅗㅎㅅㄱ" hidden="1">{#N/A,#N/A,FALSE,"혼합골재"}</definedName>
    <definedName name="ㅎ라ㅗㅓ쇼" hidden="1">{#N/A,#N/A,FALSE,"단가표지"}</definedName>
    <definedName name="ㅎ라ㅣㅓㅗ" hidden="1">{#N/A,#N/A,FALSE,"운반시간"}</definedName>
    <definedName name="ㅎ라ㅣㅓㅗㅅ" hidden="1">{#N/A,#N/A,FALSE,"혼합골재"}</definedName>
    <definedName name="ㅎ라ㅣㅓㅗ셔" hidden="1">{#N/A,#N/A,FALSE,"조골재"}</definedName>
    <definedName name="ㅎ랙허ㅏㅑㅐㄱㅎㄳ" hidden="1">{#N/A,#N/A,FALSE,"혼합골재"}</definedName>
    <definedName name="ㅎ러샤ㅗㅓ" hidden="1">{#N/A,#N/A,FALSE,"혼합골재"}</definedName>
    <definedName name="ㅎ러허호" hidden="1">{#N/A,#N/A,FALSE,"조골재"}</definedName>
    <definedName name="ㅎ러호" hidden="1">{#N/A,#N/A,FALSE,"단가표지"}</definedName>
    <definedName name="ㅎ러ㅏ료ㅕ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ㅏㅗㅎ" hidden="1">{#N/A,#N/A,FALSE,"운반시간"}</definedName>
    <definedName name="ㅎ러ㅕㅑㅛㅗ" hidden="1">{#N/A,#N/A,FALSE,"혼합골재"}</definedName>
    <definedName name="ㅎ러ㅗ엉ㅎ러ㅗㅎㄹㅇ" hidden="1">{#N/A,#N/A,FALSE,"이태원철근"}</definedName>
    <definedName name="ㅎ러ㅗ허" hidden="1">#REF!</definedName>
    <definedName name="ㅎ러ㅗㄳㄶㄹ" hidden="1">#REF!</definedName>
    <definedName name="ㅎ러ㅡㅗ혓" hidden="1">{#N/A,#N/A,FALSE,"조골재"}</definedName>
    <definedName name="ㅎ러ㅡㅛㅑㅗ" hidden="1">{#N/A,#N/A,FALSE,"골재소요량";#N/A,#N/A,FALSE,"골재소요량"}</definedName>
    <definedName name="ㅎ러ㅡㅜ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럳횝겋바호비호" hidden="1">{#N/A,#N/A,FALSE,"예상손익";#N/A,#N/A,FALSE,"관리분석";#N/A,#N/A,FALSE,"장비분석";#N/A,#N/A,FALSE,"준설분석";#N/A,#N/A,FALSE,"철구분석"}</definedName>
    <definedName name="ㅎ럴">#REF!</definedName>
    <definedName name="ㅎㄹㅗ" hidden="1">{#N/A,#N/A,FALSE,"기안지";#N/A,#N/A,FALSE,"통신지"}</definedName>
    <definedName name="ㅎ로.ㅏㅛㅑㅗ" hidden="1">{#N/A,#N/A,FALSE,"혼합골재"}</definedName>
    <definedName name="ㅎ로.ㅓㅑ쇼" hidden="1">{#N/A,#N/A,FALSE,"운반시간"}</definedName>
    <definedName name="ㅎ로낟안" hidden="1">{#N/A,#N/A,FALSE,"혼합골재"}</definedName>
    <definedName name="ㅎ로르ㅗㅎㄱㄷ" hidden="1">{#N/A,#N/A,FALSE,"운반시간"}</definedName>
    <definedName name="ㅎ로서ㅗㅅ" hidden="1">{#N/A,#N/A,FALSE,"단가표지"}</definedName>
    <definedName name="ㅎ로ㅎ" hidden="1">#REF!</definedName>
    <definedName name="ㅎ로ㅑㅏㅛㅓ" hidden="1">{#N/A,#N/A,FALSE,"운반시간"}</definedName>
    <definedName name="ㅎ로ㅑㅛ소" hidden="1">{#N/A,#N/A,FALSE,"혼합골재"}</definedName>
    <definedName name="ㅎ로ㅓ" hidden="1">{#N/A,#N/A,FALSE,"운반시간"}</definedName>
    <definedName name="ㅎ로ㅓ쇼" hidden="1">{#N/A,#N/A,FALSE,"운반시간"}</definedName>
    <definedName name="ㅎ로ㅓㅏㅛㅑㅗ" hidden="1">{#N/A,#N/A,FALSE,"운반시간"}</definedName>
    <definedName name="ㅎ로ㅓㅑㅗ" hidden="1">{#N/A,#N/A,FALSE,"혼합골재"}</definedName>
    <definedName name="ㅎ로ㅓㅑㅛㅗ" hidden="1">{#N/A,#N/A,FALSE,"운반시간"}</definedName>
    <definedName name="ㅎ로ㅓㅓㄹ" hidden="1">{#N/A,#N/A,FALSE,"운반시간"}</definedName>
    <definedName name="ㅎ로ㅓㅛㅗ" hidden="1">{#N/A,#N/A,FALSE,"혼합골재"}</definedName>
    <definedName name="ㅎ로ㅕㅑㅓㅗ" hidden="1">{#N/A,#N/A,FALSE,"혼합골재"}</definedName>
    <definedName name="ㅎ로ㅛㅕㅎ" hidden="1">{#N/A,#N/A,FALSE,"조골재"}</definedName>
    <definedName name="ㅎ로ㅜㅕㅑㅅㄹ" hidden="1">{#N/A,#N/A,FALSE,"운반시간"}</definedName>
    <definedName name="ㅎ로ㅡㅕㅑㅗ" hidden="1">{#N/A,#N/A,FALSE,"운반시간"}</definedName>
    <definedName name="ㅎ로ㅡㅛㅑㅗㅓ" hidden="1">{#N/A,#N/A,FALSE,"운반시간"}</definedName>
    <definedName name="ㅎ록ㄹ오">#REF!</definedName>
    <definedName name="ㅎ롤혻" hidden="1">{#N/A,#N/A,FALSE,"골재소요량";#N/A,#N/A,FALSE,"골재소요량"}</definedName>
    <definedName name="ㅎ롷롤호">#REF!</definedName>
    <definedName name="ㅎ롸ㅓ쇼ㅑㅗ" hidden="1">{#N/A,#N/A,FALSE,"운반시간"}</definedName>
    <definedName name="ㅎ롸ㅓㅗㅑㅛㅅ" hidden="1">{#N/A,#N/A,FALSE,"표지목차"}</definedName>
    <definedName name="ㅎ롸ㅣ러ㅗㅓㅅ" hidden="1">{#N/A,#N/A,FALSE,"운반시간"}</definedName>
    <definedName name="ㅎ뢰ㅏㅑ쇼" hidden="1">{#N/A,#N/A,FALSE,"운반시간"}</definedName>
    <definedName name="ㅎ루ㅗ">#N/A</definedName>
    <definedName name="ㅎ류">#REF!</definedName>
    <definedName name="ㅎ류ㄹ" hidden="1">{#N/A,#N/A,FALSE,"2~8번"}</definedName>
    <definedName name="ㅎ류휴ㅠㅎ휴" hidden="1">{#N/A,#N/A,FALSE,"골재소요량";#N/A,#N/A,FALSE,"골재소요량"}</definedName>
    <definedName name="ㅎ류ㅗㅜㅠㅇㄴㄹ" hidden="1">{#N/A,#N/A,FALSE,"골재소요량";#N/A,#N/A,FALSE,"골재소요량"}</definedName>
    <definedName name="ㅎ류ㅠㅍㅎㅇㅎ" hidden="1">{#N/A,#N/A,FALSE,"골재소요량";#N/A,#N/A,FALSE,"골재소요량"}</definedName>
    <definedName name="ㅎ륜ㅇㄹ" hidden="1">{#N/A,#N/A,FALSE,"2~8번"}</definedName>
    <definedName name="ㅎ률" hidden="1">{#N/A,#N/A,FALSE,"조골재"}</definedName>
    <definedName name="ㅎ르허" hidden="1">{#N/A,#N/A,FALSE,"골재소요량";#N/A,#N/A,FALSE,"골재소요량"}</definedName>
    <definedName name="ㅎ르ㅓ호" hidden="1">{#N/A,#N/A,FALSE,"2~8번"}</definedName>
    <definedName name="ㅎ르ㅓㅗㅓ" hidden="1">{#N/A,#N/A,FALSE,"골재소요량";#N/A,#N/A,FALSE,"골재소요량"}</definedName>
    <definedName name="ㅎ르ㅗㅓㅕㅎ" hidden="1">{#N/A,#N/A,FALSE,"단가표지"}</definedName>
    <definedName name="ㅎㅁㄴ" hidden="1">#REF!</definedName>
    <definedName name="ㅎㅁㅇㅎㅇㅁㅀㅁㅎ" hidden="1">#REF!</definedName>
    <definedName name="ㅎㅁㅇㅀㅁㅇ" hidden="1">{#N/A,#N/A,FALSE,"단가표지"}</definedName>
    <definedName name="ㅎㅁㅇㅀㅁㅇㅎㅁ" hidden="1">{#N/A,#N/A,FALSE,"단가표지"}</definedName>
    <definedName name="ㅎㅁㅎㅁㄹㅇ">{"'자리배치도'!$AG$1:$CI$28"}</definedName>
    <definedName name="ㅎㅁㅎㅀㅁㅁ" hidden="1">{#N/A,#N/A,FALSE,"단가표지"}</definedName>
    <definedName name="ㅎㅁㅎㄻㄴㅇ" hidden="1">{#N/A,#N/A,FALSE,"단가표지"}</definedName>
    <definedName name="ㅎㅁㄳㅁㄱ" hidden="1">{#N/A,#N/A,FALSE,"교리2"}</definedName>
    <definedName name="ㅎㅂㄷ" hidden="1">{#N/A,#N/A,FALSE,"배수2"}</definedName>
    <definedName name="ㅎㅅㄱ" hidden="1">{#N/A,#N/A,FALSE,"지침";#N/A,#N/A,FALSE,"환경분석";#N/A,#N/A,FALSE,"Sheet16"}</definedName>
    <definedName name="ㅎㅅㅎ" hidden="1">{#N/A,#N/A,FALSE,"골재소요량";#N/A,#N/A,FALSE,"골재소요량"}</definedName>
    <definedName name="ㅎ사ㅓㅅ햐" hidden="1">{#N/A,#N/A,FALSE,"조골재"}</definedName>
    <definedName name="ㅎ사ㅓㅑㅇㄱㅎ" hidden="1">{#N/A,#N/A,FALSE,"단가표지"}</definedName>
    <definedName name="ㅎ샤ㅕㅅ" hidden="1">{#N/A,#N/A,FALSE,"골재소요량";#N/A,#N/A,FALSE,"골재소요량"}</definedName>
    <definedName name="ㅎ서솔ㅇ" hidden="1">{#N/A,#N/A,FALSE,"단가표지"}</definedName>
    <definedName name="ㅎ서이" hidden="1">{#N/A,#N/A,FALSE,"운반시간"}</definedName>
    <definedName name="ㅎ서ㅏ허" hidden="1">{#N/A,#N/A,FALSE,"혼합골재"}</definedName>
    <definedName name="ㅎ서ㅗ형" hidden="1">{#N/A,#N/A,FALSE,"단가표지"}</definedName>
    <definedName name="ㅎ서ㅗㅝ" hidden="1">{#N/A,#N/A,FALSE,"단가표지"}</definedName>
    <definedName name="ㅎ서ㅜㅎ" hidden="1">{#N/A,#N/A,FALSE,"조골재"}</definedName>
    <definedName name="ㅎ서ㅡㅗㅅ호" hidden="1">{#N/A,#N/A,FALSE,"단가표지"}</definedName>
    <definedName name="ㅎ섷샤" hidden="1">{#N/A,#N/A,FALSE,"2~8번"}</definedName>
    <definedName name="ㅎ소사ㅛㅗ" hidden="1">{#N/A,#N/A,FALSE,"단가표지"}</definedName>
    <definedName name="ㅎ쇼" hidden="1">{#N/A,#N/A,FALSE,"운반시간"}</definedName>
    <definedName name="ㅎ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ㅅㄺ" hidden="1">{#N/A,#N/A,FALSE,"속도"}</definedName>
    <definedName name="ㅎㅇ">#N/A</definedName>
    <definedName name="ㅎㅇㄴ" hidden="1">{#N/A,#N/A,FALSE,"단가표지"}</definedName>
    <definedName name="ㅎㅇㄹ" hidden="1">#REF!</definedName>
    <definedName name="ㅎㅇㄹㄴ" hidden="1">{#N/A,#N/A,FALSE,"지침";#N/A,#N/A,FALSE,"환경분석";#N/A,#N/A,FALSE,"Sheet16"}</definedName>
    <definedName name="ㅎㅇㄹ홍ㄴ로" hidden="1">{#N/A,#N/A,FALSE,"단가표지"}</definedName>
    <definedName name="ㅎㅇ롫" hidden="1">{#N/A,#N/A,FALSE,"운반시간"}</definedName>
    <definedName name="ㅎㅇㅁㄴㄹ" hidden="1">{#N/A,#N/A,FALSE,"운반시간"}</definedName>
    <definedName name="ㅎㅇㅁㄹ">#N/A</definedName>
    <definedName name="ㅎㅇㅁㅀㅁㅇ" hidden="1">{#N/A,#N/A,FALSE,"단가표지"}</definedName>
    <definedName name="ㅎㅇㅇㅀㅎㄹ" hidden="1">{#N/A,#N/A,FALSE,"속도"}</definedName>
    <definedName name="ㅎㅇ으ㅓㅎㄹ" hidden="1">{#N/A,#N/A,FALSE,"단가표지"}</definedName>
    <definedName name="ㅎㅇ차ㅕㅗㅎ" hidden="1">{#N/A,#N/A,FALSE,"단가표지"}</definedName>
    <definedName name="ㅎㅇ치헣" hidden="1">{#N/A,#N/A,FALSE,"단가표지"}</definedName>
    <definedName name="ㅎㅇ칭" hidden="1">{#N/A,#N/A,FALSE,"단가표지"}</definedName>
    <definedName name="ㅎㅇㅎ">#REF!</definedName>
    <definedName name="ㅎㅇㅎㄱㄷ" hidden="1">{#N/A,#N/A,FALSE,"운반시간"}</definedName>
    <definedName name="ㅎㅇㅎㄹㄴㅇ" hidden="1">#REF!</definedName>
    <definedName name="ㅎㅇㅎㅇㄹㅎ">#N/A</definedName>
    <definedName name="ㅎㅇㅎㄳ" hidden="1">{#N/A,#N/A,FALSE,"2~8번"}</definedName>
    <definedName name="ㅎㅇㅀ" hidden="1">{#N/A,#N/A,FALSE,"단가표지"}</definedName>
    <definedName name="ㅎㅇㅀㄱ" hidden="1">{#N/A,#N/A,FALSE,"혼합골재"}</definedName>
    <definedName name="ㅎㅇㅀㄴ" hidden="1">{#N/A,#N/A,FALSE,"골재소요량";#N/A,#N/A,FALSE,"골재소요량"}</definedName>
    <definedName name="ㅎㅇㅀㄴㅇㅎㅇㄴㅀ">#REF!</definedName>
    <definedName name="ㅎㅇㅀㅁㅇㅎㅁㅇ" hidden="1">{#N/A,#N/A,FALSE,"단가표지"}</definedName>
    <definedName name="ㅎㅇㅀㅇ" hidden="1">{#N/A,#N/A,FALSE,"골재소요량";#N/A,#N/A,FALSE,"골재소요량"}</definedName>
    <definedName name="ㅎㅇㅀㅇㄹ">#N/A</definedName>
    <definedName name="ㅎㅇㅀㅇㅀ" hidden="1">{#N/A,#N/A,FALSE,"표지목차"}</definedName>
    <definedName name="ㅎㅇㅀㅇㅀㅇ" hidden="1">{#N/A,#N/A,FALSE,"표지목차"}</definedName>
    <definedName name="ㅎㅇㅀㅇㅀㅇㅎ" hidden="1">{#N/A,#N/A,FALSE,"표지목차"}</definedName>
    <definedName name="ㅎㅇㅀㅎㅀ">#N/A</definedName>
    <definedName name="ㅎ아라ㅣ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어ㅗ" hidden="1">#REF!</definedName>
    <definedName name="ㅎ오">{"'용역비'!$A$4:$C$8"}</definedName>
    <definedName name="ㅎ오허ㅏ" hidden="1">{#N/A,#N/A,FALSE,"2~8번"}</definedName>
    <definedName name="ㅎ이허겻ㅎ" hidden="1">{#N/A,#N/A,FALSE,"조골재"}</definedName>
    <definedName name="ㅎ잏곃" hidden="1">{#N/A,#N/A,FALSE,"골재소요량";#N/A,#N/A,FALSE,"골재소요량"}</definedName>
    <definedName name="ㅎㅇㄶ" hidden="1">#REF!</definedName>
    <definedName name="ㅎㅇㄶㅇ" hidden="1">#REF!</definedName>
    <definedName name="ㅎㅇㄻㅎㅁㅇ" hidden="1">{#N/A,#N/A,FALSE,"혼합골재"}</definedName>
    <definedName name="ㅎㅇㄻㅎㅁㅎㅁㅇ" hidden="1">{#N/A,#N/A,FALSE,"운반시간"}</definedName>
    <definedName name="ㅎㅈㅈㅎ" hidden="1">{#N/A,#N/A,FALSE,"운반시간"}</definedName>
    <definedName name="ㅎㅍ가ㅑㅓㅏㅎ" hidden="1">{#N/A,#N/A,FALSE,"조골재"}</definedName>
    <definedName name="ㅎㅍ듀ㅓㅇㅊㅎㄱ" hidden="1">{#N/A,#N/A,FALSE,"골재소요량";#N/A,#N/A,FALSE,"골재소요량"}</definedName>
    <definedName name="ㅎㅍㅇㄹㄹㅇ">#REF!</definedName>
    <definedName name="ㅎ퓨러ㅏ윻라어" hidden="1">{#N/A,#N/A,FALSE,"조골재"}</definedName>
    <definedName name="ㅎ퓨후" hidden="1">{#N/A,#N/A,FALSE,"단가표지"}</definedName>
    <definedName name="ㅎㅎ" hidden="1">{#N/A,#N/A,FALSE,"배수2"}</definedName>
    <definedName name="ㅎㅎ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ㄱ호속속솏">#REF!</definedName>
    <definedName name="ㅎㅎㅅㄱㄴㅇㅎㅈ" hidden="1">#REF!</definedName>
    <definedName name="ㅎㅎㅎ" hidden="1">#REF!</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ㄴ" hidden="1">{#N/A,#N/A,FALSE,"표지목차"}</definedName>
    <definedName name="ㅎㅎㅎㅎ" hidden="1">{#N/A,#N/A,TRUE,"토적및재료집계";#N/A,#N/A,TRUE,"토적및재료집계";#N/A,#N/A,TRUE,"단위량"}</definedName>
    <definedName name="ㅎㅎㅎㅎㅎ" localSheetId="0">ErrorHandler_1</definedName>
    <definedName name="ㅎㅎㅎㅎㅎ">ErrorHandler_1</definedName>
    <definedName name="ㅎㅎㅎㅎㅎㅎ">#REF!</definedName>
    <definedName name="ㅎㅎㅎㅎㅎㅎㅎ" localSheetId="0">BlankMacro1</definedName>
    <definedName name="ㅎㅎㅎㅎㅎㅎㅎ">BlankMacro1</definedName>
    <definedName name="ㅎㅎㅎㅎㅎㅎㅎㅎ" hidden="1">{#N/A,#N/A,FALSE,"예상손익";#N/A,#N/A,FALSE,"관리분석";#N/A,#N/A,FALSE,"장비분석";#N/A,#N/A,FALSE,"준설분석";#N/A,#N/A,FALSE,"철구분석"}</definedName>
    <definedName name="ㅎㅎㅎㅎㅎㅎㅎㅎㅎ">{"Book1","부대-(표지판,데리,가드).xls","부대-(낙,차,중분대).xls"}</definedName>
    <definedName name="ㅎㅎㅎㅎㅎㅎㅎㅎㅎㅎㅎㅎ">#REF!</definedName>
    <definedName name="ㅎㅎㅎㅎㅎㅎㅎㅎㅎㅎㅎㅎㅎ">#REF!</definedName>
    <definedName name="ㅎㅎㅎㅎㅎㅜㅜ" hidden="1">{#N/A,#N/A,FALSE,"조골재"}</definedName>
    <definedName name="ㅎㅎㅎㅎㅀㄹ">{"'자리배치도'!$AG$1:$CI$28"}</definedName>
    <definedName name="ㅎㅎㅀ" hidden="1">#REF!</definedName>
    <definedName name="ㅎㅎㅀㄹ" hidden="1">#REF!</definedName>
    <definedName name="ㅎㅎㅀ로">#REF!</definedName>
    <definedName name="ㅎㅎㅀㅀㄶㅀㄹ">{"'자리배치도'!$AG$1:$CI$28"}</definedName>
    <definedName name="ㅎ허셔ㅗ" hidden="1">{#N/A,#N/A,FALSE,"운반시간"}</definedName>
    <definedName name="ㅎ허ㅏㅗ" hidden="1">{#N/A,#N/A,FALSE,"표지목차"}</definedName>
    <definedName name="ㅎ호"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ㅎ호소" hidden="1">{#N/A,#N/A,FALSE,"단가표지"}</definedName>
    <definedName name="ㅎ홋고쇼" hidden="1">{#N/A,#N/A,FALSE,"골재소요량";#N/A,#N/A,FALSE,"골재소요량"}</definedName>
    <definedName name="ㅎ휴" localSheetId="0">BlankMacro1</definedName>
    <definedName name="ㅎ휴">BlankMacro1</definedName>
    <definedName name="ㅎㅎㄽㄹㅇ" hidden="1">{#N/A,#N/A,FALSE,"단가표지"}</definedName>
    <definedName name="ㅎㅀ" hidden="1">{#N/A,#N/A,FALSE,"생산성";#N/A,#N/A,FALSE,"인력1";#N/A,#N/A,FALSE,"인력2";#N/A,#N/A,FALSE,"인력3";#N/A,#N/A,FALSE,"인건1";#N/A,#N/A,FALSE,"인건2";#N/A,#N/A,FALSE,"인건3";#N/A,#N/A,FALSE,"인원증감";#N/A,#N/A,FALSE,"인건증감";#N/A,#N/A,FALSE,"표지등"}</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서ㅏ호" hidden="1">{#N/A,#N/A,FALSE,"단가표지"}</definedName>
    <definedName name="ㅎㅀㅇ" hidden="1">#REF!</definedName>
    <definedName name="ㅎㅀ호ㄹ">{"서울냉천 3차( 5. 6-7).xls","Sheet1"}</definedName>
    <definedName name="ㅎㅀㅀ" hidden="1">#REF!</definedName>
    <definedName name="ㅎㅀㅀㅀㅀㄹ" hidden="1">{#N/A,#N/A,FALSE,"CCTV"}</definedName>
    <definedName name="ㅎㅀㄶㅎ">{"'자리배치도'!$AG$1:$CI$28"}</definedName>
    <definedName name="하">#REF!</definedName>
    <definedName name="하_1" hidden="1">{#N/A,#N/A,FALSE,"지침";#N/A,#N/A,FALSE,"환경분석";#N/A,#N/A,FALSE,"Sheet16"}</definedName>
    <definedName name="하_2" hidden="1">{#N/A,#N/A,FALSE,"지침";#N/A,#N/A,FALSE,"환경분석";#N/A,#N/A,FALSE,"Sheet16"}</definedName>
    <definedName name="하_3" hidden="1">{#N/A,#N/A,FALSE,"지침";#N/A,#N/A,FALSE,"환경분석";#N/A,#N/A,FALSE,"Sheet16"}</definedName>
    <definedName name="하_4" hidden="1">{#N/A,#N/A,FALSE,"지침";#N/A,#N/A,FALSE,"환경분석";#N/A,#N/A,FALSE,"Sheet16"}</definedName>
    <definedName name="하_5" hidden="1">{#N/A,#N/A,FALSE,"지침";#N/A,#N/A,FALSE,"환경분석";#N/A,#N/A,FALSE,"Sheet16"}</definedName>
    <definedName name="하5">#N/A</definedName>
    <definedName name="하6">#N/A</definedName>
    <definedName name="하7">#N/A</definedName>
    <definedName name="하8">#N/A</definedName>
    <definedName name="하99">#REF!</definedName>
    <definedName name="하굑" hidden="1">{#N/A,#N/A,FALSE,"표지목차"}</definedName>
    <definedName name="하기">#REF!</definedName>
    <definedName name="하기경">#REF!</definedName>
    <definedName name="하기노">#REF!</definedName>
    <definedName name="하기재">#REF!</definedName>
    <definedName name="하나" hidden="1">{#N/A,#N/A,FALSE,"Sheet1"}</definedName>
    <definedName name="하나월">#REF!</definedName>
    <definedName name="하남내역">#REF!</definedName>
    <definedName name="하늘" hidden="1">{#N/A,#N/A,FALSE,"이태원철근"}</definedName>
    <definedName name="하늘_1" hidden="1">{#N/A,#N/A,FALSE,"이태원철근"}</definedName>
    <definedName name="하늘_2" hidden="1">{#N/A,#N/A,FALSE,"이태원철근"}</definedName>
    <definedName name="하늘_3" hidden="1">{#N/A,#N/A,FALSE,"이태원철근"}</definedName>
    <definedName name="하늘1" hidden="1">{#N/A,#N/A,FALSE,"전력간선"}</definedName>
    <definedName name="하늘나라" hidden="1">{#N/A,#N/A,FALSE,"운반시간"}</definedName>
    <definedName name="하더급청산추정2">{"Book1","동절기공사.xls"}</definedName>
    <definedName name="하도" hidden="1">{#N/A,#N/A,FALSE,"이정표"}</definedName>
    <definedName name="하도3">#N/A</definedName>
    <definedName name="하도4" hidden="1">255</definedName>
    <definedName name="하도5">#N/A</definedName>
    <definedName name="하도6" hidden="1">255</definedName>
    <definedName name="하도7">#N/A</definedName>
    <definedName name="하도9">#N/A</definedName>
    <definedName name="하도공종1">#REF!</definedName>
    <definedName name="하도공종2">#REF!</definedName>
    <definedName name="하도공종3">#REF!</definedName>
    <definedName name="하도공종4">#REF!</definedName>
    <definedName name="하도공종5">#REF!</definedName>
    <definedName name="하도공종6">#REF!</definedName>
    <definedName name="하도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급1">#REF!</definedName>
    <definedName name="하도급2">#REF!</definedName>
    <definedName name="하도급3">#REF!</definedName>
    <definedName name="하도급4">#REF!</definedName>
    <definedName name="하도급5">#REF!</definedName>
    <definedName name="하도급6">#REF!</definedName>
    <definedName name="하도급8" hidden="1">255</definedName>
    <definedName name="하도급계획서">#REF!</definedName>
    <definedName name="하도급내역서1" hidden="1">{#N/A,#N/A,FALSE,"전력간선"}</definedName>
    <definedName name="하도급내역서23" hidden="1">{#N/A,#N/A,FALSE,"전력간선"}</definedName>
    <definedName name="하도급비교" hidden="1">{#N/A,#N/A,FALSE,"전력간선"}</definedName>
    <definedName name="하도급사항">#REF!</definedName>
    <definedName name="하도급신청" hidden="1">#REF!</definedName>
    <definedName name="하도급신청서" hidden="1">#REF!</definedName>
    <definedName name="하도급예산갑지">#REF!</definedName>
    <definedName name="하도급일반조건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급통" hidden="1">{#N/A,#N/A,FALSE,"혼합골재"}</definedName>
    <definedName name="하도급통보" hidden="1">{#N/A,#N/A,FALSE,"손익표지";#N/A,#N/A,FALSE,"손익계산";#N/A,#N/A,FALSE,"일반관리비";#N/A,#N/A,FALSE,"영업외수익";#N/A,#N/A,FALSE,"영업외비용";#N/A,#N/A,FALSE,"매출액";#N/A,#N/A,FALSE,"요약손익";#N/A,#N/A,FALSE,"요약대차";#N/A,#N/A,FALSE,"매출채권현황";#N/A,#N/A,FALSE,"매출채권명세"}</definedName>
    <definedName name="하도내역" hidden="1">{#N/A,#N/A,FALSE,"전력간선"}</definedName>
    <definedName name="하도내역1" hidden="1">{#N/A,#N/A,FALSE,"조골재"}</definedName>
    <definedName name="하도대상" hidden="1">{#N/A,#N/A,FALSE,"골재소요량";#N/A,#N/A,FALSE,"골재소요량"}</definedName>
    <definedName name="하도대상_1" hidden="1">{#N/A,#N/A,FALSE,"골재소요량";#N/A,#N/A,FALSE,"골재소요량"}</definedName>
    <definedName name="하도대상_2" hidden="1">{#N/A,#N/A,FALSE,"골재소요량";#N/A,#N/A,FALSE,"골재소요량"}</definedName>
    <definedName name="하도대상_3" hidden="1">{#N/A,#N/A,FALSE,"골재소요량";#N/A,#N/A,FALSE,"골재소요량"}</definedName>
    <definedName name="하도발주용공내역서" hidden="1">{#N/A,#N/A,FALSE,"사업총괄";#N/A,#N/A,FALSE,"장비사업";#N/A,#N/A,FALSE,"철구사업";#N/A,#N/A,FALSE,"준설사업"}</definedName>
    <definedName name="하도비율">#REF!</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_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_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서류" hidden="1">{#N/A,#N/A,FALSE,"현장 NCR 분석";#N/A,#N/A,FALSE,"현장품질감사";#N/A,#N/A,FALSE,"현장품질감사"}</definedName>
    <definedName name="하도업체1">#REF!</definedName>
    <definedName name="하도업체2">#REF!</definedName>
    <definedName name="하도업체3">#REF!</definedName>
    <definedName name="하도업체4">#REF!</definedName>
    <definedName name="하도업체5">#REF!</definedName>
    <definedName name="하도업체6">#REF!</definedName>
    <definedName name="하도업체명">#N/A</definedName>
    <definedName name="하도예">#REF!</definedName>
    <definedName name="하도예산">#REF!</definedName>
    <definedName name="하도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론" hidden="1">{#N/A,#N/A,FALSE,"전력간선"}</definedName>
    <definedName name="하론_1" hidden="1">{#N/A,#N/A,FALSE,"전력간선"}</definedName>
    <definedName name="하론1" hidden="1">{#N/A,#N/A,FALSE,"전력간선"}</definedName>
    <definedName name="하론1_1" hidden="1">{#N/A,#N/A,FALSE,"전력간선"}</definedName>
    <definedName name="하미리" hidden="1">{#N/A,#N/A,FALSE,"골재소요량";#N/A,#N/A,FALSE,"골재소요량"}</definedName>
    <definedName name="하변">#REF!</definedName>
    <definedName name="하복경">#REF!</definedName>
    <definedName name="하복노">#REF!</definedName>
    <definedName name="하복대A">#N/A</definedName>
    <definedName name="하복재">#REF!</definedName>
    <definedName name="하부">#REF!</definedName>
    <definedName name="하부공">#REF!</definedName>
    <definedName name="하부공_기초">#REF!</definedName>
    <definedName name="하부슬라브">#REF!</definedName>
    <definedName name="하부슬래브">#REF!</definedName>
    <definedName name="하부슬래브h">#REF!</definedName>
    <definedName name="하부우각부M">#REF!</definedName>
    <definedName name="하부자중">#REF!</definedName>
    <definedName name="하부전단간격">#REF!</definedName>
    <definedName name="하부전단갯수">#REF!</definedName>
    <definedName name="하부전단철근">#REF!</definedName>
    <definedName name="하부중앙1단간격">#REF!</definedName>
    <definedName name="하부중앙2단간격">#REF!</definedName>
    <definedName name="하부중앙부1단">#REF!</definedName>
    <definedName name="하부중앙부2단">#REF!</definedName>
    <definedName name="하부중앙피복">#REF!</definedName>
    <definedName name="하부중앙d">#REF!</definedName>
    <definedName name="하부중앙h">#REF!</definedName>
    <definedName name="하부중앙M">#REF!</definedName>
    <definedName name="하부중앙S">#REF!</definedName>
    <definedName name="하부지점1단간격">#REF!</definedName>
    <definedName name="하부지점2단간격">#REF!</definedName>
    <definedName name="하부지점부1단">#REF!</definedName>
    <definedName name="하부지점부2단">#REF!</definedName>
    <definedName name="하부지점피복">#REF!</definedName>
    <definedName name="하부지점d">#REF!</definedName>
    <definedName name="하부지점h">#REF!</definedName>
    <definedName name="하부지점M">#REF!</definedName>
    <definedName name="하부지점S">#REF!</definedName>
    <definedName name="하부하중">#REF!</definedName>
    <definedName name="하부헌치높이">#REF!</definedName>
    <definedName name="하부헌치폭">#REF!</definedName>
    <definedName name="하비람" hidden="1">{#N/A,#N/A,TRUE,"1. 부하계산";#N/A,#N/A,TRUE,"1-1.부하계산기준";#N/A,#N/A,TRUE,"1-2.부하계산방법";#N/A,#N/A,TRUE,"1-3.부하집계";#N/A,#N/A,TRUE,"1-4.부하계산"}</definedName>
    <definedName name="하상경">#REF!</definedName>
    <definedName name="하상노">#REF!</definedName>
    <definedName name="하상유지공" hidden="1">{#N/A,#N/A,FALSE,"배수1"}</definedName>
    <definedName name="하상재">#REF!</definedName>
    <definedName name="하서TMTC구매설치총괄" hidden="1">#REF!</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_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_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hidden="1">{#N/A,#N/A,FALSE,"포장단가"}</definedName>
    <definedName name="하아" hidden="1">{#N/A,#N/A,FALSE,"부대2"}</definedName>
    <definedName name="하아경">#REF!</definedName>
    <definedName name="하아노">#REF!</definedName>
    <definedName name="하아드">#REF!</definedName>
    <definedName name="하아재">#REF!</definedName>
    <definedName name="하어ㅗㅓㄹㅇ" hidden="1">{#N/A,#N/A,FALSE,"혼합골재"}</definedName>
    <definedName name="하위직심사기준" hidden="1">{#N/A,#N/A,FALSE,"생산성";#N/A,#N/A,FALSE,"인력1";#N/A,#N/A,FALSE,"인력2";#N/A,#N/A,FALSE,"인력3";#N/A,#N/A,FALSE,"인건1";#N/A,#N/A,FALSE,"인건2";#N/A,#N/A,FALSE,"인건3";#N/A,#N/A,FALSE,"인원증감";#N/A,#N/A,FALSE,"인건증감";#N/A,#N/A,FALSE,"표지등"}</definedName>
    <definedName name="하위직심사기준1" hidden="1">{#N/A,#N/A,FALSE,"생산성";#N/A,#N/A,FALSE,"인력1";#N/A,#N/A,FALSE,"인력2";#N/A,#N/A,FALSE,"인력3";#N/A,#N/A,FALSE,"인건1";#N/A,#N/A,FALSE,"인건2";#N/A,#N/A,FALSE,"인건3";#N/A,#N/A,FALSE,"인원증감";#N/A,#N/A,FALSE,"인건증감";#N/A,#N/A,FALSE,"표지등"}</definedName>
    <definedName name="하이얀" hidden="1">{#N/A,#N/A,FALSE,"이태원철근"}</definedName>
    <definedName name="하이준" hidden="1">{#N/A,#N/A,FALSE,"생산성";#N/A,#N/A,FALSE,"인력1";#N/A,#N/A,FALSE,"인력2";#N/A,#N/A,FALSE,"인력3";#N/A,#N/A,FALSE,"인건1";#N/A,#N/A,FALSE,"인건2";#N/A,#N/A,FALSE,"인건3";#N/A,#N/A,FALSE,"인원증감";#N/A,#N/A,FALSE,"인건증감";#N/A,#N/A,FALSE,"표지등"}</definedName>
    <definedName name="하자">#REF!</definedName>
    <definedName name="하자공종1">#REF!</definedName>
    <definedName name="하자공종2">#REF!</definedName>
    <definedName name="하자기간1">#REF!</definedName>
    <definedName name="하자기간2">#REF!</definedName>
    <definedName name="하자기간3">#REF!</definedName>
    <definedName name="하자기간4">#REF!</definedName>
    <definedName name="하자기간5">#REF!</definedName>
    <definedName name="하자기간6">#REF!</definedName>
    <definedName name="하자보수">#REF!</definedName>
    <definedName name="하자보수공종1">OFFSET(#REF!,0,0,COUNTA(#REF!),1)</definedName>
    <definedName name="하자보수비">#REF!</definedName>
    <definedName name="하자보수충당금비율">#REF!</definedName>
    <definedName name="하자보증기간1">#REF!</definedName>
    <definedName name="하자보증기간2">#REF!</definedName>
    <definedName name="하장호">#REF!,#REF!</definedName>
    <definedName name="하중">#REF!</definedName>
    <definedName name="하지경">#REF!</definedName>
    <definedName name="하지노">#REF!</definedName>
    <definedName name="하지원" hidden="1">{#N/A,#N/A,FALSE,"지침";#N/A,#N/A,FALSE,"환경분석";#N/A,#N/A,FALSE,"Sheet16"}</definedName>
    <definedName name="하지재">#REF!</definedName>
    <definedName name="하품" hidden="1">{#N/A,#N/A,FALSE,"생산성";#N/A,#N/A,FALSE,"인력1";#N/A,#N/A,FALSE,"인력2";#N/A,#N/A,FALSE,"인력3";#N/A,#N/A,FALSE,"인건1";#N/A,#N/A,FALSE,"인건2";#N/A,#N/A,FALSE,"인건3";#N/A,#N/A,FALSE,"인원증감";#N/A,#N/A,FALSE,"인건증감";#N/A,#N/A,FALSE,"표지등"}</definedName>
    <definedName name="하하">#REF!</definedName>
    <definedName name="하하1">#REF!</definedName>
    <definedName name="하하2">#REF!</definedName>
    <definedName name="하하3">#REF!</definedName>
    <definedName name="하하4">#REF!</definedName>
    <definedName name="하하하" hidden="1">{#N/A,#N/A,FALSE,"단가표지"}</definedName>
    <definedName name="하하하1" hidden="1">{#N/A,#N/A,FALSE,"명세표"}</definedName>
    <definedName name="하한선" hidden="1">{#N/A,#N/A,FALSE,"배수2"}</definedName>
    <definedName name="하허ㅑㅅ" hidden="1">{#N/A,#N/A,FALSE,"단가표지"}</definedName>
    <definedName name="하혓" hidden="1">{#N/A,#N/A,FALSE,"조골재"}</definedName>
    <definedName name="하호" hidden="1">{#N/A,#N/A,FALSE,"지침";#N/A,#N/A,FALSE,"환경분석";#N/A,#N/A,FALSE,"Sheet16"}</definedName>
    <definedName name="하ㅓ샤" hidden="1">{#N/A,#N/A,FALSE,"운반시간"}</definedName>
    <definedName name="하ㅓ셔" hidden="1">{#N/A,#N/A,FALSE,"단가표지"}</definedName>
    <definedName name="하ㅓ셔ㅑㅗ" hidden="1">{#N/A,#N/A,FALSE,"단가표지"}</definedName>
    <definedName name="하ㅓㅎ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ㅓ햫ㄱ" hidden="1">{#N/A,#N/A,FALSE,"2~8번"}</definedName>
    <definedName name="하ㅓㅗㅑㅛㅛ" hidden="1">{#N/A,#N/A,FALSE,"혼합골재"}</definedName>
    <definedName name="하ㅓㅙㅔㅅ" hidden="1">{#N/A,#N/A,FALSE,"조골재"}</definedName>
    <definedName name="하ㅗㄷㅎ" hidden="1">{#N/A,#N/A,FALSE,"조골재"}</definedName>
    <definedName name="하ㅗㅓㅅ" hidden="1">{#N/A,#N/A,FALSE,"단가표지"}</definedName>
    <definedName name="하ㅗㅓㅑㅗㅓ" hidden="1">{#N/A,#N/A,FALSE,"단가표지"}</definedName>
    <definedName name="하ㅜㅡㅘㅎ" hidden="1">{#N/A,#N/A,FALSE,"운반시간"}</definedName>
    <definedName name="하ㅠㅓㅗ" hidden="1">{#N/A,#N/A,FALSE,"골재소요량";#N/A,#N/A,FALSE,"골재소요량"}</definedName>
    <definedName name="하ㅡ교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ㅣ소ㅑ" hidden="1">{#N/A,#N/A,FALSE,"단가표지"}</definedName>
    <definedName name="하ㅣㅓㄹ호" hidden="1">{#N/A,#N/A,FALSE,"2~8번"}</definedName>
    <definedName name="하ㅣㅓㅅ" hidden="1">{#N/A,#N/A,FALSE,"표지목차"}</definedName>
    <definedName name="하ㅣㅗㅗㅅ" hidden="1">{#N/A,#N/A,FALSE,"골재소요량";#N/A,#N/A,FALSE,"골재소요량"}</definedName>
    <definedName name="학">#REF!,#REF!</definedName>
    <definedName name="학교">#REF!</definedName>
    <definedName name="학교2">#REF!</definedName>
    <definedName name="학료" hidden="1">{#N/A,#N/A,FALSE,"배수2"}</definedName>
    <definedName name="학성">#N/A</definedName>
    <definedName name="학허8ㅕㅕㄱㅎ" hidden="1">{#N/A,#N/A,FALSE,"운반시간"}</definedName>
    <definedName name="한" hidden="1">#REF!</definedName>
    <definedName name="한_식__목_공">#REF!</definedName>
    <definedName name="한_식__와_공">#REF!</definedName>
    <definedName name="한강">#REF!</definedName>
    <definedName name="한교1호">#REF!</definedName>
    <definedName name="한교2호">#REF!</definedName>
    <definedName name="한교3호">#REF!</definedName>
    <definedName name="한국" hidden="1">{#N/A,#N/A,FALSE,"기안지";#N/A,#N/A,FALSE,"통신지"}</definedName>
    <definedName name="한국8" hidden="1">#REF!</definedName>
    <definedName name="한국9" hidden="1">#REF!</definedName>
    <definedName name="한국주류" hidden="1">{#N/A,#N/A,FALSE,"생산성";#N/A,#N/A,FALSE,"인력1";#N/A,#N/A,FALSE,"인력2";#N/A,#N/A,FALSE,"인력3";#N/A,#N/A,FALSE,"인건1";#N/A,#N/A,FALSE,"인건2";#N/A,#N/A,FALSE,"인건3";#N/A,#N/A,FALSE,"인원증감";#N/A,#N/A,FALSE,"인건증감";#N/A,#N/A,FALSE,"표지등"}</definedName>
    <definedName name="한국타코닉"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한글">#REF!</definedName>
    <definedName name="한글노무비">#REF!</definedName>
    <definedName name="한김문" hidden="1">{#N/A,#N/A,FALSE,"운반시간"}</definedName>
    <definedName name="한동" hidden="1">{#N/A,#N/A,FALSE,"단가표지"}</definedName>
    <definedName name="한동1" hidden="1">{#N/A,#N/A,FALSE,"단가표지"}</definedName>
    <definedName name="한동잉이" hidden="1">{#N/A,#N/A,FALSE,"단가표지"}</definedName>
    <definedName name="한라구절초">#REF!</definedName>
    <definedName name="한문">{"Book1","TOTAL.xls"}</definedName>
    <definedName name="한미" hidden="1">#REF!</definedName>
    <definedName name="한사랑" hidden="1">{#N/A,#N/A,FALSE,"현장 NCR 분석";#N/A,#N/A,FALSE,"현장품질감사";#N/A,#N/A,FALSE,"현장품질감사"}</definedName>
    <definedName name="한식__미장공">#REF!</definedName>
    <definedName name="한식목공001">#REF!</definedName>
    <definedName name="한식목공002">#REF!</definedName>
    <definedName name="한식목공011">#REF!</definedName>
    <definedName name="한식목공982">#REF!</definedName>
    <definedName name="한식목공991">#REF!</definedName>
    <definedName name="한식목공992">#REF!</definedName>
    <definedName name="한식목공조공">#REF!</definedName>
    <definedName name="한식목공조공001">#REF!</definedName>
    <definedName name="한식목공조공002">#REF!</definedName>
    <definedName name="한식목공조공011">#REF!</definedName>
    <definedName name="한식목공조공982">#REF!</definedName>
    <definedName name="한식목공조공991">#REF!</definedName>
    <definedName name="한식목공조공992">#REF!</definedName>
    <definedName name="한식미장공001">#REF!</definedName>
    <definedName name="한식미장공002">#REF!</definedName>
    <definedName name="한식미장공011">#REF!</definedName>
    <definedName name="한식미장공982">#REF!</definedName>
    <definedName name="한식미장공991">#REF!</definedName>
    <definedName name="한식미장공992">#REF!</definedName>
    <definedName name="한식와공001">#REF!</definedName>
    <definedName name="한식와공002">#REF!</definedName>
    <definedName name="한식와공011">#REF!</definedName>
    <definedName name="한식와공982">#REF!</definedName>
    <definedName name="한식와공991">#REF!</definedName>
    <definedName name="한식와공992">#REF!</definedName>
    <definedName name="한식와공조공">#REF!</definedName>
    <definedName name="한식와공조공001">#REF!</definedName>
    <definedName name="한식와공조공002">#REF!</definedName>
    <definedName name="한식와공조공011">#REF!</definedName>
    <definedName name="한식와공조공982">#REF!</definedName>
    <definedName name="한식와공조공991">#REF!</definedName>
    <definedName name="한식와공조공992">#REF!</definedName>
    <definedName name="한아름" hidden="1">{#N/A,#N/A,FALSE,"Sheet1"}</definedName>
    <definedName name="한얼" localSheetId="0">BlankMacro1</definedName>
    <definedName name="한얼">BlankMacro1</definedName>
    <definedName name="한영사전" hidden="1">{#N/A,#N/A,TRUE,"Y생산";#N/A,#N/A,TRUE,"Y판매";#N/A,#N/A,TRUE,"Y총물량";#N/A,#N/A,TRUE,"Y능력";#N/A,#N/A,TRUE,"YKD"}</definedName>
    <definedName name="한우리" hidden="1">{#N/A,#N/A,FALSE,"예상손익";#N/A,#N/A,FALSE,"관리분석";#N/A,#N/A,FALSE,"장비분석";#N/A,#N/A,FALSE,"준설분석";#N/A,#N/A,FALSE,"철구분석"}</definedName>
    <definedName name="한우리9동전면보수내역">{"'Sheet1'!$A$4:$M$21","'Sheet1'!$J$17:$K$19"}</definedName>
    <definedName name="한우리전체동" hidden="1">{#N/A,#N/A,FALSE,"사업총괄";#N/A,#N/A,FALSE,"장비사업";#N/A,#N/A,FALSE,"철구사업";#N/A,#N/A,FALSE,"준설사업"}</definedName>
    <definedName name="한울" hidden="1">#REF!</definedName>
    <definedName name="한울11" hidden="1">#REF!</definedName>
    <definedName name="한일건설" hidden="1">{#N/A,#N/A,FALSE,"현장 NCR 분석";#N/A,#N/A,FALSE,"현장품질감사";#N/A,#N/A,FALSE,"현장품질감사"}</definedName>
    <definedName name="한일건설_1" hidden="1">{#N/A,#N/A,FALSE,"현장 NCR 분석";#N/A,#N/A,FALSE,"현장품질감사";#N/A,#N/A,FALSE,"현장품질감사"}</definedName>
    <definedName name="한일건설_2" hidden="1">{#N/A,#N/A,FALSE,"현장 NCR 분석";#N/A,#N/A,FALSE,"현장품질감사";#N/A,#N/A,FALSE,"현장품질감사"}</definedName>
    <definedName name="한일건설_3" hidden="1">{#N/A,#N/A,FALSE,"현장 NCR 분석";#N/A,#N/A,FALSE,"현장품질감사";#N/A,#N/A,FALSE,"현장품질감사"}</definedName>
    <definedName name="한전공사비">#REF!,#REF!</definedName>
    <definedName name="한전수" hidden="1">{#N/A,#N/A,FALSE,"명세표"}</definedName>
    <definedName name="한전수탁비">#REF!</definedName>
    <definedName name="한전위탁">#N/A</definedName>
    <definedName name="한진" hidden="1">{#N/A,#N/A,FALSE,"현장 NCR 분석";#N/A,#N/A,FALSE,"현장품질감사";#N/A,#N/A,FALSE,"현장품질감사"}</definedName>
    <definedName name="한짝문">#REF!,#REF!</definedName>
    <definedName name="한천교">#REF!</definedName>
    <definedName name="한타" hidden="1">{#N/A,#N/A,FALSE,"현장 NCR 분석";#N/A,#N/A,FALSE,"현장품질감사";#N/A,#N/A,FALSE,"현장품질감사"}</definedName>
    <definedName name="할">#REF!</definedName>
    <definedName name="할___석___공">#REF!</definedName>
    <definedName name="할석공">#REF!</definedName>
    <definedName name="할석공001">#REF!</definedName>
    <definedName name="할석공002">#REF!</definedName>
    <definedName name="할석공982">#REF!</definedName>
    <definedName name="할석공991">#REF!</definedName>
    <definedName name="할석공992">#REF!</definedName>
    <definedName name="할석미장" hidden="1">#REF!</definedName>
    <definedName name="할ㅇㅎㅎ랄ㄴㅇ험ㄴ히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할제">#REF!</definedName>
    <definedName name="할증">#REF!</definedName>
    <definedName name="할증수량">#REF!</definedName>
    <definedName name="할증율">#REF!</definedName>
    <definedName name="함" localSheetId="0">BlankMacro1</definedName>
    <definedName name="함">BlankMacro1</definedName>
    <definedName name="함___석___공">#REF!</definedName>
    <definedName name="함머니" hidden="1">{#N/A,#N/A,FALSE,"골재소요량";#N/A,#N/A,FALSE,"골재소요량"}</definedName>
    <definedName name="함석">#REF!</definedName>
    <definedName name="함석공">#REF!</definedName>
    <definedName name="함석공001">#REF!</definedName>
    <definedName name="함석공002">#REF!</definedName>
    <definedName name="함석공011">#REF!</definedName>
    <definedName name="함석공982">#REF!</definedName>
    <definedName name="함석공991">#REF!</definedName>
    <definedName name="함석공992">#REF!</definedName>
    <definedName name="함석공계">#REF!</definedName>
    <definedName name="함수율">#REF!</definedName>
    <definedName name="함판3">#REF!</definedName>
    <definedName name="합_______________계">#REF!</definedName>
    <definedName name="합______________계">#N/A</definedName>
    <definedName name="합_______계">#REF!</definedName>
    <definedName name="合____計">#N/A</definedName>
    <definedName name="합1_40">#REF!</definedName>
    <definedName name="합2_25">#REF!</definedName>
    <definedName name="합2_40">#REF!</definedName>
    <definedName name="합3_25">#REF!</definedName>
    <definedName name="합계">#REF!</definedName>
    <definedName name="합계1">#REF!</definedName>
    <definedName name="합계2">#REF!</definedName>
    <definedName name="합계3">#REF!</definedName>
    <definedName name="합계표"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금액">#REF!</definedName>
    <definedName name="합금액1">#REF!</definedName>
    <definedName name="합기">#REF!</definedName>
    <definedName name="합노">#REF!</definedName>
    <definedName name="합동">#REF!</definedName>
    <definedName name="합보">#REF!</definedName>
    <definedName name="합성강성3Span">#REF!</definedName>
    <definedName name="합성단면적3Span">#REF!</definedName>
    <definedName name="합성수지몰딩노">#REF!</definedName>
    <definedName name="합성수지몰딩설치">#REF!</definedName>
    <definedName name="합의갑지">#REF!</definedName>
    <definedName name="합의실행율">#REF!</definedName>
    <definedName name="합택">#REF!</definedName>
    <definedName name="합판">#REF!</definedName>
    <definedName name="합판3">#REF!</definedName>
    <definedName name="합판3노">#REF!</definedName>
    <definedName name="합판3재">#REF!</definedName>
    <definedName name="합판4">#REF!</definedName>
    <definedName name="합판4회">#REF!</definedName>
    <definedName name="합판6">#REF!</definedName>
    <definedName name="합판6회">#REF!</definedName>
    <definedName name="합판거푸집">#REF!</definedName>
    <definedName name="합판거푸집노">#REF!</definedName>
    <definedName name="합판노">#REF!</definedName>
    <definedName name="합판노무">#REF!</definedName>
    <definedName name="합판재">#REF!</definedName>
    <definedName name="합판재료">#REF!</definedName>
    <definedName name="합표">#REF!</definedName>
    <definedName name="합프">#REF!</definedName>
    <definedName name="항" hidden="1">{#N/A,#N/A,FALSE,"BS";#N/A,#N/A,FALSE,"PL";#N/A,#N/A,FALSE,"처분";#N/A,#N/A,FALSE,"현금";#N/A,#N/A,FALSE,"매출";#N/A,#N/A,FALSE,"원가";#N/A,#N/A,FALSE,"경영"}</definedName>
    <definedName name="항__목">#REF!</definedName>
    <definedName name="항공장애구" hidden="1">{#N/A,#N/A,FALSE,"현장 NCR 분석";#N/A,#N/A,FALSE,"현장품질감사";#N/A,#N/A,FALSE,"현장품질감사"}</definedName>
    <definedName name="항나">{"'급수관로수리계산서'!$A$1:$V$45"}</definedName>
    <definedName name="항목">#REF!</definedName>
    <definedName name="항목번호">#REF!</definedName>
    <definedName name="항목별사" hidden="1">{#N/A,#N/A,FALSE,"Sheet1";#N/A,#N/A,FALSE,"Sheet2";#N/A,#N/A,FALSE,"TAB96-1"}</definedName>
    <definedName name="항타길이_경사">#REF!</definedName>
    <definedName name="항타길이_수직">#REF!</definedName>
    <definedName name="항타이름" hidden="1">{#N/A,#N/A,FALSE,"현장 NCR 분석";#N/A,#N/A,FALSE,"현장품질감사";#N/A,#N/A,FALSE,"현장품질감사"}</definedName>
    <definedName name="핳" hidden="1">{#N/A,#N/A,TRUE,"토적및재료집계";#N/A,#N/A,TRUE,"토적및재료집계";#N/A,#N/A,TRUE,"단위량"}</definedName>
    <definedName name="핳강" hidden="1">{#N/A,#N/A,FALSE,"단가표지"}</definedName>
    <definedName name="해" hidden="1">#REF!</definedName>
    <definedName name="해당화">#REF!</definedName>
    <definedName name="해당화노무">#REF!</definedName>
    <definedName name="해당화재료">#REF!</definedName>
    <definedName name="해동" hidden="1">{#N/A,#N/A,FALSE,"생산성";#N/A,#N/A,FALSE,"인력1";#N/A,#N/A,FALSE,"인력2";#N/A,#N/A,FALSE,"인력3";#N/A,#N/A,FALSE,"인건1";#N/A,#N/A,FALSE,"인건2";#N/A,#N/A,FALSE,"인건3";#N/A,#N/A,FALSE,"인원증감";#N/A,#N/A,FALSE,"인건증감";#N/A,#N/A,FALSE,"표지등"}</definedName>
    <definedName name="해룡" localSheetId="0">BlankMacro1</definedName>
    <definedName name="해룡">BlankMacro1</definedName>
    <definedName name="해성특시" hidden="1">#REF!</definedName>
    <definedName name="해송">#REF!</definedName>
    <definedName name="해송1.2">#REF!</definedName>
    <definedName name="해송H3.0xW1.2xR10">#REF!</definedName>
    <definedName name="해송H3.5xW1.5xR12">#REF!</definedName>
    <definedName name="해외영업">#REF!</definedName>
    <definedName name="해창철콘">[0]!CARL</definedName>
    <definedName name="해체">#REF!</definedName>
    <definedName name="행">#REF!</definedName>
    <definedName name="행간격1">#REF!,#REF!,#REF!,#REF!,#REF!,#REF!,#REF!,#REF!,#REF!,#REF!,#REF!,#REF!,#REF!,#REF!,#REF!,#REF!,#REF!,#REF!,#REF!</definedName>
    <definedName name="행간격2">#REF!,#REF!,#REF!,#REF!,#REF!,#REF!,#REF!,#REF!,#REF!,#REF!,#REF!,#REF!,#REF!,#REF!,#REF!,#REF!,#REF!,#REF!,#REF!,#REF!</definedName>
    <definedName name="행삭제">#REF!</definedName>
    <definedName name="행선안내게시기설비">#REF!</definedName>
    <definedName name="행자1000이상0210">#N/A</definedName>
    <definedName name="행자100미만0210">#N/A</definedName>
    <definedName name="행자100이상0210">#N/A</definedName>
    <definedName name="행자부100억미만">#N/A</definedName>
    <definedName name="행자부100억이상">#N/A</definedName>
    <definedName name="행창토건">#N/A</definedName>
    <definedName name="행헑" hidden="1">{#N/A,#N/A,FALSE,"단가표지"}</definedName>
    <definedName name="햐" hidden="1">{#N/A,#N/A,FALSE,"사업총괄";#N/A,#N/A,FALSE,"장비사업";#N/A,#N/A,FALSE,"철구사업";#N/A,#N/A,FALSE,"준설사업"}</definedName>
    <definedName name="햐러" hidden="1">{#N/A,#N/A,FALSE,"변경관리예산";#N/A,#N/A,FALSE,"변경장비예산";#N/A,#N/A,FALSE,"변경준설예산";#N/A,#N/A,FALSE,"변경철구예산"}</definedName>
    <definedName name="햐샤ㅠ" hidden="1">{#N/A,#N/A,FALSE,"단가표지"}</definedName>
    <definedName name="햐ㅓㅈ바허ㅏㅣ농하ㅗㅎ" hidden="1">{#N/A,#N/A,FALSE,"CCTV"}</definedName>
    <definedName name="햐ㅓㅏㅕ" hidden="1">{#N/A,#N/A,FALSE,"운반시간"}</definedName>
    <definedName name="햐ㅕㅓㅎ갸" hidden="1">{#N/A,#N/A,FALSE,"2~8번"}</definedName>
    <definedName name="햐ㅗㅓ샤" hidden="1">{#N/A,#N/A,FALSE,"2~8번"}</definedName>
    <definedName name="햐ㅗㅓㅎㄱ" hidden="1">{#N/A,#N/A,FALSE,"골재소요량";#N/A,#N/A,FALSE,"골재소요량"}</definedName>
    <definedName name="햑ㅎㅎ" hidden="1">{#N/A,#N/A,FALSE,"운반시간"}</definedName>
    <definedName name="햘" hidden="1">{#N/A,#N/A,FALSE,"변경관리예산";#N/A,#N/A,FALSE,"변경장비예산";#N/A,#N/A,FALSE,"변경준설예산";#N/A,#N/A,FALSE,"변경철구예산"}</definedName>
    <definedName name="향남1_40">#REF!</definedName>
    <definedName name="향남2_25">#REF!</definedName>
    <definedName name="향남2_40">#REF!</definedName>
    <definedName name="향남3_25">#REF!</definedName>
    <definedName name="햫나ㅣㅚㅎ" hidden="1">{#N/A,#N/A,FALSE,"조골재"}</definedName>
    <definedName name="허" hidden="1">{#N/A,#N/A,FALSE,"Sheet6"}</definedName>
    <definedName name="허금란">#REF!</definedName>
    <definedName name="허라ㅣㅓㅁㅇㄹ" hidden="1">#REF!</definedName>
    <definedName name="허러호" hidden="1">{#N/A,#N/A,FALSE,"단가표지"}</definedName>
    <definedName name="허샤ㅗ" hidden="1">{#N/A,#N/A,FALSE,"2~8번"}</definedName>
    <definedName name="허서" hidden="1">{#N/A,#N/A,FALSE,"단가표지"}</definedName>
    <definedName name="허셔ㅑㅗ" hidden="1">{#N/A,#N/A,FALSE,"운반시간"}</definedName>
    <definedName name="허셔ㅓㄹ" hidden="1">{#N/A,#N/A,FALSE,"운반시간"}</definedName>
    <definedName name="허솟" hidden="1">{#N/A,#N/A,FALSE,"단가표지"}</definedName>
    <definedName name="허송" hidden="1">{#N/A,#N/A,FALSE,"운반시간"}</definedName>
    <definedName name="허수아비" hidden="1">{#N/A,#N/A,FALSE,"운반시간"}</definedName>
    <definedName name="허옴" hidden="1">{#N/A,#N/A,FALSE,"2~8번"}</definedName>
    <definedName name="허용지반반력">70</definedName>
    <definedName name="허창영">#REF!,#REF!</definedName>
    <definedName name="허팡">#REF!</definedName>
    <definedName name="허하ㅗ" hidden="1">{#N/A,#N/A,FALSE,"표지목차"}</definedName>
    <definedName name="허허" hidden="1">{#N/A,#N/A,FALSE,"2~8번"}</definedName>
    <definedName name="허허ㅓ효" hidden="1">{#N/A,#N/A,FALSE,"표지목차"}</definedName>
    <definedName name="허헛" hidden="1">{#N/A,#N/A,FALSE,"조골재"}</definedName>
    <definedName name="허호ㅡ" hidden="1">{#N/A,#N/A,FALSE,"운반시간"}</definedName>
    <definedName name="허ㅏ" hidden="1">{#N/A,#N/A,FALSE,"단가표지"}</definedName>
    <definedName name="허ㅏㄱ" hidden="1">{#N/A,#N/A,FALSE,"단가표지"}</definedName>
    <definedName name="허ㅏㅅ헣" hidden="1">{#N/A,#N/A,FALSE,"단가표지"}</definedName>
    <definedName name="허ㅏ샤" hidden="1">{#N/A,#N/A,FALSE,"혼합골재"}</definedName>
    <definedName name="허ㅏㅈ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ㅏ햐" hidden="1">{#N/A,#N/A,FALSE,"단가표지"}</definedName>
    <definedName name="허ㅏ혓" hidden="1">{#N/A,#N/A,FALSE,"운반시간"}</definedName>
    <definedName name="허ㅏ호ㅓㅎ" hidden="1">{#N/A,#N/A,FALSE,"운반시간"}</definedName>
    <definedName name="허ㅏㅑ애헉" hidden="1">{#N/A,#N/A,FALSE,"운반시간"}</definedName>
    <definedName name="허ㅏㅗㅅ" hidden="1">{#N/A,#N/A,FALSE,"단가표지"}</definedName>
    <definedName name="허ㅏㅗ하" hidden="1">{#N/A,#N/A,FALSE,"집계";#N/A,#N/A,FALSE,"표지";#N/A,#N/A,FALSE,"터빈집계";#N/A,#N/A,FALSE,"터빈내역";#N/A,#N/A,FALSE,"주제어집계";#N/A,#N/A,FALSE,"주제어내역";#N/A,#N/A,FALSE,"보일러집계";#N/A,#N/A,FALSE,"보일러내역"}</definedName>
    <definedName name="허ㅏㅗ혓" hidden="1">{#N/A,#N/A,FALSE,"조골재"}</definedName>
    <definedName name="허ㅏㅗㅑㅅ" hidden="1">{#N/A,#N/A,FALSE,"운반시간"}</definedName>
    <definedName name="허ㅏㅗㅑㅏㅛ" hidden="1">{#N/A,#N/A,FALSE,"운반시간"}</definedName>
    <definedName name="허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쇼" hidden="1">{#N/A,#N/A,FALSE,"운반시간"}</definedName>
    <definedName name="허ㅓㅎ" hidden="1">{#N/A,#N/A,FALSE,"생산성";#N/A,#N/A,FALSE,"인력1";#N/A,#N/A,FALSE,"인력2";#N/A,#N/A,FALSE,"인력3";#N/A,#N/A,FALSE,"인건1";#N/A,#N/A,FALSE,"인건2";#N/A,#N/A,FALSE,"인건3";#N/A,#N/A,FALSE,"인원증감";#N/A,#N/A,FALSE,"인건증감";#N/A,#N/A,FALSE,"표지등"}</definedName>
    <definedName name="허ㅓ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ㅗㄹ" hidden="1">{#N/A,#N/A,FALSE,"표지목차"}</definedName>
    <definedName name="허ㅗ롷ㄱ" hidden="1">{#N/A,#N/A,FALSE,"단가표지"}</definedName>
    <definedName name="허ㅗ셔" hidden="1">{#N/A,#N/A,FALSE,"혼합골재"}</definedName>
    <definedName name="허ㅗ소ㅕ" hidden="1">{#N/A,#N/A,FALSE,"운반시간"}</definedName>
    <definedName name="허ㅗㅈ거ㅛㅛ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ㅗㅎ겨" hidden="1">{#N/A,#N/A,FALSE,"단가표지"}</definedName>
    <definedName name="허ㅗ허" hidden="1">{#N/A,#N/A,FALSE,"단가표지"}</definedName>
    <definedName name="허ㅗ허ㅎ" hidden="1">#REF!</definedName>
    <definedName name="허ㅗ혁" hidden="1">{#N/A,#N/A,FALSE,"운반시간"}</definedName>
    <definedName name="허ㅗ혓ㅇ" hidden="1">{#N/A,#N/A,FALSE,"단가표지"}</definedName>
    <definedName name="허ㅗ형" hidden="1">{#N/A,#N/A,FALSE,"운반시간"}</definedName>
    <definedName name="허ㅗㅕㅅ" hidden="1">{#N/A,#N/A,FALSE,"2~8번"}</definedName>
    <definedName name="허ㅗㅗㄹ" hidden="1">{#N/A,#N/A,FALSE,"단가표지"}</definedName>
    <definedName name="허ㅗㅜㅡㅗ" hidden="1">{#N/A,#N/A,FALSE,"혼합골재"}</definedName>
    <definedName name="허ㅛㅗㄹ" hidden="1">{#N/A,#N/A,FALSE,"운반시간"}</definedName>
    <definedName name="허ㅡㅠ" hidden="1">{#N/A,#N/A,FALSE,"운반시간"}</definedName>
    <definedName name="허ㅣㅏ언" localSheetId="0">BlankMacro1</definedName>
    <definedName name="허ㅣㅏ언">BlankMacro1</definedName>
    <definedName name="헉ㄹ소" hidden="1">{#N/A,#N/A,FALSE,"단가표지"}</definedName>
    <definedName name="헉설" hidden="1">{#N/A,#N/A,FALSE,"운반시간"}</definedName>
    <definedName name="헌ㄴ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치1">#REF!</definedName>
    <definedName name="헌치2">#REF!</definedName>
    <definedName name="헌치b">#REF!</definedName>
    <definedName name="헌치h">#REF!</definedName>
    <definedName name="헌치V">#REF!</definedName>
    <definedName name="헐너ㅏ" hidden="1">#REF!</definedName>
    <definedName name="험프" hidden="1">#REF!</definedName>
    <definedName name="험프수량" hidden="1">#REF!</definedName>
    <definedName name="헝" hidden="1">{"' 거래명세서'!$B$120:$H$158","'충전산업'!$L$28","'충전산업'!$A$1:$I$40","' 거래명세서'!$K$5"}</definedName>
    <definedName name="혀소ㅑ" hidden="1">{#N/A,#N/A,FALSE,"골재소요량";#N/A,#N/A,FALSE,"골재소요량"}</definedName>
    <definedName name="혀쇼ㅕ" hidden="1">#REF!</definedName>
    <definedName name="혀오강ㄷ" hidden="1">{#N/A,#N/A,FALSE,"지침";#N/A,#N/A,FALSE,"환경분석";#N/A,#N/A,FALSE,"Sheet16"}</definedName>
    <definedName name="혀혹" hidden="1">{#N/A,#N/A,FALSE,"단가표지"}</definedName>
    <definedName name="혀ㅑ">#REF!</definedName>
    <definedName name="혀ㅑㅑㅡ" hidden="1">{#N/A,#N/A,FALSE,"혼합골재"}</definedName>
    <definedName name="혀ㅑㅗㅇ7ㅕㅕㅗㄺ" hidden="1">{#N/A,#N/A,FALSE,"운반시간"}</definedName>
    <definedName name="혀ㅓㄷ교ㅗㅛㅕㅇㄴ" hidden="1">{#N/A,#N/A,FALSE,"혼합골재"}</definedName>
    <definedName name="혀ㅓ허ㅗ" hidden="1">{#N/A,#N/A,FALSE,"단가표지"}</definedName>
    <definedName name="혀ㅕㅎㅎ" hidden="1">{#N/A,#N/A,FALSE,"혼합골재"}</definedName>
    <definedName name="혀ㅗ려" hidden="1">{#N/A,#N/A,FALSE,"운반시간"}</definedName>
    <definedName name="혀ㅗㅀㄱㄷㅎ" hidden="1">{#N/A,#N/A,FALSE,"운반시간"}</definedName>
    <definedName name="혀ㅛㄹㅇ7ㅀㄱ" hidden="1">{#N/A,#N/A,FALSE,"단가표지"}</definedName>
    <definedName name="혀ㅛㅜㅗ" hidden="1">{#N/A,#N/A,FALSE,"혼합골재"}</definedName>
    <definedName name="혀ㅜㅕㅑ료ㅜ" hidden="1">{#N/A,#N/A,FALSE,"운반시간"}</definedName>
    <definedName name="혃홋" hidden="1">{#N/A,#N/A,FALSE,"단가표지"}</definedName>
    <definedName name="현" hidden="1">{#N/A,#N/A,FALSE,"현장 NCR 분석";#N/A,#N/A,FALSE,"현장품질감사";#N/A,#N/A,FALSE,"현장품질감사"}</definedName>
    <definedName name="현___도___사">#REF!</definedName>
    <definedName name="현경">#REF!</definedName>
    <definedName name="현관" hidden="1">{#N/A,#N/A,FALSE,"갑지";#N/A,#N/A,FALSE,"개요";#N/A,#N/A,FALSE,"비목별";#N/A,#N/A,FALSE,"건물별";#N/A,#N/A,FALSE,"기구표";#N/A,#N/A,FALSE,"직원투입"}</definedName>
    <definedName name="현관귀틀노">#REF!</definedName>
    <definedName name="현관귀틀설치">#REF!</definedName>
    <definedName name="현광등" hidden="1">{#N/A,#N/A,FALSE,"지침";#N/A,#N/A,FALSE,"환경분석";#N/A,#N/A,FALSE,"Sheet16"}</definedName>
    <definedName name="현금흐름">#REF!</definedName>
    <definedName name="현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대_1" hidden="1">{#N/A,#N/A,FALSE,"손익표지";#N/A,#N/A,FALSE,"손익계산";#N/A,#N/A,FALSE,"일반관리비";#N/A,#N/A,FALSE,"영업외수익";#N/A,#N/A,FALSE,"영업외비용";#N/A,#N/A,FALSE,"매출액";#N/A,#N/A,FALSE,"요약손익";#N/A,#N/A,FALSE,"요약대차";#N/A,#N/A,FALSE,"매출채권현황";#N/A,#N/A,FALSE,"매출채권명세"}</definedName>
    <definedName name="현대_2" hidden="1">{#N/A,#N/A,FALSE,"손익표지";#N/A,#N/A,FALSE,"손익계산";#N/A,#N/A,FALSE,"일반관리비";#N/A,#N/A,FALSE,"영업외수익";#N/A,#N/A,FALSE,"영업외비용";#N/A,#N/A,FALSE,"매출액";#N/A,#N/A,FALSE,"요약손익";#N/A,#N/A,FALSE,"요약대차";#N/A,#N/A,FALSE,"매출채권현황";#N/A,#N/A,FALSE,"매출채권명세"}</definedName>
    <definedName name="현대_3" hidden="1">{#N/A,#N/A,FALSE,"손익표지";#N/A,#N/A,FALSE,"손익계산";#N/A,#N/A,FALSE,"일반관리비";#N/A,#N/A,FALSE,"영업외수익";#N/A,#N/A,FALSE,"영업외비용";#N/A,#N/A,FALSE,"매출액";#N/A,#N/A,FALSE,"요약손익";#N/A,#N/A,FALSE,"요약대차";#N/A,#N/A,FALSE,"매출채권현황";#N/A,#N/A,FALSE,"매출채권명세"}</definedName>
    <definedName name="현대건">#REF!</definedName>
    <definedName name="현대건설" hidden="1">{#N/A,#N/A,FALSE,"현장 NCR 분석";#N/A,#N/A,FALSE,"현장품질감사";#N/A,#N/A,FALSE,"현장품질감사"}</definedName>
    <definedName name="현대건설_1" hidden="1">{#N/A,#N/A,FALSE,"현장 NCR 분석";#N/A,#N/A,FALSE,"현장품질감사";#N/A,#N/A,FALSE,"현장품질감사"}</definedName>
    <definedName name="현대건설_2" hidden="1">{#N/A,#N/A,FALSE,"현장 NCR 분석";#N/A,#N/A,FALSE,"현장품질감사";#N/A,#N/A,FALSE,"현장품질감사"}</definedName>
    <definedName name="현대건설_3" hidden="1">{#N/A,#N/A,FALSE,"현장 NCR 분석";#N/A,#N/A,FALSE,"현장품질감사";#N/A,#N/A,FALSE,"현장품질감사"}</definedName>
    <definedName name="현대기">#REF!</definedName>
    <definedName name="현대내역서">{"'Sheet1'!$A$4","'Sheet1'!$A$9:$G$28"}</definedName>
    <definedName name="현대리바트">#REF!</definedName>
    <definedName name="현대빌라" hidden="1">{#N/A,#N/A,FALSE,"전력간선"}</definedName>
    <definedName name="현대빌라총괄" hidden="1">{#N/A,#N/A,FALSE,"포장2"}</definedName>
    <definedName name="현대산업">#REF!</definedName>
    <definedName name="현대산업개발판테온리젠시" hidden="1">{#N/A,#N/A,FALSE,"Sheet1"}</definedName>
    <definedName name="現代綜合商事經由分">#REF!</definedName>
    <definedName name="현대철">#REF!</definedName>
    <definedName name="현대코아공통비" hidden="1">#REF!</definedName>
    <definedName name="현대토">#REF!</definedName>
    <definedName name="현도사">#REF!</definedName>
    <definedName name="현도사001">#REF!</definedName>
    <definedName name="현도사002">#REF!</definedName>
    <definedName name="현도사011">#REF!</definedName>
    <definedName name="현도사982">#REF!</definedName>
    <definedName name="현도사991">#REF!</definedName>
    <definedName name="현도사992">#REF!</definedName>
    <definedName name="현리간">{"'광피스표'!$A$3:$N$54"}</definedName>
    <definedName name="현상원">#REF!</definedName>
    <definedName name="현상원노임">#REF!</definedName>
    <definedName name="현설">#REF!</definedName>
    <definedName name="현설내역">#REF!</definedName>
    <definedName name="현설자재수량검토" hidden="1">{#N/A,#N/A,FALSE,"전력간선"}</definedName>
    <definedName name="현설조건">#N/A</definedName>
    <definedName name="현설조건양식">#REF!</definedName>
    <definedName name="현설조건양식1">#N/A</definedName>
    <definedName name="현설조서">#REF!</definedName>
    <definedName name="현설조소">#N/A</definedName>
    <definedName name="현설토공사">#REF!</definedName>
    <definedName name="현설품의">#REF!</definedName>
    <definedName name="현설품의1">#N/A</definedName>
    <definedName name="현설품의양식">#N/A</definedName>
    <definedName name="현장" hidden="1">#REF!</definedName>
    <definedName name="현장경">#REF!</definedName>
    <definedName name="현장관리">#REF!</definedName>
    <definedName name="현장관리비">#REF!</definedName>
    <definedName name="현장내운반" hidden="1">{#N/A,#N/A,FALSE,"2~8번"}</definedName>
    <definedName name="현장노">#REF!</definedName>
    <definedName name="현장대리인">#REF!</definedName>
    <definedName name="현장명">#REF!</definedName>
    <definedName name="현장별출고현황_가동_List">#REF!</definedName>
    <definedName name="현장별출고현황_가동_List1">#REF!</definedName>
    <definedName name="현장설명" hidden="1">{#N/A,#N/A,FALSE,"현장 NCR 분석";#N/A,#N/A,FALSE,"현장품질감사";#N/A,#N/A,FALSE,"현장품질감사"}</definedName>
    <definedName name="현장설명2" hidden="1">{#N/A,#N/A,FALSE,"현장 NCR 분석";#N/A,#N/A,FALSE,"현장품질감사";#N/A,#N/A,FALSE,"현장품질감사"}</definedName>
    <definedName name="현장설명서" hidden="1">{#N/A,#N/A,FALSE,"전력간선"}</definedName>
    <definedName name="현장설명청취보고서">#REF!</definedName>
    <definedName name="현장수당" hidden="1">{#N/A,#N/A,FALSE,"현장 NCR 분석";#N/A,#N/A,FALSE,"현장품질감사";#N/A,#N/A,FALSE,"현장품질감사"}</definedName>
    <definedName name="현장여건">#REF!</definedName>
    <definedName name="현장운영비산출" hidden="1">#REF!</definedName>
    <definedName name="현장위치" hidden="1">{#N/A,#N/A,FALSE,"이태원철근"}</definedName>
    <definedName name="현장자재外" hidden="1">{"'Sheet1'!$A$4:$M$21","'Sheet1'!$J$17:$K$19"}</definedName>
    <definedName name="현장장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현장재">#REF!</definedName>
    <definedName name="현장정리">#REF!</definedName>
    <definedName name="현장정리비">#REF!</definedName>
    <definedName name="현장조직표2" hidden="1">{#N/A,#N/A,FALSE,"이태원철근"}</definedName>
    <definedName name="현장주변사진" hidden="1">{#N/A,#N/A,FALSE,"이태원철근"}</definedName>
    <definedName name="현장코드">#REF!</definedName>
    <definedName name="현재" hidden="1">{#N/A,#N/A,FALSE,"현장 NCR 분석";#N/A,#N/A,FALSE,"현장품질감사";#N/A,#N/A,FALSE,"현장품질감사"}</definedName>
    <definedName name="현재_1" hidden="1">{#N/A,#N/A,FALSE,"현장 NCR 분석";#N/A,#N/A,FALSE,"현장품질감사";#N/A,#N/A,FALSE,"현장품질감사"}</definedName>
    <definedName name="현재_2" hidden="1">{#N/A,#N/A,FALSE,"현장 NCR 분석";#N/A,#N/A,FALSE,"현장품질감사";#N/A,#N/A,FALSE,"현장품질감사"}</definedName>
    <definedName name="현재_3" hidden="1">{#N/A,#N/A,FALSE,"현장 NCR 분석";#N/A,#N/A,FALSE,"현장품질감사";#N/A,#N/A,FALSE,"현장품질감사"}</definedName>
    <definedName name="현재가치">#REF!</definedName>
    <definedName name="현재공정율">#REF!</definedName>
    <definedName name="현재기업" hidden="1">{#N/A,#N/A,FALSE,"현장 NCR 분석";#N/A,#N/A,FALSE,"현장품질감사";#N/A,#N/A,FALSE,"현장품질감사"}</definedName>
    <definedName name="현재기업_1" hidden="1">{#N/A,#N/A,FALSE,"현장 NCR 분석";#N/A,#N/A,FALSE,"현장품질감사";#N/A,#N/A,FALSE,"현장품질감사"}</definedName>
    <definedName name="현재기업_2" hidden="1">{#N/A,#N/A,FALSE,"현장 NCR 분석";#N/A,#N/A,FALSE,"현장품질감사";#N/A,#N/A,FALSE,"현장품질감사"}</definedName>
    <definedName name="현재기업_3" hidden="1">{#N/A,#N/A,FALSE,"현장 NCR 분석";#N/A,#N/A,FALSE,"현장품질감사";#N/A,#N/A,FALSE,"현장품질감사"}</definedName>
    <definedName name="현조" hidden="1">#REF!</definedName>
    <definedName name="현지">#REF!</definedName>
    <definedName name="현지교통비">#REF!</definedName>
    <definedName name="현찰계약금">#N/A</definedName>
    <definedName name="현채직">#REF!</definedName>
    <definedName name="현천기자재비">#REF!</definedName>
    <definedName name="현황">#REF!,#REF!</definedName>
    <definedName name="현황11" localSheetId="0">BlankMacro1</definedName>
    <definedName name="현황11">BlankMacro1</definedName>
    <definedName name="현황도">#REF!</definedName>
    <definedName name="현황보고" hidden="1">{#N/A,#N/A,FALSE,"Sheet1"}</definedName>
    <definedName name="현황조사" localSheetId="0">BlankMacro1</definedName>
    <definedName name="현황조사">BlankMacro1</definedName>
    <definedName name="협" hidden="1">{#N/A,#N/A,FALSE,"배수2"}</definedName>
    <definedName name="협력" hidden="1">{#N/A,#N/A,FALSE,"포장2"}</definedName>
    <definedName name="협력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업체" hidden="1">{#N/A,#N/A,FALSE,"포장2"}</definedName>
    <definedName name="협력업체목록">#REF!</definedName>
    <definedName name="협의" hidden="1">{#N/A,#N/A,FALSE,"단축1";#N/A,#N/A,FALSE,"단축2";#N/A,#N/A,FALSE,"단축3";#N/A,#N/A,FALSE,"장축";#N/A,#N/A,FALSE,"4WD"}</definedName>
    <definedName name="협조전" hidden="1">#REF!</definedName>
    <definedName name="협죽도4노무">#REF!</definedName>
    <definedName name="협죽도4재료">#REF!</definedName>
    <definedName name="협죽도5노무">#REF!</definedName>
    <definedName name="협죽도5재료">#REF!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형_틀_목_공">#REF!</definedName>
    <definedName name="형상">#REF!</definedName>
    <definedName name="형석"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형석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형식" hidden="1">{#N/A,#N/A,FALSE,"운반시간"}</definedName>
    <definedName name="형욱">#REF!</definedName>
    <definedName name="형제" hidden="1">{#N/A,#N/A,FALSE,"포장2"}</definedName>
    <definedName name="형틀">#REF!</definedName>
    <definedName name="형틀목공">#REF!</definedName>
    <definedName name="형틀목공001">#REF!</definedName>
    <definedName name="형틀목공002">#REF!</definedName>
    <definedName name="형틀목공011">#REF!</definedName>
    <definedName name="형틀목공982">#REF!</definedName>
    <definedName name="형틀목공991">#REF!</definedName>
    <definedName name="형틀목공992">#REF!</definedName>
    <definedName name="형틀업체" hidden="1">{#N/A,#N/A,FALSE,"월공사비집계표양식 (7)";#N/A,#N/A,FALSE,"월공사비집계표양식 (7)"}</definedName>
    <definedName name="형틀총금액">#REF!</definedName>
    <definedName name="호">#REF!</definedName>
    <definedName name="호기">#REF!</definedName>
    <definedName name="호남">#REF!</definedName>
    <definedName name="호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랑이" hidden="1">{#N/A,#N/A,FALSE,"조골재"}</definedName>
    <definedName name="호류아라" hidden="1">{#N/A,#N/A,FALSE,"단가표지"}</definedName>
    <definedName name="호모">#N/A</definedName>
    <definedName name="호박">#REF!</definedName>
    <definedName name="호박노">#REF!</definedName>
    <definedName name="호박돌">#REF!</definedName>
    <definedName name="호박재">#REF!</definedName>
    <definedName name="호사ㅓㅗ쇼ㅗ" hidden="1">{#N/A,#N/A,FALSE,"표지목차"}</definedName>
    <definedName name="호상기성1회">#N/A</definedName>
    <definedName name="호상기성2회">#N/A</definedName>
    <definedName name="호서">#REF!</definedName>
    <definedName name="호서ㅓㅏ" hidden="1">{#N/A,#N/A,FALSE,"혼합골재"}</definedName>
    <definedName name="호셔ㅑ혈ㅇ" hidden="1">{#N/A,#N/A,FALSE,"2~8번"}</definedName>
    <definedName name="호소" hidden="1">{#N/A,#N/A,FALSE,"운반시간"}</definedName>
    <definedName name="호소ㅗ" hidden="1">{#N/A,#N/A,FALSE,"단가표지"}</definedName>
    <definedName name="호소ㅛ" hidden="1">{#N/A,#N/A,FALSE,"표지목차"}</definedName>
    <definedName name="호쇼" hidden="1">{#N/A,#N/A,FALSE,"골재소요량";#N/A,#N/A,FALSE,"골재소요량"}</definedName>
    <definedName name="호안블럭" hidden="1">{#N/A,#N/A,FALSE,"단가표지"}</definedName>
    <definedName name="호안연장">#REF!</definedName>
    <definedName name="호야">#REF!</definedName>
    <definedName name="호오">#REF!</definedName>
    <definedName name="호우" hidden="1">{#N/A,#N/A,FALSE,"표지목차"}</definedName>
    <definedName name="호우ㅗ" hidden="1">{#N/A,#N/A,FALSE,"단가표지"}</definedName>
    <definedName name="호이스느" hidden="1">{#N/A,#N/A,FALSE,"물량산출"}</definedName>
    <definedName name="호이스트자리\물량" localSheetId="0">BlankMacro1</definedName>
    <definedName name="호이스트자리\물량">BlankMacro1</definedName>
    <definedName name="호쟁이" hidden="1">{#N/A,#N/A,FALSE,"혼합골재"}</definedName>
    <definedName name="호지니">#REF!</definedName>
    <definedName name="호진">#REF!</definedName>
    <definedName name="호표">#REF!</definedName>
    <definedName name="호표자" hidden="1">{"'관경확장'!$A$79:$M$98","'관경확장'!$A$54:$M$78"}</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하" hidden="1">{#N/A,#N/A,FALSE,"지침";#N/A,#N/A,FALSE,"환경분석";#N/A,#N/A,FALSE,"Sheet16"}</definedName>
    <definedName name="호혀ㅓ" hidden="1">{#N/A,#N/A,FALSE,"조골재"}</definedName>
    <definedName name="호호" hidden="1">{#N/A,#N/A,FALSE,"부대1"}</definedName>
    <definedName name="호호호" hidden="1">{#N/A,#N/A,FALSE,"현장 NCR 분석";#N/A,#N/A,FALSE,"현장품질감사";#N/A,#N/A,FALSE,"현장품질감사"}</definedName>
    <definedName name="호호호1" hidden="1">{#N/A,#N/A,FALSE,"명세표"}</definedName>
    <definedName name="호호호호">#REF!</definedName>
    <definedName name="호호호호호호호호호" hidden="1">{#N/A,#N/A,FALSE,"이태원철근"}</definedName>
    <definedName name="호호호호호호호호호_1" hidden="1">{#N/A,#N/A,FALSE,"이태원철근"}</definedName>
    <definedName name="호호호호호호호호호_2" hidden="1">{#N/A,#N/A,FALSE,"이태원철근"}</definedName>
    <definedName name="호호호호호호호호호_3" hidden="1">{#N/A,#N/A,FALSE,"이태원철근"}</definedName>
    <definedName name="호홓" hidden="1">#REF!</definedName>
    <definedName name="호ㅑㅏㅕ" hidden="1">{#N/A,#N/A,FALSE,"골재소요량";#N/A,#N/A,FALSE,"골재소요량"}</definedName>
    <definedName name="호ㅑㅏㅕㅐ" hidden="1">{#N/A,#N/A,FALSE,"골재소요량";#N/A,#N/A,FALSE,"골재소요량"}</definedName>
    <definedName name="호ㅑㅏㅕㅑㅏ" hidden="1">{#N/A,#N/A,FALSE,"조골재"}</definedName>
    <definedName name="호ㅓ" hidden="1">#REF!</definedName>
    <definedName name="호ㅓㅅ" hidden="1">{#N/A,#N/A,FALSE,"단가표지"}</definedName>
    <definedName name="호ㅓ샤" hidden="1">{#N/A,#N/A,FALSE,"조골재"}</definedName>
    <definedName name="호ㅓ셯" hidden="1">{#N/A,#N/A,FALSE,"조골재"}</definedName>
    <definedName name="호ㅓ쇼" hidden="1">{#N/A,#N/A,FALSE,"혼합골재"}</definedName>
    <definedName name="호ㅓ쇼허" hidden="1">{#N/A,#N/A,FALSE,"혼합골재"}</definedName>
    <definedName name="호ㅓ쇼ㅓ" hidden="1">{#N/A,#N/A,FALSE,"단가표지"}</definedName>
    <definedName name="호ㅓㅊ호ㅓ">#REF!</definedName>
    <definedName name="호ㅓㅎ" hidden="1">{#N/A,#N/A,FALSE,"표지목차"}</definedName>
    <definedName name="호ㅓ호" hidden="1">{#N/A,#N/A,FALSE,"2~8번"}</definedName>
    <definedName name="호ㅓ호ㅓ" hidden="1">{#N/A,#N/A,FALSE,"골재소요량";#N/A,#N/A,FALSE,"골재소요량"}</definedName>
    <definedName name="호ㅓ호ㅓㅎ" hidden="1">{#N/A,#N/A,FALSE,"2~8번"}</definedName>
    <definedName name="호ㅓ호ㅕㅏ" hidden="1">{#N/A,#N/A,FALSE,"혼합골재"}</definedName>
    <definedName name="호ㅓㅏ러" hidden="1">{#N/A,#N/A,FALSE,"2~8번"}</definedName>
    <definedName name="호ㅓㅏ호" hidden="1">{#N/A,#N/A,FALSE,"손익표지";#N/A,#N/A,FALSE,"손익계산";#N/A,#N/A,FALSE,"일반관리비";#N/A,#N/A,FALSE,"영업외수익";#N/A,#N/A,FALSE,"영업외비용";#N/A,#N/A,FALSE,"매출액";#N/A,#N/A,FALSE,"요약손익";#N/A,#N/A,FALSE,"요약대차";#N/A,#N/A,FALSE,"매출채권현황";#N/A,#N/A,FALSE,"매출채권명세"}</definedName>
    <definedName name="호ㅓㅏㅑ" hidden="1">{#N/A,#N/A,FALSE,"골재소요량";#N/A,#N/A,FALSE,"골재소요량"}</definedName>
    <definedName name="호ㅓㅏㅕ" hidden="1">{#N/A,#N/A,FALSE,"혼합골재"}</definedName>
    <definedName name="호ㅓㅑㅗ" hidden="1">{#N/A,#N/A,FALSE,"조골재"}</definedName>
    <definedName name="호ㅓㅓ" hidden="1">{#N/A,#N/A,FALSE,"운반시간"}</definedName>
    <definedName name="호ㅓㅕ" hidden="1">{#N/A,#N/A,FALSE,"골재소요량";#N/A,#N/A,FALSE,"골재소요량"}</definedName>
    <definedName name="호ㅓㅕ서ㅕ" hidden="1">{#N/A,#N/A,FALSE,"단가표지"}</definedName>
    <definedName name="호ㅓㅕㅏ6ㅅ서ㅛㅓ" hidden="1">#REF!</definedName>
    <definedName name="호ㅓㅕㅓ쇼" hidden="1">{#N/A,#N/A,FALSE,"단가표지"}</definedName>
    <definedName name="호ㅓㅕㅓㅓㅕ" hidden="1">{#N/A,#N/A,FALSE,"단가표지"}</definedName>
    <definedName name="호ㅓㅕㅗㅓㅕ" hidden="1">{#N/A,#N/A,FALSE,"운반시간"}</definedName>
    <definedName name="호ㅓㅕㅘ" hidden="1">{#N/A,#N/A,FALSE,"표지목차"}</definedName>
    <definedName name="호ㅓㅗ" hidden="1">{#N/A,#N/A,FALSE,"포장1";#N/A,#N/A,FALSE,"포장1"}</definedName>
    <definedName name="호ㅓㅗㄴㄹㄹㅇ" hidden="1">{#N/A,#N/A,FALSE,"2~8번"}</definedName>
    <definedName name="호ㅓㅗ호ㅓㅓㅗㅗ" hidden="1">{#N/A,#N/A,FALSE,"혼합골재"}</definedName>
    <definedName name="호ㅓㅗㅓㅏ" hidden="1">{#N/A,#N/A,FALSE,"단가표지"}</definedName>
    <definedName name="호ㅓㅗㅓㅡㅜ" hidden="1">{#N/A,#N/A,FALSE,"골재소요량";#N/A,#N/A,FALSE,"골재소요량"}</definedName>
    <definedName name="호ㅓㅗㅕ" hidden="1">{#N/A,#N/A,FALSE,"단가표지"}</definedName>
    <definedName name="호ㅓㅗㅜㅛㅓ" hidden="1">{#N/A,#N/A,FALSE,"전력간선"}</definedName>
    <definedName name="호ㅓㅘ" hidden="1">{#N/A,#N/A,FALSE,"단가표지"}</definedName>
    <definedName name="호ㅓㅛ" hidden="1">{#N/A,#N/A,FALSE,"2~8번"}</definedName>
    <definedName name="호ㅓㅛㅅ" hidden="1">{#N/A,#N/A,FALSE,"단가표지"}</definedName>
    <definedName name="호ㅓㅛ허" hidden="1">{#N/A,#N/A,FALSE,"단가표지"}</definedName>
    <definedName name="호ㅓㅛㅑ" hidden="1">{#N/A,#N/A,FALSE,"조골재"}</definedName>
    <definedName name="호ㅓㅛㅑㅓㅗ" hidden="1">{#N/A,#N/A,FALSE,"표지목차"}</definedName>
    <definedName name="호ㅓㅛㅓ" hidden="1">{#N/A,#N/A,FALSE,"조골재"}</definedName>
    <definedName name="호ㅓㅛㅕ" hidden="1">{#N/A,#N/A,FALSE,"운반시간"}</definedName>
    <definedName name="호ㅓㅛㅗ" hidden="1">{#N/A,#N/A,FALSE,"혼합골재"}</definedName>
    <definedName name="호ㅓㅡ호ㅓ" hidden="1">{#N/A,#N/A,FALSE,"단가표지"}</definedName>
    <definedName name="호ㅓㅡㅏ호ㅗ" hidden="1">{#N/A,#N/A,FALSE,"단가표지"}</definedName>
    <definedName name="호ㅕ7쇼쇼ㅑㅡ" hidden="1">{#N/A,#N/A,FALSE,"단가표지"}</definedName>
    <definedName name="호ㅕㄷㅈ">#REF!</definedName>
    <definedName name="호ㅕㄹ혀" hidden="1">{#N/A,#N/A,FALSE,"혼합골재"}</definedName>
    <definedName name="호ㅗ" hidden="1">{#N/A,#N/A,FALSE,"혼합골재"}</definedName>
    <definedName name="호ㅗㄴ" hidden="1">{#N/A,#N/A,FALSE,"운반시간"}</definedName>
    <definedName name="호ㅗㅅㄹ" hidden="1">{#N/A,#N/A,FALSE,"혼합골재"}</definedName>
    <definedName name="호ㅗㅗ">#REF!</definedName>
    <definedName name="호ㅗㅛ" hidden="1">{#N/A,#N/A,FALSE,"단가표지"}</definedName>
    <definedName name="호ㅛ" hidden="1">{#N/A,#N/A,FALSE,"단가표지"}</definedName>
    <definedName name="호ㅛ사ㅣㅓㅗㅛ" hidden="1">{#N/A,#N/A,FALSE,"운반시간"}</definedName>
    <definedName name="호ㅛㅓ" hidden="1">{#N/A,#N/A,FALSE,"골재소요량";#N/A,#N/A,FALSE,"골재소요량"}</definedName>
    <definedName name="호ㅛㅕ룍" hidden="1">{#N/A,#N/A,FALSE,"2~8번"}</definedName>
    <definedName name="호ㅛㅕㄳㅎ" hidden="1">{#N/A,#N/A,FALSE,"단가표지"}</definedName>
    <definedName name="호ㅛㅗ" hidden="1">{#N/A,#N/A,FALSE,"단가표지"}</definedName>
    <definedName name="호ㅛㅗㄴ허ㅛㅇ" hidden="1">{#N/A,#N/A,FALSE,"단가표지"}</definedName>
    <definedName name="호ㅜ" hidden="1">{#N/A,#N/A,FALSE,"조골재"}</definedName>
    <definedName name="호ㅜ호" hidden="1">{#N/A,#N/A,FALSE,"혼합골재"}</definedName>
    <definedName name="호ㅜ호ㅓ" hidden="1">{#N/A,#N/A,FALSE,"조골재"}</definedName>
    <definedName name="호ㅜㅡ호ㅗ" hidden="1">{#N/A,#N/A,FALSE,"단가표지"}</definedName>
    <definedName name="호ㅜㅡ호ㅜ루" hidden="1">{#N/A,#N/A,FALSE,"2~8번"}</definedName>
    <definedName name="호ㅝㅗ후" hidden="1">{#N/A,#N/A,FALSE,"운반시간"}</definedName>
    <definedName name="호ㅠ포" hidden="1">{#N/A,#N/A,FALSE,"표지목차"}</definedName>
    <definedName name="호ㅡ호ㅓ" hidden="1">{#N/A,#N/A,FALSE,"혼합골재"}</definedName>
    <definedName name="호ㅡㅓㅗㅛ" hidden="1">{#N/A,#N/A,FALSE,"단가표지"}</definedName>
    <definedName name="호ㅡㅓㅛㅗ" hidden="1">{#N/A,#N/A,FALSE,"혼합골재"}</definedName>
    <definedName name="혹" hidden="1">{#N/A,#N/A,FALSE,"골재소요량";#N/A,#N/A,FALSE,"골재소요량"}</definedName>
    <definedName name="혹ㅇ">#N/A</definedName>
    <definedName name="혹혗" hidden="1">{#N/A,#N/A,FALSE,"단가표지"}</definedName>
    <definedName name="혼ㄹ" hidden="1">{#N/A,#N/A,FALSE,"운반시간"}</definedName>
    <definedName name="혼ㄹ오"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혼합골재" hidden="1">{#N/A,#N/A,FALSE,"혼합골재"}</definedName>
    <definedName name="혿ㄱㅂ">{"Book1","공량카드.XLS"}</definedName>
    <definedName name="홀" hidden="1">{#N/A,#N/A,FALSE,"지침";#N/A,#N/A,FALSE,"환경분석";#N/A,#N/A,FALSE,"Sheet16"}</definedName>
    <definedName name="홀ㄴㄺㅅ" hidden="1">{#N/A,#N/A,FALSE,"단가표지"}</definedName>
    <definedName name="홀런" hidden="1">{#N/A,#N/A,FALSE,"전력간선"}</definedName>
    <definedName name="홀아리" hidden="1">{#N/A,#N/A,FALSE,"혼합골재"}</definedName>
    <definedName name="홀허ㅗ하ㅗㅓㅡㅗ홓" hidden="1">{#N/A,#N/A,FALSE,"운반시간"}</definedName>
    <definedName name="홀호ㅗㅎ" hidden="1">{#N/A,#N/A,FALSE,"단가표지"}</definedName>
    <definedName name="홁ㅎ">#REF!</definedName>
    <definedName name="홇" hidden="1">{#N/A,#N/A,FALSE,"Sheet6"}</definedName>
    <definedName name="홈통받이수량">#REF!</definedName>
    <definedName name="홈통받이토공">#REF!</definedName>
    <definedName name="홋" hidden="1">{#N/A,#N/A,FALSE,"운반시간"}</definedName>
    <definedName name="홋ㄱ" hidden="1">{#N/A,#N/A,FALSE,"Sheet6"}</definedName>
    <definedName name="홋ㄱㄷㅅ" hidden="1">{#N/A,#N/A,FALSE,"2~8번"}</definedName>
    <definedName name="홋ㅅ" hidden="1">{#N/A,#N/A,FALSE,"2~8번"}</definedName>
    <definedName name="홋ㅎ" hidden="1">{#N/A,#N/A,FALSE,"단가표지"}</definedName>
    <definedName name="홍">#REF!</definedName>
    <definedName name="홍단">#REF!</definedName>
    <definedName name="홍단풍">#REF!</definedName>
    <definedName name="홍단풍H3.5xR12">#REF!</definedName>
    <definedName name="홍대분전반견적">#REF!</definedName>
    <definedName name="홍ㄹ">#N/A</definedName>
    <definedName name="홍ㄹㄴ" hidden="1">{#N/A,#N/A,FALSE,"부대2"}</definedName>
    <definedName name="홍ㄹㄴㄷㄱ" hidden="1">#REF!</definedName>
    <definedName name="홍범표" hidden="1">{#N/A,#N/A,FALSE,"이태원철근"}</definedName>
    <definedName name="홍성길" hidden="1">{#N/A,#N/A,FALSE,"생산성";#N/A,#N/A,FALSE,"인력1";#N/A,#N/A,FALSE,"인력2";#N/A,#N/A,FALSE,"인력3";#N/A,#N/A,FALSE,"인건1";#N/A,#N/A,FALSE,"인건2";#N/A,#N/A,FALSE,"인건3";#N/A,#N/A,FALSE,"인원증감";#N/A,#N/A,FALSE,"인건증감";#N/A,#N/A,FALSE,"표지등"}</definedName>
    <definedName name="홍ㅇ호">{"'용역비'!$A$4:$C$8"}</definedName>
    <definedName name="홍탁">#REF!</definedName>
    <definedName name="홎ㄴ홓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홓" hidden="1">{#N/A,#N/A,FALSE,"조골재"}</definedName>
    <definedName name="홓렁호ㅓ호" hidden="1">{#N/A,#N/A,FALSE,"단가표지"}</definedName>
    <definedName name="홓로" hidden="1">{#N/A,#N/A,FALSE,"단가표지"}</definedName>
    <definedName name="홓로홍호" hidden="1">{#N/A,#N/A,FALSE,"지침";#N/A,#N/A,FALSE,"환경분석";#N/A,#N/A,FALSE,"Sheet16"}</definedName>
    <definedName name="화">#REF!</definedName>
    <definedName name="화________공">#REF!</definedName>
    <definedName name="화_1" hidden="1">{#N/A,#N/A,FALSE,"기안지";#N/A,#N/A,FALSE,"통신지"}</definedName>
    <definedName name="화강경계석노무">#REF!</definedName>
    <definedName name="화강경계석재료">#REF!</definedName>
    <definedName name="화강석경계석">#REF!</definedName>
    <definedName name="화강석두껍돌">15992</definedName>
    <definedName name="화강석두껍돌100">29319</definedName>
    <definedName name="화강석물갈기_바닥">#REF!</definedName>
    <definedName name="화강석물갈기_챌판">#REF!</definedName>
    <definedName name="화강석물갈기바노">#REF!</definedName>
    <definedName name="화강석물갈기챌노">#REF!</definedName>
    <definedName name="화강석버너_바닥">#REF!</definedName>
    <definedName name="화강석버너_챌판">#REF!</definedName>
    <definedName name="화강석버너바노">#REF!</definedName>
    <definedName name="화강석버너챌노">#REF!</definedName>
    <definedName name="화강석판석30">53306</definedName>
    <definedName name="화공001">#REF!</definedName>
    <definedName name="화공002">#REF!</definedName>
    <definedName name="화공011">#REF!</definedName>
    <definedName name="화공982">#REF!</definedName>
    <definedName name="화공991">#REF!</definedName>
    <definedName name="화공992">#REF!</definedName>
    <definedName name="화러ㅗㅕㅑㄹ" hidden="1">{#N/A,#N/A,FALSE,"단가표지"}</definedName>
    <definedName name="화살">#REF!</definedName>
    <definedName name="화살4노무">#REF!</definedName>
    <definedName name="화살4재료">#REF!</definedName>
    <definedName name="화성" localSheetId="0">BlankMacro1</definedName>
    <definedName name="화성">BlankMacro1</definedName>
    <definedName name="화신1호">#REF!</definedName>
    <definedName name="화신2호">#REF!</definedName>
    <definedName name="화신기존1">#REF!</definedName>
    <definedName name="화신기존2">#REF!</definedName>
    <definedName name="화약__취급공">#REF!</definedName>
    <definedName name="화약취급공001">#REF!</definedName>
    <definedName name="화약취급공002">#REF!</definedName>
    <definedName name="화약취급공011">#REF!</definedName>
    <definedName name="화약취급공982">#REF!</definedName>
    <definedName name="화약취급공991">#REF!</definedName>
    <definedName name="화약취급공992">#REF!</definedName>
    <definedName name="화인" localSheetId="0">BlankMacro1</definedName>
    <definedName name="화인">BlankMacro1</definedName>
    <definedName name="화장">INDIRECT("그림2!a"&amp;MATCH(#REF!,#REF!,0))</definedName>
    <definedName name="화장경설치">#REF!</definedName>
    <definedName name="화장경설치노">#REF!</definedName>
    <definedName name="화장실">#N/A</definedName>
    <definedName name="화장실갯수">#REF!</definedName>
    <definedName name="화재수신반">#N/A</definedName>
    <definedName name="화허호ㅓ" hidden="1">{#N/A,#N/A,FALSE,"조골재"}</definedName>
    <definedName name="화ㅏ" hidden="1">{#N/A,#N/A,FALSE,"단가표지"}</definedName>
    <definedName name="화ㅐㅛㅗㅑ" hidden="1">{#N/A,#N/A,FALSE,"단가표지"}</definedName>
    <definedName name="화ㅑㅓㅏㅕ" hidden="1">{#N/A,#N/A,FALSE,"단가표지"}</definedName>
    <definedName name="화ㅓ샤" hidden="1">{#N/A,#N/A,FALSE,"2~8번"}</definedName>
    <definedName name="화ㅓㅑㅗ" hidden="1">{#N/A,#N/A,FALSE,"표지목차"}</definedName>
    <definedName name="화ㅓㅗ허ㅏㅎ" hidden="1">{#N/A,#N/A,FALSE,"이태원철근"}</definedName>
    <definedName name="화ㅓㅗㅛ" hidden="1">{#N/A,#N/A,FALSE,"혼합골재"}</definedName>
    <definedName name="화ㅓㅗㅛㅑ" hidden="1">{#N/A,#N/A,FALSE,"혼합골재"}</definedName>
    <definedName name="화ㅓㅛ" hidden="1">{#N/A,#N/A,FALSE,"단가표지"}</definedName>
    <definedName name="화ㅓㅛㅑ" hidden="1">{#N/A,#N/A,FALSE,"단가표지"}</definedName>
    <definedName name="화ㅓㅛㅗ" hidden="1">{#N/A,#N/A,FALSE,"운반시간"}</definedName>
    <definedName name="화ㅓㅣ허ㅏ">#REF!</definedName>
    <definedName name="화ㅕㅏ" hidden="1">{#N/A,#N/A,FALSE,"골재소요량";#N/A,#N/A,FALSE,"골재소요량"}</definedName>
    <definedName name="화ㅗㅑㅛ" hidden="1">{#N/A,#N/A,FALSE,"운반시간"}</definedName>
    <definedName name="화ㅗㅕ" hidden="1">{#N/A,#N/A,FALSE,"단가표지"}</definedName>
    <definedName name="화ㅗㅕㅏㅣ" hidden="1">{#N/A,#N/A,FALSE,"조골재"}</definedName>
    <definedName name="화ㅗㅜ" hidden="1">{#N/A,#N/A,FALSE,"표지목차"}</definedName>
    <definedName name="화ㅛㅐ" hidden="1">{#N/A,#N/A,FALSE,"골재소요량";#N/A,#N/A,FALSE,"골재소요량"}</definedName>
    <definedName name="화ㅛㅕ" hidden="1">{#N/A,#N/A,FALSE,"2~8번"}</definedName>
    <definedName name="화ㅣㅓ쇼ㅗ" hidden="1">{#N/A,#N/A,FALSE,"단가표지"}</definedName>
    <definedName name="화ㅣㅘ후" hidden="1">{#N/A,#N/A,FALSE,"운반시간"}</definedName>
    <definedName name="확">#REF!</definedName>
    <definedName name="확이" hidden="1">{#N/A,#N/A,FALSE,"현장 NCR 분석";#N/A,#N/A,FALSE,"현장품질감사";#N/A,#N/A,FALSE,"현장품질감사"}</definedName>
    <definedName name="확인" localSheetId="0">BlankMacro1</definedName>
    <definedName name="확인">BlankMacro1</definedName>
    <definedName name="확인용">#REF!</definedName>
    <definedName name="확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확폭수량">#REF!</definedName>
    <definedName name="환">#REF!</definedName>
    <definedName name="환1">#REF!</definedName>
    <definedName name="환2">#REF!</definedName>
    <definedName name="환3">#REF!</definedName>
    <definedName name="환4">#REF!</definedName>
    <definedName name="환경">#REF!</definedName>
    <definedName name="환경관리비">#REF!</definedName>
    <definedName name="환경분석청주" hidden="1">{#N/A,#N/A,FALSE,"지침";#N/A,#N/A,FALSE,"환경분석";#N/A,#N/A,FALSE,"Sheet16"}</definedName>
    <definedName name="환경소주2" hidden="1">{#N/A,#N/A,FALSE,"지침";#N/A,#N/A,FALSE,"환경분석";#N/A,#N/A,FALSE,"Sheet16"}</definedName>
    <definedName name="환경영향요소">#REF!</definedName>
    <definedName name="환경의날공문" hidden="1">{#N/A,#N/A,FALSE,"현장 NCR 분석";#N/A,#N/A,FALSE,"현장품질감사";#N/A,#N/A,FALSE,"현장품질감사"}</definedName>
    <definedName name="환경조건">#REF!</definedName>
    <definedName name="환경투">#REF!</definedName>
    <definedName name="환기구">#REF!</definedName>
    <definedName name="환기용">#REF!</definedName>
    <definedName name="환승통로">#REF!</definedName>
    <definedName name="환율">#REF!</definedName>
    <definedName name="환토고">#REF!</definedName>
    <definedName name="환토상변">#REF!</definedName>
    <definedName name="환풍기">#REF!</definedName>
    <definedName name="활석공011">#REF!</definedName>
    <definedName name="활주로">#REF!</definedName>
    <definedName name="활하중">#REF!</definedName>
    <definedName name="활하중1">#REF!</definedName>
    <definedName name="활하중2">#REF!</definedName>
    <definedName name="활하중도">#REF!</definedName>
    <definedName name="활하중지간1">#REF!</definedName>
    <definedName name="활하중콘">#REF!</definedName>
    <definedName name="황">#N/A</definedName>
    <definedName name="황금지구" hidden="1">{#N/A,#N/A,FALSE,"배수2"}</definedName>
    <definedName name="황매화">#REF!</definedName>
    <definedName name="황매화6노무">#REF!</definedName>
    <definedName name="황매화6재료">#REF!</definedName>
    <definedName name="황매화8노무">#REF!</definedName>
    <definedName name="황매화8재료">#REF!</definedName>
    <definedName name="황병" hidden="1">#REF!</definedName>
    <definedName name="황보" hidden="1">{#N/A,#N/A,FALSE,"CCTV"}</definedName>
    <definedName name="황화수소">#REF!</definedName>
    <definedName name="홰허ㅐㅣ" hidden="1">{#N/A,#N/A,FALSE,"표지목차"}</definedName>
    <definedName name="회사" hidden="1">{#N/A,#N/A,FALSE,"포장2"}</definedName>
    <definedName name="회사경비" hidden="1">#REF!</definedName>
    <definedName name="회사명">#REF!</definedName>
    <definedName name="회사장">{"Book1","호안(별표&amp;부표).xls","box(최근).xls"}</definedName>
    <definedName name="회사장2">{"Book1","호안(별표&amp;부표).xls","box(최근).xls"}</definedName>
    <definedName name="회시1호">#REF!</definedName>
    <definedName name="회시2호">#REF!</definedName>
    <definedName name="회양목">#REF!</definedName>
    <definedName name="회양목10노무">#REF!</definedName>
    <definedName name="회양목10재료">#REF!</definedName>
    <definedName name="회양목3노무">#REF!</definedName>
    <definedName name="회양목3재료">#REF!</definedName>
    <definedName name="회양목6노무">#REF!</definedName>
    <definedName name="회양목6재료">#REF!</definedName>
    <definedName name="회양목H0.3">#REF!</definedName>
    <definedName name="회의록" hidden="1">{#N/A,#N/A,FALSE,"손익표지";#N/A,#N/A,FALSE,"손익계산";#N/A,#N/A,FALSE,"일반관리비";#N/A,#N/A,FALSE,"영업외수익";#N/A,#N/A,FALSE,"영업외비용";#N/A,#N/A,FALSE,"매출액";#N/A,#N/A,FALSE,"요약손익";#N/A,#N/A,FALSE,"요약대차";#N/A,#N/A,FALSE,"매출채권현황";#N/A,#N/A,FALSE,"매출채권명세"}</definedName>
    <definedName name="회의자료"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회의자료제출건" hidden="1">{#N/A,#N/A,FALSE,"현장 NCR 분석";#N/A,#N/A,FALSE,"현장품질감사";#N/A,#N/A,FALSE,"현장품질감사"}</definedName>
    <definedName name="회의자료제출의건" hidden="1">{#N/A,#N/A,FALSE,"현장 NCR 분석";#N/A,#N/A,FALSE,"현장품질감사";#N/A,#N/A,FALSE,"현장품질감사"}</definedName>
    <definedName name="회화">#REF!</definedName>
    <definedName name="회ㅜㅏㅗ" hidden="1">{#N/A,#N/A,FALSE,"혼합골재"}</definedName>
    <definedName name="회ㅜㅜㅏㅗㅎ" hidden="1">{#N/A,#N/A,FALSE,"조골재"}</definedName>
    <definedName name="횡단보도예고표시" hidden="1">{#N/A,#N/A,FALSE,"2~8번"}</definedName>
    <definedName name="횡배수관1">#N/A</definedName>
    <definedName name="횡배수관공_개소별명세">#REF!</definedName>
    <definedName name="횡배수관구체_수량산출">#REF!</definedName>
    <definedName name="횡배수관날개벽_수량산출">#REF!</definedName>
    <definedName name="횡배수관집계본선" localSheetId="0">BlankMacro1</definedName>
    <definedName name="횡배수관집계본선">BlankMacro1</definedName>
    <definedName name="횡배수관차수벽_수량산출">#REF!</definedName>
    <definedName name="횡배수단위">#REF!</definedName>
    <definedName name="횡현황본선" localSheetId="0">BlankMacro1</definedName>
    <definedName name="횡현황본선">BlankMacro1</definedName>
    <definedName name="횡현황부체" localSheetId="0">BlankMacro1</definedName>
    <definedName name="횡현황부체">BlankMacro1</definedName>
    <definedName name="효" hidden="1">{#N/A,#N/A,FALSE,"이태원철근"}</definedName>
    <definedName name="효구" localSheetId="0">Dlog_Show</definedName>
    <definedName name="효구">Dlog_Show</definedName>
    <definedName name="효석" hidden="1">{"'Firr(선)'!$AS$1:$AY$62","'Firr(사)'!$AS$1:$AY$62","'Firr(회)'!$AS$1:$AY$62","'Firr(선)'!$L$1:$V$62","'Firr(사)'!$L$1:$V$62","'Firr(회)'!$L$1:$V$62"}</definedName>
    <definedName name="효성별내" hidden="1">#REF!</definedName>
    <definedName name="효성별내1" hidden="1">#REF!</definedName>
    <definedName name="효자" localSheetId="0">Dlog_Show</definedName>
    <definedName name="효자">Dlog_Show</definedName>
    <definedName name="효자건설" localSheetId="0">Dlog_Show</definedName>
    <definedName name="효자건설">Dlog_Show</definedName>
    <definedName name="효효" hidden="1">{#N/A,#N/A,FALSE,"지침";#N/A,#N/A,FALSE,"환경분석";#N/A,#N/A,FALSE,"Sheet16"}</definedName>
    <definedName name="효ㅕㄹ" hidden="1">{#N/A,#N/A,FALSE,"운반시간"}</definedName>
    <definedName name="효ㅕㅕㅛㅎ">#REF!</definedName>
    <definedName name="효ㅛㅛㅛㅛ" hidden="1">{#N/A,#N/A,FALSE,"조골재"}</definedName>
    <definedName name="훃" hidden="1">{#N/A,#N/A,FALSE,"예상손익";#N/A,#N/A,FALSE,"관리분석";#N/A,#N/A,FALSE,"장비분석";#N/A,#N/A,FALSE,"준설분석";#N/A,#N/A,FALSE,"철구분석"}</definedName>
    <definedName name="ㅎㅜ" hidden="1">{#N/A,#N/A,FALSE,"운반시간"}</definedName>
    <definedName name="후_담당간사에게_제출한다.">#REF!</definedName>
    <definedName name="후다">[0]!DFDDFE</definedName>
    <definedName name="후렉시블전선관">#N/A</definedName>
    <definedName name="후로아하드너공그리타설">#REF!</definedName>
    <definedName name="후로아하드너미장동시">#REF!</definedName>
    <definedName name="후로아하드너미장동시노">#REF!</definedName>
    <definedName name="후로아하드너콘크리트타설시노">#REF!</definedName>
    <definedName name="후로ㅠㅎ라" hidden="1">{#N/A,#N/A,FALSE,"2~8번"}</definedName>
    <definedName name="후박나무H4.0">#REF!</definedName>
    <definedName name="후쇼ㅓ" hidden="1">{#N/A,#N/A,FALSE,"2~8번"}</definedName>
    <definedName name="후피향나무H1.8">#REF!</definedName>
    <definedName name="후후">#N/A</definedName>
    <definedName name="후훌" hidden="1">{#N/A,#N/A,FALSE,"지침";#N/A,#N/A,FALSE,"환경분석";#N/A,#N/A,FALSE,"Sheet16"}</definedName>
    <definedName name="후ㅏㅓㅅ" hidden="1">{#N/A,#N/A,FALSE,"단가표지"}</definedName>
    <definedName name="후ㅑㅓ" hidden="1">{#N/A,#N/A,FALSE,"표지목차"}</definedName>
    <definedName name="후ㅠㄹ훓" hidden="1">{#N/A,#N/A,FALSE,"단가표지"}</definedName>
    <definedName name="후ㅠㅐ" hidden="1">{#N/A,#N/A,FALSE,"조골재"}</definedName>
    <definedName name="훈">#REF!</definedName>
    <definedName name="훌이ㅣㅇ티ㅗ" hidden="1">{#N/A,#N/A,FALSE,"단가표지"}</definedName>
    <definedName name="훠ㅑㅛㅗ" hidden="1">{#N/A,#N/A,FALSE,"골재소요량";#N/A,#N/A,FALSE,"골재소요량"}</definedName>
    <definedName name="훼" hidden="1">{#N/A,#N/A,FALSE,"지침";#N/A,#N/A,FALSE,"환경분석";#N/A,#N/A,FALSE,"Sheet16"}</definedName>
    <definedName name="휀">#REF!</definedName>
    <definedName name="휘니셔">750000</definedName>
    <definedName name="휘발유">#REF!</definedName>
    <definedName name="휘발유단가">#REF!</definedName>
    <definedName name="휨강도감소계수">#REF!</definedName>
    <definedName name="휴" hidden="1">{#N/A,#N/A,FALSE,"기안지";#N/A,#N/A,FALSE,"통신지"}</definedName>
    <definedName name="휴게소">#REF!</definedName>
    <definedName name="휴게소개소">#REF!</definedName>
    <definedName name="휴대폰대수">#REF!</definedName>
    <definedName name="휴르" hidden="1">{#N/A,#N/A,FALSE,"골재소요량";#N/A,#N/A,FALSE,"골재소요량"}</definedName>
    <definedName name="휴먼">#N/A</definedName>
    <definedName name="휴먼옛체">#REF!</definedName>
    <definedName name="휴ㅛㅕㅜ" hidden="1">{#N/A,#N/A,FALSE,"운반시간"}</definedName>
    <definedName name="휻" hidden="1">{#N/A,#N/A,FALSE,"이태원철근"}</definedName>
    <definedName name="휼아ㅠㅜ하ㅣㅇㄹ뉴ㅝㅏ" hidden="1">{#N/A,#N/A,FALSE,"운반시간"}</definedName>
    <definedName name="흃" hidden="1">{#N/A,#N/A,FALSE,"표지목차"}</definedName>
    <definedName name="흄">#REF!</definedName>
    <definedName name="흄관" hidden="1">{#N/A,#N/A,FALSE,"기안지";#N/A,#N/A,FALSE,"통신지"}</definedName>
    <definedName name="흄관_1" hidden="1">{#N/A,#N/A,FALSE,"기안지";#N/A,#N/A,FALSE,"통신지"}</definedName>
    <definedName name="흄관10">#REF!</definedName>
    <definedName name="흄관단위수량" hidden="1">#REF!</definedName>
    <definedName name="흄관보호공...">#REF!</definedName>
    <definedName name="흄관소운반2" hidden="1">{#N/A,#N/A,FALSE,"골재소요량";#N/A,#N/A,FALSE,"골재소요량"}</definedName>
    <definedName name="흄관운반">#REF!</definedName>
    <definedName name="흄관운반1000경비">#REF!</definedName>
    <definedName name="흄관운반1000계">#REF!</definedName>
    <definedName name="흄관운반1000노무비">#REF!</definedName>
    <definedName name="흄관운반1000재료비">#REF!</definedName>
    <definedName name="흄관운반1200경비">#REF!</definedName>
    <definedName name="흄관운반1200계">#REF!</definedName>
    <definedName name="흄관운반1200노무비">#REF!</definedName>
    <definedName name="흄관운반1200재료비">#REF!</definedName>
    <definedName name="흄관운반1350경비">#REF!</definedName>
    <definedName name="흄관운반1350계">#REF!</definedName>
    <definedName name="흄관운반1350노무비">#REF!</definedName>
    <definedName name="흄관운반1350재료비">#REF!</definedName>
    <definedName name="흄관운반1500경비">#REF!</definedName>
    <definedName name="흄관운반1500계">#REF!</definedName>
    <definedName name="흄관운반1500노무비">#REF!</definedName>
    <definedName name="흄관운반1500재료비">#REF!</definedName>
    <definedName name="흄관운반250경비">#REF!</definedName>
    <definedName name="흄관운반250계">#REF!</definedName>
    <definedName name="흄관운반250노무비">#REF!</definedName>
    <definedName name="흄관운반250재료비">#REF!</definedName>
    <definedName name="흄관운반300경비">#REF!</definedName>
    <definedName name="흄관운반300계">#REF!</definedName>
    <definedName name="흄관운반300노무비">#REF!</definedName>
    <definedName name="흄관운반300재료비">#REF!</definedName>
    <definedName name="흄관운반350경비">#REF!</definedName>
    <definedName name="흄관운반350계">#REF!</definedName>
    <definedName name="흄관운반350노무비">#REF!</definedName>
    <definedName name="흄관운반350재료비">#REF!</definedName>
    <definedName name="흄관운반450경비">#REF!</definedName>
    <definedName name="흄관운반450계">#REF!</definedName>
    <definedName name="흄관운반450노무비">#REF!</definedName>
    <definedName name="흄관운반450재료비">#REF!</definedName>
    <definedName name="흄관운반600경비">#REF!</definedName>
    <definedName name="흄관운반600계">#REF!</definedName>
    <definedName name="흄관운반600노무비">#REF!</definedName>
    <definedName name="흄관운반600재료비">#REF!</definedName>
    <definedName name="흄관운반700경비">#REF!</definedName>
    <definedName name="흄관운반700계">#REF!</definedName>
    <definedName name="흄관운반700노무비">#REF!</definedName>
    <definedName name="흄관운반700재료비">#REF!</definedName>
    <definedName name="흄관운반800경비">#REF!</definedName>
    <definedName name="흄관운반800계">#REF!</definedName>
    <definedName name="흄관운반800노무비">#REF!</definedName>
    <definedName name="흄관운반800재료비">#REF!</definedName>
    <definedName name="흄관운반900경비">#REF!</definedName>
    <definedName name="흄관운반900계">#REF!</definedName>
    <definedName name="흄관운반900노무비">#REF!</definedName>
    <definedName name="흄관운반900재료비">#REF!</definedName>
    <definedName name="흄관운반운반비경비">#REF!</definedName>
    <definedName name="흄관운반운반비재료비">#REF!</definedName>
    <definedName name="흄관운반하차비노무비">#REF!</definedName>
    <definedName name="흄관헐기" hidden="1">{"'산출근거'!$B$4:$D$8"}</definedName>
    <definedName name="흐사ㅗㅕㅅ" hidden="1">{#N/A,#N/A,FALSE,"단가표지"}</definedName>
    <definedName name="흐흐" localSheetId="0">BlankMacro1</definedName>
    <definedName name="흐흐">BlankMacro1</definedName>
    <definedName name="흐ㅑㅏ솧ㅊ" hidden="1">{#N/A,#N/A,FALSE,"운반시간"}</definedName>
    <definedName name="흐ㅑㅛㅕㅓ" hidden="1">{#N/A,#N/A,FALSE,"2~8번"}</definedName>
    <definedName name="흐ㅓㅏㅅ하ㅣ" hidden="1">{#N/A,#N/A,FALSE,"조골재"}</definedName>
    <definedName name="흐ㅜ셔ㅓ" hidden="1">{#N/A,#N/A,FALSE,"운반시간"}</definedName>
    <definedName name="흑ㅎㄹ굘" hidden="1">{#N/A,#N/A,FALSE,"단가표지"}</definedName>
    <definedName name="흘" hidden="1">{#N/A,#N/A,FALSE,"2~8번"}</definedName>
    <definedName name="흘홋" hidden="1">{#N/A,#N/A,FALSE,"운반시간"}</definedName>
    <definedName name="흙막이">#REF!</definedName>
    <definedName name="흙막이2" localSheetId="0">BlankMacro1</definedName>
    <definedName name="흙막이2">BlankMacro1</definedName>
    <definedName name="흙막이면적">#N/A</definedName>
    <definedName name="흙막이및토공사견적대비표">#REF!</definedName>
    <definedName name="흠" hidden="1">{#N/A,#N/A,FALSE,"전력간선"}</definedName>
    <definedName name="흠냐.." hidden="1">{#N/A,#N/A,FALSE,"운반시간"}</definedName>
    <definedName name="흡음벽설치_핀">#REF!</definedName>
    <definedName name="흡음벽설치50노">#REF!</definedName>
    <definedName name="흡음천정설치_핀">#REF!</definedName>
    <definedName name="흡음천정설치80노">#REF!</definedName>
    <definedName name="흥" hidden="1">{#N/A,#N/A,FALSE,"손익표지";#N/A,#N/A,FALSE,"손익계산";#N/A,#N/A,FALSE,"일반관리비";#N/A,#N/A,FALSE,"영업외수익";#N/A,#N/A,FALSE,"영업외비용";#N/A,#N/A,FALSE,"매출액";#N/A,#N/A,FALSE,"요약손익";#N/A,#N/A,FALSE,"요약대차";#N/A,#N/A,FALSE,"매출채권현황";#N/A,#N/A,FALSE,"매출채권명세"}</definedName>
    <definedName name="흥진토건견적안">{"Book1","TOTAL.xls"}</definedName>
    <definedName name="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희동" hidden="1">{#N/A,#N/A,FALSE,"혼합골재"}</definedName>
    <definedName name="희선">#REF!,#REF!,#REF!,#REF!,#REF!,#REF!,#REF!,#REF!,#REF!,#REF!,#REF!,#REF!,#REF!,#REF!,#REF!,#REF!,#REF!,#REF!,#REF!</definedName>
    <definedName name="희선이">#REF!,#REF!</definedName>
    <definedName name="희성" hidden="1">{#N/A,#N/A,FALSE,"명세표"}</definedName>
    <definedName name="희영" localSheetId="0">BlankMacro1</definedName>
    <definedName name="희영">BlankMacro1</definedName>
    <definedName name="희정">#REF!</definedName>
    <definedName name="흰말채6노무">#REF!</definedName>
    <definedName name="흰말채6재료">#REF!</definedName>
    <definedName name="히댜ㄴㅇㄹㄷ" hidden="1">{#N/A,#N/A,FALSE,"생산성";#N/A,#N/A,FALSE,"인력1";#N/A,#N/A,FALSE,"인력2";#N/A,#N/A,FALSE,"인력3";#N/A,#N/A,FALSE,"인건1";#N/A,#N/A,FALSE,"인건2";#N/A,#N/A,FALSE,"인건3";#N/A,#N/A,FALSE,"인원증감";#N/A,#N/A,FALSE,"인건증감";#N/A,#N/A,FALSE,"표지등"}</definedName>
    <definedName name="히말라야시다6노무">#REF!</definedName>
    <definedName name="히말라야시다6재료">#REF!</definedName>
    <definedName name="히말라야시다8노무">#REF!</definedName>
    <definedName name="히말라야시다8재료">#REF!</definedName>
    <definedName name="히샤" hidden="1">{#N/A,#N/A,FALSE,"조골재"}</definedName>
    <definedName name="히히">#N/A</definedName>
    <definedName name="히히히" hidden="1">#REF!</definedName>
    <definedName name="히ㅏ호" hidden="1">{#N/A,#N/A,FALSE,"단가표지"}</definedName>
    <definedName name="히ㅏㅓㅕㅛㅗ" hidden="1">{#N/A,#N/A,FALSE,"단가표지"}</definedName>
    <definedName name="히ㅏㅓㅣㅏㅓㅚㅏ" hidden="1">{#N/A,#N/A,FALSE,"구조1"}</definedName>
    <definedName name="히ㅑㅠ서ㅠㅗ" hidden="1">{#N/A,#N/A,FALSE,"운반시간"}</definedName>
    <definedName name="히ㅓㅗㅅ" hidden="1">{#N/A,#N/A,FALSE,"조골재"}</definedName>
    <definedName name="히ㅓㅗㅠㅛㅎ" hidden="1">{#N/A,#N/A,FALSE,"조골재"}</definedName>
    <definedName name="힌울" hidden="1">#REF!</definedName>
    <definedName name="힙"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ㅎㄳ도" hidden="1">{#N/A,#N/A,FALSE,"단가표지"}</definedName>
    <definedName name="ㅎㄳㅎ고" hidden="1">{#N/A,#N/A,FALSE,"단가표지"}</definedName>
    <definedName name="ㅎㄶ" hidden="1">{#N/A,#N/A,FALSE,"속도"}</definedName>
    <definedName name="ㅎㄶㅁㅎ" hidden="1">{#N/A,#N/A,FALSE,"교리2"}</definedName>
    <definedName name="ㅎㄺ">#REF!</definedName>
    <definedName name="ㅎㄺㅎㄺㄷ">#REF!</definedName>
    <definedName name="ㅎㄻㄹㅇㅎㅇㅁ" hidden="1">{#N/A,#N/A,FALSE,"혼합골재"}</definedName>
    <definedName name="ㅎㄻㅇㅎㅁㅇㅎㅁㅇㅎ" hidden="1">{#N/A,#N/A,FALSE,"골재소요량";#N/A,#N/A,FALSE,"골재소요량"}</definedName>
    <definedName name="ㅀ" hidden="1">{#N/A,#N/A,TRUE,"토적및재료집계";#N/A,#N/A,TRUE,"토적및재료집계";#N/A,#N/A,TRUE,"단위량"}</definedName>
    <definedName name="ㅀ.ㅏㅗㄹ하호" hidden="1">{#N/A,#N/A,FALSE,"표지목차"}</definedName>
    <definedName name="ㅀㄱㄷ" hidden="1">{#N/A,#N/A,FALSE,"운반시간"}</definedName>
    <definedName name="ㅀㄱㄷㅅ" hidden="1">{#N/A,#N/A,FALSE,"운반시간"}</definedName>
    <definedName name="ㅀㄱㄷㅎㄷ" hidden="1">{#N/A,#N/A,FALSE,"단가표지"}</definedName>
    <definedName name="ㅀㄱㄷ호소" hidden="1">{#N/A,#N/A,FALSE,"단가표지"}</definedName>
    <definedName name="ㅀㄱ서ㅗㅇ" hidden="1">{#N/A,#N/A,FALSE,"단가표지"}</definedName>
    <definedName name="ㅀㄱㅎ" hidden="1">{#N/A,#N/A,FALSE,"혼합골재"}</definedName>
    <definedName name="ㅀㄱㅎㄱㅎㄱㅎ">#N/A</definedName>
    <definedName name="ㅀㄱㅀ" hidden="1">{#N/A,#N/A,FALSE,"운반시간"}</definedName>
    <definedName name="ㅀ가허ㅑㅌ" hidden="1">{#N/A,#N/A,FALSE,"혼합골재"}</definedName>
    <definedName name="ㅀ겋ㅇㄴ" hidden="1">{#N/A,#N/A,FALSE,"표지목차"}</definedName>
    <definedName name="ㅀ겨ㅗㅎㄱㅎ" hidden="1">{#N/A,#N/A,FALSE,"단가표지"}</definedName>
    <definedName name="ㅀ고ㅓㅎ" hidden="1">{#N/A,#N/A,FALSE,"혼합골재"}</definedName>
    <definedName name="ㅀ고ㅕㄷ" hidden="1">{#N/A,#N/A,FALSE,"표지목차"}</definedName>
    <definedName name="ㅀ굫ㄱㅎ" hidden="1">{#N/A,#N/A,FALSE,"운반시간"}</definedName>
    <definedName name="ㅀ규ㅜ" hidden="1">{#N/A,#N/A,FALSE,"단가표지"}</definedName>
    <definedName name="ㅀㄴㄹㅊ퓨" hidden="1">{#N/A,#N/A,FALSE,"생산성";#N/A,#N/A,FALSE,"인력1";#N/A,#N/A,FALSE,"인력2";#N/A,#N/A,FALSE,"인력3";#N/A,#N/A,FALSE,"인건1";#N/A,#N/A,FALSE,"인건2";#N/A,#N/A,FALSE,"인건3";#N/A,#N/A,FALSE,"인원증감";#N/A,#N/A,FALSE,"인건증감";#N/A,#N/A,FALSE,"표지등"}</definedName>
    <definedName name="ㅀㄴㅇㄹㄴㅇㄹ" hidden="1">{#N/A,#N/A,FALSE,"CCTV"}</definedName>
    <definedName name="ㅀㄴㅇㅀ" hidden="1">#REF!</definedName>
    <definedName name="ㅀ낳리ㅏ" hidden="1">{#N/A,#N/A,FALSE,"운반시간"}</definedName>
    <definedName name="ㅀㄷ" hidden="1">{#N/A,#N/A,FALSE,"표지목차"}</definedName>
    <definedName name="ㅀㄷㅎ" hidden="1">{#N/A,#N/A,FALSE,"운반시간"}</definedName>
    <definedName name="ㅀ덕ㅎ" hidden="1">{#N/A,#N/A,FALSE,"표지목차"}</definedName>
    <definedName name="ㅀ듀ㅗ" hidden="1">{#N/A,#N/A,FALSE,"운반시간"}</definedName>
    <definedName name="ㅀㄹ" hidden="1">{#N/A,#N/A,TRUE,"토적및재료집계";#N/A,#N/A,TRUE,"토적및재료집계";#N/A,#N/A,TRUE,"단위량"}</definedName>
    <definedName name="ㅀㄹ가ㅝㅎ" hidden="1">{#N/A,#N/A,FALSE,"단가표지"}</definedName>
    <definedName name="ㅀㄹㅇㄴ">{"'자리배치도'!$AG$1:$CI$28"}</definedName>
    <definedName name="ㅀㄹㅇㅋ">#REF!</definedName>
    <definedName name="ㅀㄹㅇㅋㅍ">#REF!</definedName>
    <definedName name="ㅀㄹ호" hidden="1">{#N/A,#N/A,FALSE,"골재소요량";#N/A,#N/A,FALSE,"골재소요량"}</definedName>
    <definedName name="ㅀ라ㅣㅓㅎㄱ" hidden="1">{#N/A,#N/A,FALSE,"혼합골재"}</definedName>
    <definedName name="ㅀ러ㅗㅓㄱ" hidden="1">{#N/A,#N/A,FALSE,"운반시간"}</definedName>
    <definedName name="ㅀㅁ" hidden="1">{#N/A,#N/A,FALSE,"조골재"}</definedName>
    <definedName name="ㅀㅂㄹ" hidden="1">{#N/A,#N/A,FALSE,"이태원철근"}</definedName>
    <definedName name="ㅀㅅ" hidden="1">{#N/A,#N/A,FALSE,"운반시간"}</definedName>
    <definedName name="ㅀㅅㄱ" hidden="1">{#N/A,#N/A,FALSE,"Sheet6"}</definedName>
    <definedName name="ㅀㅅㄱㄱ호" hidden="1">{#N/A,#N/A,FALSE,"운반시간"}</definedName>
    <definedName name="ㅀㅅㄹ">#REF!</definedName>
    <definedName name="ㅀ사ㅓㅗ" hidden="1">{#N/A,#N/A,FALSE,"조골재"}</definedName>
    <definedName name="ㅀ서홋" hidden="1">{#N/A,#N/A,FALSE,"단가표지"}</definedName>
    <definedName name="ㅀ셔ㅑ호" hidden="1">{#N/A,#N/A,FALSE,"혼합골재"}</definedName>
    <definedName name="ㅀ셔ㅑㅕㅑㅎ" hidden="1">{#N/A,#N/A,FALSE,"조골재"}</definedName>
    <definedName name="ㅀ셔ㅗㅎ" hidden="1">{#N/A,#N/A,FALSE,"혼합골재"}</definedName>
    <definedName name="ㅀ셯" hidden="1">{#N/A,#N/A,FALSE,"혼합골재"}</definedName>
    <definedName name="ㅀㅅㅗ" hidden="1">{#N/A,#N/A,FALSE,"단가표지"}</definedName>
    <definedName name="ㅀ소소소">#REF!</definedName>
    <definedName name="ㅀㅇ" hidden="1">{#N/A,#N/A,FALSE,"생산성";#N/A,#N/A,FALSE,"인력1";#N/A,#N/A,FALSE,"인력2";#N/A,#N/A,FALSE,"인력3";#N/A,#N/A,FALSE,"인건1";#N/A,#N/A,FALSE,"인건2";#N/A,#N/A,FALSE,"인건3";#N/A,#N/A,FALSE,"인원증감";#N/A,#N/A,FALSE,"인건증감";#N/A,#N/A,FALSE,"표지등"}</definedName>
    <definedName name="ㅀㅇㄴㅁㅎㄹㅇㅁㄶ"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ㅀㅇ니ㅗㅓ력" hidden="1">{#N/A,#N/A,FALSE,"단가표지"}</definedName>
    <definedName name="ㅀㅇㄹ">#REF!</definedName>
    <definedName name="ㅀㅇㅁ" hidden="1">{#N/A,#N/A,FALSE,"골재소요량";#N/A,#N/A,FALSE,"골재소요량"}</definedName>
    <definedName name="ㅀㅇㅎㄱㅇㅎ" hidden="1">{#N/A,#N/A,FALSE,"단가표지"}</definedName>
    <definedName name="ㅀㅇㅎㅅ" hidden="1">{#N/A,#N/A,FALSE,"단가표지"}</definedName>
    <definedName name="ㅀㅇ호ㅛㅇㅎㄱ" hidden="1">{#N/A,#N/A,FALSE,"단가표지"}</definedName>
    <definedName name="ㅀㅇㅀㅅ" hidden="1">{#N/A,#N/A,FALSE,"단가표지"}</definedName>
    <definedName name="ㅀ아ㅏㅇ러ㅣㅀㅇ" hidden="1">{#N/A,#N/A,FALSE,"단가표지"}</definedName>
    <definedName name="ㅀ아ㅓㄱ" hidden="1">{#N/A,#N/A,FALSE,"혼합골재"}</definedName>
    <definedName name="ㅀ아ㅣㅓㅗㅀ" hidden="1">{#N/A,#N/A,FALSE,"골재소요량";#N/A,#N/A,FALSE,"골재소요량"}</definedName>
    <definedName name="ㅀ어ㅏㅗㅗㅕㅎ" hidden="1">{#N/A,#N/A,FALSE,"단가표지"}</definedName>
    <definedName name="ㅀ어ㅏㅣ호ㅕㅓㅅㄱ" hidden="1">{#N/A,#N/A,FALSE,"단가표지"}</definedName>
    <definedName name="ㅀ오ㅓㅎ롱ㄶㄹㄴ" hidden="1">{#N/A,#N/A,FALSE,"2~8번"}</definedName>
    <definedName name="ㅀㅈㄷ" hidden="1">{#N/A,#N/A,FALSE,"골재소요량";#N/A,#N/A,FALSE,"골재소요량"}</definedName>
    <definedName name="ㅀ처ㅗㅎㄳ" hidden="1">{#N/A,#N/A,FALSE,"표지목차"}</definedName>
    <definedName name="ㅀ쳫" hidden="1">{#N/A,#N/A,FALSE,"운반시간"}</definedName>
    <definedName name="ㅀ픂" hidden="1">{#N/A,#N/A,FALSE,"생산성";#N/A,#N/A,FALSE,"인력1";#N/A,#N/A,FALSE,"인력2";#N/A,#N/A,FALSE,"인력3";#N/A,#N/A,FALSE,"인건1";#N/A,#N/A,FALSE,"인건2";#N/A,#N/A,FALSE,"인건3";#N/A,#N/A,FALSE,"인원증감";#N/A,#N/A,FALSE,"인건증감";#N/A,#N/A,FALSE,"표지등"}</definedName>
    <definedName name="ㅀㅎ" hidden="1">{#N/A,#N/A,FALSE,"2~8번"}</definedName>
    <definedName name="ㅀㅎ겋" hidden="1">{#N/A,#N/A,FALSE,"단가표지"}</definedName>
    <definedName name="ㅀㅎ고" hidden="1">{#N/A,#N/A,FALSE,"운반시간"}</definedName>
    <definedName name="ㅀㅎ뇯ㄱ" hidden="1">{#N/A,#N/A,FALSE,"운반시간"}</definedName>
    <definedName name="ㅀㅎ러" hidden="1">{#N/A,#N/A,FALSE,"운반시간"}</definedName>
    <definedName name="ㅀㅎ사ㅓㅗ쇼" hidden="1">{#N/A,#N/A,FALSE,"2~8번"}</definedName>
    <definedName name="ㅀㅎㅊㅌ">#REF!</definedName>
    <definedName name="ㅀㅎㅎ"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ㅀㅎㅎㅇㅁㅎㄻ"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허" hidden="1">{#N/A,#N/A,FALSE,"CCTV"}</definedName>
    <definedName name="ㅀ허_1" hidden="1">{#N/A,#N/A,FALSE,"CCTV"}</definedName>
    <definedName name="ㅀ허호ㅗㅓㅇ" hidden="1">{#N/A,#N/A,FALSE,"혼합골재"}</definedName>
    <definedName name="ㅀ허ㅏㅏ">#REF!</definedName>
    <definedName name="ㅀ호ㅓㅎ" hidden="1">{#N/A,#N/A,FALSE,"혼합골재"}</definedName>
    <definedName name="ㅀ홋" hidden="1">{#N/A,#N/A,FALSE,"단가표지"}</definedName>
    <definedName name="ㅀㅀ" hidden="1">{"'Firr(선)'!$AS$1:$AY$62","'Firr(사)'!$AS$1:$AY$62","'Firr(회)'!$AS$1:$AY$62","'Firr(선)'!$L$1:$V$62","'Firr(사)'!$L$1:$V$62","'Firr(회)'!$L$1:$V$62"}</definedName>
    <definedName name="ㅀㅀㄱ">#REF!</definedName>
    <definedName name="ㅀㅀㄴ" hidden="1">{#N/A,#N/A,FALSE,"조골재"}</definedName>
    <definedName name="ㅀㅀㄹ">#REF!</definedName>
    <definedName name="ㅀㅀㅇㄹ">#REF!</definedName>
    <definedName name="ㅀㅓㅜ" hidden="1">{#N/A,#N/A,FALSE,"단가표지"}</definedName>
    <definedName name="ㅀㄳ" hidden="1">{#N/A,#N/A,FALSE,"운반시간"}</definedName>
    <definedName name="ㅀㄳㄷ홋ㄷ" hidden="1">{#N/A,#N/A,FALSE,"운반시간"}</definedName>
    <definedName name="ㅀㄳㅎ" hidden="1">{#N/A,#N/A,FALSE,"단가표지"}</definedName>
    <definedName name="ㅀㄳ호" hidden="1">{#N/A,#N/A,FALSE,"단가표지"}</definedName>
    <definedName name="ㅀㄶrdhs" hidden="1">{#N/A,#N/A,FALSE,"이정표"}</definedName>
    <definedName name="ㅀㄽㄷ" hidden="1">{#N/A,#N/A,FALSE,"단가표지"}</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ㅄㄱㄷ">#N/A</definedName>
    <definedName name="ㅏ" hidden="1">{#N/A,#N/A,FALSE,"운반시간"}</definedName>
    <definedName name="ㅏ_1" hidden="1">{#N/A,#N/A,FALSE,"운반시간"}</definedName>
    <definedName name="ㅏ_2" hidden="1">{#N/A,#N/A,FALSE,"이태원철근"}</definedName>
    <definedName name="ㅏ_3" hidden="1">{#N/A,#N/A,FALSE,"기안지";#N/A,#N/A,FALSE,"통신지"}</definedName>
    <definedName name="ㅏ_5" hidden="1">{#N/A,#N/A,FALSE,"이태원철근"}</definedName>
    <definedName name="ㅏ1" hidden="1">#REF!</definedName>
    <definedName name="ㅏ175">#REF!</definedName>
    <definedName name="ㅏ271">#REF!</definedName>
    <definedName name="ㅏ576">#REF!</definedName>
    <definedName name="ㅏ겨ㅛ뎌ㅑㅓㄱ" hidden="1">{#N/A,#N/A,FALSE,"운반시간"}</definedName>
    <definedName name="ㅏㄷ">#REF!</definedName>
    <definedName name="ㅏ닫">#N/A</definedName>
    <definedName name="ㅏㄹ호ㅓ허ㅗ" hidden="1">{#N/A,#N/A,FALSE,"조골재"}</definedName>
    <definedName name="ㅏ로ㅕㄱ솧" hidden="1">{#N/A,#N/A,FALSE,"조골재"}</definedName>
    <definedName name="ㅏㅁㅇ라ㅓ" localSheetId="0">BlankMacro1</definedName>
    <definedName name="ㅏㅁㅇ라ㅓ">BlankMacro1</definedName>
    <definedName name="ㅏㅅㄱㅎ" hidden="1">{#N/A,#N/A,FALSE,"전력간선"}</definedName>
    <definedName name="ㅏ셔ㅏ셔ㅏㅕ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ㅇㄴㄹ" localSheetId="0">BlankMacro1</definedName>
    <definedName name="ㅏㅇㄴㄹ">BlankMacro1</definedName>
    <definedName name="ㅏ아아">#REF!</definedName>
    <definedName name="ㅏ토표ㅕㄹㅇㅍ" hidden="1">{#N/A,#N/A,FALSE,"단가표지"}</definedName>
    <definedName name="ㅏㅎ러ㅗ허ㅗ" hidden="1">#REF!</definedName>
    <definedName name="ㅏ허햐" hidden="1">{#N/A,#N/A,FALSE,"혼합골재"}</definedName>
    <definedName name="ㅏ허화" hidden="1">{#N/A,#N/A,FALSE,"골재소요량";#N/A,#N/A,FALSE,"골재소요량"}</definedName>
    <definedName name="ㅏ호">#N/A</definedName>
    <definedName name="ㅏ호ㅓㅗㅎ혼" hidden="1">{#N/A,#N/A,FALSE,"단가표지"}</definedName>
    <definedName name="ㅏ호ㅛㅎ" hidden="1">{#N/A,#N/A,FALSE,"단가표지"}</definedName>
    <definedName name="ㅏ혾ㄱㅁ" hidden="1">{#N/A,#N/A,FALSE,"운반시간"}</definedName>
    <definedName name="ㅏ홀" hidden="1">{#N/A,#N/A,FALSE,"골재소요량";#N/A,#N/A,FALSE,"골재소요량"}</definedName>
    <definedName name="ㅏ효ㅗ" hidden="1">{#N/A,#N/A,FALSE,"조골재"}</definedName>
    <definedName name="ㅏㅀ" hidden="1">{#N/A,#N/A,FALSE,"단가표지"}</definedName>
    <definedName name="ㅏㅏ">#REF!</definedName>
    <definedName name="ㅏㅏㅏ" hidden="1">{#N/A,#N/A,FALSE,"BS";#N/A,#N/A,FALSE,"PL";#N/A,#N/A,FALSE,"처분";#N/A,#N/A,FALSE,"현금";#N/A,#N/A,FALSE,"매출";#N/A,#N/A,FALSE,"원가";#N/A,#N/A,FALSE,"경영"}</definedName>
    <definedName name="ㅏㅏㅏ_1" hidden="1">{#N/A,#N/A,FALSE,"골재소요량";#N/A,#N/A,FALSE,"골재소요량"}</definedName>
    <definedName name="ㅏㅏㅏ_2" hidden="1">{#N/A,#N/A,FALSE,"골재소요량";#N/A,#N/A,FALSE,"골재소요량"}</definedName>
    <definedName name="ㅏㅏㅏ_3" hidden="1">{#N/A,#N/A,FALSE,"골재소요량";#N/A,#N/A,FALSE,"골재소요량"}</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셔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 hidden="1">{#N/A,#N/A,FALSE,"명세표"}</definedName>
    <definedName name="ㅏㅏㅏㅏ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ㅏㅏ" hidden="1">{#N/A,#N/A,FALSE,"운반시간"}</definedName>
    <definedName name="ㅏㅏㅏㅏㅏㅏㅏㅏㅏㅏㅏㅏㅏㅏㅏㅏㅏㅏㅏㅏㅏㅏㅏㅏㅏㅏㅏ" hidden="1">{#N/A,#N/A,FALSE,"단가표지"}</definedName>
    <definedName name="ㅏㅏㅏㅑ" hidden="1">{#N/A,#N/A,FALSE,"혼합골재"}</definedName>
    <definedName name="ㅏㅏㅕㅑ" hidden="1">{#N/A,#N/A,FALSE,"단가표지"}</definedName>
    <definedName name="ㅏㅏㅕㅓㅓ" hidden="1">{#N/A,#N/A,FALSE,"단가표지"}</definedName>
    <definedName name="ㅏㅏㅛㅕㅑ" hidden="1">{#N/A,#N/A,FALSE,"운반시간"}</definedName>
    <definedName name="ㅏㅏㅝ" hidden="1">{#N/A,#N/A,FALSE,"단가표지"}</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ㅗㅓㅗ" hidden="1">{#N/A,#N/A,FALSE,"부대2"}</definedName>
    <definedName name="ㅏㅑㅁㄴㅇ랜ㅇㄹ" hidden="1">{#N/A,#N/A,FALSE,"지침";#N/A,#N/A,FALSE,"환경분석";#N/A,#N/A,FALSE,"Sheet16"}</definedName>
    <definedName name="ㅏㅑㅏㅑ" hidden="1">#REF!</definedName>
    <definedName name="ㅏㅑㅓㅛ셛" hidden="1">{#N/A,#N/A,FALSE,"운반시간"}</definedName>
    <definedName name="ㅏㅓ" hidden="1">{#N/A,#N/A,FALSE,"구조2"}</definedName>
    <definedName name="ㅏㅓㅎ" hidden="1">{#N/A,#N/A,FALSE,"운반시간"}</definedName>
    <definedName name="ㅏㅓㅎㄴㄻㄴ" hidden="1">{#N/A,#N/A,FALSE,"단가표지"}</definedName>
    <definedName name="ㅏㅓ혀" hidden="1">{#N/A,#N/A,FALSE,"단가표지"}</definedName>
    <definedName name="ㅏㅓ홋ㅁㅁㅁㅁ" hidden="1">{#N/A,#N/A,FALSE,"단가표지"}</definedName>
    <definedName name="ㅏㅓ화호" hidden="1">{#N/A,#N/A,FALSE,"단가표지"}</definedName>
    <definedName name="ㅏㅓㅏ" hidden="1">{#N/A,#N/A,FALSE,"물가변동 (2)";#N/A,#N/A,FALSE,"공사비";#N/A,#N/A,FALSE,"사급";#N/A,#N/A,FALSE,"도급집계";#N/A,#N/A,FALSE,"재료비";#N/A,#N/A,FALSE,"노무비";#N/A,#N/A,FALSE,"경비"}</definedName>
    <definedName name="ㅏㅓㅏㅑㅓㅕ" hidden="1">{#N/A,#N/A,FALSE,"운반시간"}</definedName>
    <definedName name="ㅏㅓㅏㅓ" hidden="1">{#N/A,#N/A,FALSE,"2~8번"}</definedName>
    <definedName name="ㅏㅓㅏㅓㅣ" hidden="1">{#N/A,#N/A,FALSE,"이태원철근"}</definedName>
    <definedName name="ㅏㅓㅑㅎ"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ㅏㅓㅓㄹ호" hidden="1">{#N/A,#N/A,FALSE,"단가표지"}</definedName>
    <definedName name="ㅏㅓㅓㅎ" hidden="1">{#N/A,#N/A,FALSE,"단가표지"}</definedName>
    <definedName name="ㅏㅓㅓㅏ" hidden="1">{#N/A,#N/A,FALSE,"Sheet1"}</definedName>
    <definedName name="ㅏㅓㅓㅛㅑ겫"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ㅕㅎ" hidden="1">{#N/A,#N/A,FALSE,"단가표지"}</definedName>
    <definedName name="ㅏㅓㅕㅑ헛" hidden="1">{#N/A,#N/A,FALSE,"표지목차"}</definedName>
    <definedName name="ㅏㅓㅗ" hidden="1">{#VALUE!,#N/A,FALSE,0}</definedName>
    <definedName name="ㅏㅓㅗ라" hidden="1">{#N/A,#N/A,FALSE,"골재소요량";#N/A,#N/A,FALSE,"골재소요량"}</definedName>
    <definedName name="ㅏㅓㅗㅎ" hidden="1">{#N/A,#N/A,FALSE,"운반시간"}</definedName>
    <definedName name="ㅏㅓㅗ헐ㄴ" hidden="1">{#N/A,#N/A,FALSE,"조골재"}</definedName>
    <definedName name="ㅏㅓㅗㅓ" hidden="1">{#N/A,#N/A,FALSE,"운반시간"}</definedName>
    <definedName name="ㅏㅓㅗㅕ포" hidden="1">{#N/A,#N/A,FALSE,"단가표지"}</definedName>
    <definedName name="ㅏㅓㅗㅛㅕㅎ" hidden="1">{#N/A,#N/A,FALSE,"운반시간"}</definedName>
    <definedName name="ㅏㅓㅗㄶㄹ" hidden="1">{#N/A,#N/A,FALSE,"2~8번"}</definedName>
    <definedName name="ㅏㅓㅘ허호" hidden="1">{#N/A,#N/A,FALSE,"단가표지"}</definedName>
    <definedName name="ㅏㅓㅘㅓㅘㅓㅘㅓㅘㅓㅘㅓㅘ" hidden="1">{#N/A,#N/A,FALSE,"단가표지"}</definedName>
    <definedName name="ㅏㅓㅘㅗ" hidden="1">#REF!</definedName>
    <definedName name="ㅏㅓㅛ온호" hidden="1">{#N/A,#N/A,FALSE,"운반시간"}</definedName>
    <definedName name="ㅏㅓㅛㅕㅓㅇㅎㄱㄷㅁ" hidden="1">{#N/A,#N/A,FALSE,"혼합골재"}</definedName>
    <definedName name="ㅏㅓㅜㅑ" hidden="1">{#N/A,#N/A,FALSE,"표지목차"}</definedName>
    <definedName name="ㅏㅓㅠㅟㅓ우" hidden="1">{#N/A,#N/A,FALSE,"표지목차"}</definedName>
    <definedName name="ㅏㅓㅣㅏㅓㅣ" hidden="1">{#N/A,#N/A,FALSE,"부대2"}</definedName>
    <definedName name="ㅏㅓㅣㅏㅓㅣㅏㅓㅣ" hidden="1">{#N/A,#N/A,FALSE,"이태원철근"}</definedName>
    <definedName name="ㅏㅓㅣㅏㅓㅣㅏㅓㅣㅓ" hidden="1">{#N/A,#N/A,FALSE,"이태원철근"}</definedName>
    <definedName name="ㅏㅕ">#REF!</definedName>
    <definedName name="ㅏㅕ교혾ㄹ" hidden="1">{#N/A,#N/A,FALSE,"조골재"}</definedName>
    <definedName name="ㅏㅕㄷㅇㅎㅁㄴㄷㄱ" hidden="1">{#N/A,#N/A,FALSE,"2~8번"}</definedName>
    <definedName name="ㅏㅕ라ㅕ" hidden="1">#REF!</definedName>
    <definedName name="ㅏㅕㅑㅣㅕㅑㅐㅏ" hidden="1">{#N/A,#N/A,FALSE,"단가표지"}</definedName>
    <definedName name="ㅏㅕㅕㅏㅎㅇ호노" hidden="1">{#N/A,#N/A,FALSE,"단가표지"}</definedName>
    <definedName name="ㅏㅕㅘ" hidden="1">{#N/A,#N/A,FALSE,"조골재"}</definedName>
    <definedName name="ㅏㅕㅛ" hidden="1">{#N/A,#N/A,FALSE,"단가표지"}</definedName>
    <definedName name="ㅏㅕㅛ라ㅕㅏ">#REF!</definedName>
    <definedName name="ㅏㅗㅇ" hidden="1">{#N/A,#N/A,FALSE,"현장 NCR 분석";#N/A,#N/A,FALSE,"현장품질감사";#N/A,#N/A,FALSE,"현장품질감사"}</definedName>
    <definedName name="ㅏㅗ오ㅓㅓㅗㅎㄴ" hidden="1">{#N/A,#N/A,FALSE,"혼합골재"}</definedName>
    <definedName name="ㅏㅗ하ㅓ호" hidden="1">#REF!</definedName>
    <definedName name="ㅏㅗ햐" hidden="1">{#N/A,#N/A,FALSE,"이정표"}</definedName>
    <definedName name="ㅏㅗ햫" hidden="1">{#N/A,#N/A,FALSE,"골재소요량";#N/A,#N/A,FALSE,"골재소요량"}</definedName>
    <definedName name="ㅏㅗ허ㅏ" hidden="1">#REF!</definedName>
    <definedName name="ㅏㅗㅑ" hidden="1">{#N/A,#N/A,FALSE,"단가표지"}</definedName>
    <definedName name="ㅏㅗㅓㅇㄴㅁ" hidden="1">{#N/A,#N/A,FALSE,"단가표지"}</definedName>
    <definedName name="ㅏㅗㅓㅏ화호" hidden="1">{#N/A,#N/A,FALSE,"표지목차"}</definedName>
    <definedName name="ㅏㅗㅓㅓㄴ" hidden="1">{#N/A,#N/A,FALSE,"단가표지"}</definedName>
    <definedName name="ㅏㅗㅓㅗ호ㅓ" hidden="1">{#N/A,#N/A,FALSE,"2~8번"}</definedName>
    <definedName name="ㅏㅗㅓㅛ" hidden="1">{#N/A,#N/A,FALSE,"단가표지"}</definedName>
    <definedName name="ㅏㅗㅕㄴㄹ" hidden="1">{#N/A,#N/A,FALSE,"혼합골재"}</definedName>
    <definedName name="ㅏㅗㅕㅏ" hidden="1">{#N/A,#N/A,FALSE,"표지목차"}</definedName>
    <definedName name="ㅏㅗㅕㅗ" hidden="1">{#N/A,#N/A,FALSE,"속도"}</definedName>
    <definedName name="ㅏㅗㅗㅗㅎ" hidden="1">{#N/A,#N/A,FALSE,"조골재"}</definedName>
    <definedName name="ㅏㅗㅗㅗㅗㄹㄹㄴ" hidden="1">{#N/A,#N/A,FALSE,"단가표지"}</definedName>
    <definedName name="ㅏㅗㅛㄱ" hidden="1">{#N/A,#N/A,FALSE,"운반시간"}</definedName>
    <definedName name="ㅏㅘㅓ" hidden="1">#REF!</definedName>
    <definedName name="ㅏㅙ"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ㅏㅛㅗㅕㅑ" hidden="1">{#N/A,#N/A,FALSE,"운반시간"}</definedName>
    <definedName name="ㅏㅜ허" hidden="1">{#N/A,#N/A,FALSE,"혼합골재"}</definedName>
    <definedName name="ㅏㅠㅎ셔" hidden="1">{#N/A,#N/A,FALSE,"골재소요량";#N/A,#N/A,FALSE,"골재소요량"}</definedName>
    <definedName name="ㅏㅣ">{"Book1","TOTAL.xls"}</definedName>
    <definedName name="ㅏㅣㄹ허ㅕ셯" hidden="1">{#N/A,#N/A,FALSE,"단가표지"}</definedName>
    <definedName name="ㅏㅣㅑㅓㅐㅣㅑ" hidden="1">{#N/A,#N/A,FALSE,"2~8번"}</definedName>
    <definedName name="ㅏㅣㅑㅕㅣㅑㅏ" hidden="1">{#N/A,#N/A,FALSE,"표지목차"}</definedName>
    <definedName name="ㅏㅣㅓㅏㅗ" hidden="1">{#N/A,#N/A,FALSE,"변경관리예산";#N/A,#N/A,FALSE,"변경장비예산";#N/A,#N/A,FALSE,"변경준설예산";#N/A,#N/A,FALSE,"변경철구예산"}</definedName>
    <definedName name="ㅐ" hidden="1">{#N/A,#N/A,FALSE,"현장 NCR 분석";#N/A,#N/A,FALSE,"현장품질감사";#N/A,#N/A,FALSE,"현장품질감사"}</definedName>
    <definedName name="ㅐ_1" hidden="1">{#N/A,#N/A,FALSE,"이태원철근"}</definedName>
    <definedName name="ㅐ_2" hidden="1">{#N/A,#N/A,FALSE,"이태원철근"}</definedName>
    <definedName name="ㅐ_3" hidden="1">{#N/A,#N/A,FALSE,"이태원철근"}</definedName>
    <definedName name="ㅐ_4" hidden="1">{#N/A,#N/A,FALSE,"이태원철근"}</definedName>
    <definedName name="ㅐ1">#REF!</definedName>
    <definedName name="ㅐ520">#REF!</definedName>
    <definedName name="ㅐ55">#REF!</definedName>
    <definedName name="ㅐㅏ"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ㅐㅐ">#REF!</definedName>
    <definedName name="ㅐㅐㅐ">#REF!</definedName>
    <definedName name="ㅐㅐㅐ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_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ㅑ래햐ㅐㄴ애" hidden="1">{#N/A,#N/A,FALSE,"운반시간"}</definedName>
    <definedName name="ㅐ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겷" hidden="1">{#N/A,#N/A,FALSE,"조골재"}</definedName>
    <definedName name="ㅐㅑㅏ">#REF!</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_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ㅔ" hidden="1">#REF!</definedName>
    <definedName name="ㅐㅔ.ㅏㅠㅜ" hidden="1">{#N/A,#N/A,FALSE,"운반시간"}</definedName>
    <definedName name="ㅐㅔㅕㅑㅔㅕ" hidden="1">{#N/A,#N/A,FALSE,"변경관리예산";#N/A,#N/A,FALSE,"변경장비예산";#N/A,#N/A,FALSE,"변경준설예산";#N/A,#N/A,FALSE,"변경철구예산"}</definedName>
    <definedName name="ㅐㅕㅓ요ㅗ쇼" hidden="1">{#N/A,#N/A,FALSE,"골재소요량";#N/A,#N/A,FALSE,"골재소요량"}</definedName>
    <definedName name="ㅐㅕㅛㅐ" hidden="1">{#N/A,#N/A,FALSE,"손익표지";#N/A,#N/A,FALSE,"손익계산";#N/A,#N/A,FALSE,"일반관리비";#N/A,#N/A,FALSE,"영업외수익";#N/A,#N/A,FALSE,"영업외비용";#N/A,#N/A,FALSE,"매출액";#N/A,#N/A,FALSE,"요약손익";#N/A,#N/A,FALSE,"요약대차";#N/A,#N/A,FALSE,"매출채권현황";#N/A,#N/A,FALSE,"매출채권명세"}</definedName>
    <definedName name="ㅐㅕㅛㅗㅍㄹ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ㅗㅅ">#REF!</definedName>
    <definedName name="ㅐㅜㅅㅊ" hidden="1">{#N/A,#N/A,FALSE,"예상손익";#N/A,#N/A,FALSE,"관리분석";#N/A,#N/A,FALSE,"장비분석";#N/A,#N/A,FALSE,"준설분석";#N/A,#N/A,FALSE,"철구분석"}</definedName>
    <definedName name="ㅐㅣㅓ" hidden="1">{#N/A,#N/A,FALSE,"골재소요량";#N/A,#N/A,FALSE,"골재소요량"}</definedName>
    <definedName name="ㅑ" hidden="1">{#N/A,#N/A,FALSE,"조골재"}</definedName>
    <definedName name="ㅑ_1" hidden="1">{#N/A,#N/A,FALSE,"조골재"}</definedName>
    <definedName name="ㅑ3081">#REF!</definedName>
    <definedName name="ㅑ722">#REF!</definedName>
    <definedName name="ㅑ76ㅛ58ㄷ76ㅛ" hidden="1">{#N/A,#N/A,FALSE,"표지목차"}</definedName>
    <definedName name="ㅑ78ㅑ5ㄱ67645" hidden="1">{#N/A,#N/A,FALSE,"조골재"}</definedName>
    <definedName name="ㅑ7ㅑ교ㅕㅛㅈㅈ" hidden="1">{#N/A,#N/A,FALSE,"표지목차"}</definedName>
    <definedName name="ㅑ7ㅕㅈ6ㅅ42ㅛㅕㄷ" hidden="1">{#N/A,#N/A,FALSE,"단가표지"}</definedName>
    <definedName name="ㅑ8976864" hidden="1">{#N/A,#N/A,FALSE,"단가표지"}</definedName>
    <definedName name="ㅑ갸ㅕㅛㅑㅛ" hidden="1">{#N/A,#N/A,FALSE,"운반시간"}</definedName>
    <definedName name="ㅑ겨됴ㅕㄷ쇼" hidden="1">{#N/A,#N/A,FALSE,"운반시간"}</definedName>
    <definedName name="ㅑ겨ㅑ교ㅕ됴" hidden="1">{#N/A,#N/A,FALSE,"운반시간"}</definedName>
    <definedName name="ㅑ겨ㅑㅕㅐ" hidden="1">{#N/A,#N/A,FALSE,"운반시간"}</definedName>
    <definedName name="ㅑ겨ㅕㄷ" hidden="1">{#N/A,#N/A,FALSE,"단가표지"}</definedName>
    <definedName name="ㅑ댜ㅛㄷ65" hidden="1">{#N/A,#N/A,FALSE,"표지목차"}</definedName>
    <definedName name="ㅑ뎌ㅑㄱ둊" hidden="1">{#N/A,#N/A,FALSE,"단가표지"}</definedName>
    <definedName name="ㅑ뎌ㅛㅕ64ㅈ5" hidden="1">{#N/A,#N/A,FALSE,"단가표지"}</definedName>
    <definedName name="ㅑ뎌ㅛㅕㅈ" hidden="1">{#N/A,#N/A,FALSE,"운반시간"}</definedName>
    <definedName name="ㅑㅅ" hidden="1">{"'Sheet1'!$L$16"}</definedName>
    <definedName name="ㅑ쇼교ㅕㄷ" hidden="1">{#N/A,#N/A,FALSE,"2~8번"}</definedName>
    <definedName name="ㅑ쇼ㅑ76765ㄷ" hidden="1">{#N/A,#N/A,FALSE,"단가표지"}</definedName>
    <definedName name="ㅑㅇㄹ" hidden="1">{#N/A,#N/A,FALSE,"혼합골재"}</definedName>
    <definedName name="ㅑㅏ야ㅏ" hidden="1">{#N/A,#N/A,FALSE,"골재소요량";#N/A,#N/A,FALSE,"골재소요량"}</definedName>
    <definedName name="ㅑㅏㅐㅣㅐㅕㅐㅣㅑㅕㅑ" hidden="1">{#N/A,#N/A,FALSE,"표지목차"}</definedName>
    <definedName name="ㅑㅏㅑㅓㅗㅅ" hidden="1">{#N/A,#N/A,FALSE,"표지목차"}</definedName>
    <definedName name="ㅑㅐ" hidden="1">{#N/A,#N/A,FALSE,"표지"}</definedName>
    <definedName name="ㅑㅐㅎ각">#REF!</definedName>
    <definedName name="ㅑㅐㅑ" hidden="1">{#N/A,#N/A,TRUE,"토적및재료집계";#N/A,#N/A,TRUE,"토적및재료집계";#N/A,#N/A,TRUE,"단위량"}</definedName>
    <definedName name="ㅑㅐ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ㅐㅕ77ㅕ8" hidden="1">{#N/A,#N/A,FALSE,"조골재"}</definedName>
    <definedName name="ㅑㅐㅕㅑㅢ" hidden="1">{#N/A,#N/A,FALSE,"혼합골재"}</definedName>
    <definedName name="ㅑㅐㅕㅛ갸ㅛ셛" hidden="1">{#N/A,#N/A,FALSE,"단가표지"}</definedName>
    <definedName name="ㅑㅐㅕㅛㅑ겨ㅑ" hidden="1">{#N/A,#N/A,FALSE,"단가표지"}</definedName>
    <definedName name="ㅑㅑ">#REF!</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 hidden="1">{"'용역비'!$A$4:$C$8"}</definedName>
    <definedName name="ㅑㅑㅑㅑㅑㅑ" hidden="1">{"'용역비'!$A$4:$C$8"}</definedName>
    <definedName name="ㅑㅑㅑㅑㅑㅑㅑ" hidden="1">{#N/A,#N/A,FALSE,"Sheet6"}</definedName>
    <definedName name="ㅑㅑㅕㅓㄷ" hidden="1">{#N/A,#N/A,FALSE,"단가표지"}</definedName>
    <definedName name="ㅑㅓ" hidden="1">{#N/A,#N/A,FALSE,"혼합골재"}</definedName>
    <definedName name="ㅑㅓㅏㅗㅕㅏ" hidden="1">{#N/A,#N/A,FALSE,"전력간선"}</definedName>
    <definedName name="ㅑㅓㅑㅑㅗ" hidden="1">{#N/A,#N/A,FALSE,"단가표지"}</definedName>
    <definedName name="ㅑㅓㅛㅅ뎌ㅓ쇼댜" hidden="1">{#N/A,#N/A,FALSE,"단가표지"}</definedName>
    <definedName name="ㅑㅔ">#N/A</definedName>
    <definedName name="ㅑㅕ" hidden="1">{#N/A,#N/A,FALSE,"이정표"}</definedName>
    <definedName name="ㅑㅕ9ㅑ78ㅕㅑ쇼ㅕㄱ" hidden="1">{#N/A,#N/A,FALSE,"혼합골재"}</definedName>
    <definedName name="ㅑㅕ뎌ㅛㅅ됴" hidden="1">{#N/A,#N/A,FALSE,"혼합골재"}</definedName>
    <definedName name="ㅑㅕㅅ됴ㅕ쇼ㅕㅈ" hidden="1">{#N/A,#N/A,FALSE,"단가표지"}</definedName>
    <definedName name="ㅑㅕ사" hidden="1">{#N/A,#N/A,FALSE,"혼합골재"}</definedName>
    <definedName name="ㅑㅕㅓㅗㅓㅇ6ㅕ" hidden="1">{#N/A,#N/A,FALSE,"운반시간"}</definedName>
    <definedName name="ㅑㅕㅓㅣ" hidden="1">{#N/A,#N/A,FALSE,"골재소요량";#N/A,#N/A,FALSE,"골재소요량"}</definedName>
    <definedName name="ㅑㅕㅕ" hidden="1">{"'용역비'!$A$4:$C$8"}</definedName>
    <definedName name="ㅑㅕㅛㄷ7ㅛ" hidden="1">{#N/A,#N/A,FALSE,"혼합골재"}</definedName>
    <definedName name="ㅑㅗㅑㄹ" hidden="1">{#N/A,#N/A,FALSE,"단가표지"}</definedName>
    <definedName name="ㅑㅗㅓ" hidden="1">{#N/A,#N/A,FALSE,"운반시간"}</definedName>
    <definedName name="ㅑㅛㄱㅛㅑ거쇼" hidden="1">{#N/A,#N/A,FALSE,"2~8번"}</definedName>
    <definedName name="ㅑㅛㅅ댝6ㅅㅅ" hidden="1">{#N/A,#N/A,FALSE,"단가표지"}</definedName>
    <definedName name="ㅑㅛㅅ뎌ㅑ뎌ㅑㄱ" hidden="1">{#N/A,#N/A,FALSE,"조골재"}</definedName>
    <definedName name="ㅑㅡㅏ휴" hidden="1">{#N/A,#N/A,FALSE,"골재소요량";#N/A,#N/A,FALSE,"골재소요량"}</definedName>
    <definedName name="ㅑㅣㅕ" hidden="1">{#N/A,#N/A,FALSE,"단가표지"}</definedName>
    <definedName name="ㅑㅣㅕㅕㅣㅏㅎ" hidden="1">{#N/A,#N/A,FALSE,"골재소요량";#N/A,#N/A,FALSE,"골재소요량"}</definedName>
    <definedName name="ㅑㅣㅛ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ㅣㅡㅑㅣ" hidden="1">{#N/A,#N/A,FALSE,"2~8번"}</definedName>
    <definedName name="ㅑㅣ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 hidden="1">{#N/A,#N/A,FALSE,"CCTV"}</definedName>
    <definedName name="ㅓ_1" hidden="1">{#N/A,#N/A,FALSE,"이태원철근"}</definedName>
    <definedName name="ㅓ_2" hidden="1">{#N/A,#N/A,FALSE,"이태원철근"}</definedName>
    <definedName name="ㅓ_3" hidden="1">{#N/A,#N/A,FALSE,"이태원철근"}</definedName>
    <definedName name="ㅓ.ㅎㅎㅇ" hidden="1">{#N/A,#N/A,FALSE,"토공2"}</definedName>
    <definedName name="ㅓ102">#REF!</definedName>
    <definedName name="ㅓ1514">#REF!</definedName>
    <definedName name="ㅓ24">#REF!</definedName>
    <definedName name="ㅓ2831">#REF!</definedName>
    <definedName name="ㅓ39">#REF!</definedName>
    <definedName name="ㅓ454">#REF!</definedName>
    <definedName name="ㅓ7" hidden="1">{#N/A,#N/A,FALSE,"단가표지"}</definedName>
    <definedName name="ㅓ7_1" hidden="1">{#N/A,#N/A,FALSE,"단가표지"}</definedName>
    <definedName name="ㅓ8">#REF!</definedName>
    <definedName name="ㅓㄱ">#N/A</definedName>
    <definedName name="ㅓㄱㅇ숃ㄴ" hidden="1">{#N/A,#N/A,FALSE,"조골재"}</definedName>
    <definedName name="ㅓㄱㅓ">#N/A</definedName>
    <definedName name="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ㄱ" hidden="1">#REF!</definedName>
    <definedName name="ㅓㄴㄴㄴ" hidden="1">{#N/A,#N/A,FALSE,"운반시간"}</definedName>
    <definedName name="ㅓㄴㄹ헌ㄴ너" hidden="1">{#N/A,#N/A,FALSE,"단가표지"}</definedName>
    <definedName name="ㅓㄴㄹ헌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라ㅏㅏㅏ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런로엏ㄺㄱ" hidden="1">{#N/A,#N/A,FALSE,"혼합골재"}</definedName>
    <definedName name="ㅓㄴㅇ러" hidden="1">{#N/A,#N/A,FALSE,"골재소요량";#N/A,#N/A,FALSE,"골재소요량"}</definedName>
    <definedName name="ㅓㄴ어ㅛㅕㅑㅐㅑ" hidden="1">{#N/A,#N/A,FALSE,"골재소요량";#N/A,#N/A,FALSE,"골재소요량"}</definedName>
    <definedName name="ㅓㄴ홓노ㅗㄴ" hidden="1">{#N/A,#N/A,FALSE,"단가표지"}</definedName>
    <definedName name="ㅓ나나ㄴ">#REF!</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냐호ㅓㅓㅛㄴㅅ셔" hidden="1">{#N/A,#N/A,FALSE,"단가표지"}</definedName>
    <definedName name="ㅓㄴㅓ">#REF!</definedName>
    <definedName name="ㅓ너요쇼ㅑㅏㅗㅇㅇㅇ" hidden="1">{#N/A,#N/A,FALSE,"단가표지"}</definedName>
    <definedName name="ㅓ넣놓노" hidden="1">{#N/A,#N/A,FALSE,"2~8번"}</definedName>
    <definedName name="ㅓ노허ㅗㄴㅇ" hidden="1">{#N/A,#N/A,FALSE,"운반시간"}</definedName>
    <definedName name="ㅓ노호" hidden="1">{#N/A,#N/A,FALSE,"단가표지"}</definedName>
    <definedName name="ㅓ논ㄱㅁ" hidden="1">{#N/A,#N/A,FALSE,"단가표지"}</definedName>
    <definedName name="ㅓㄴㄻ" hidden="1">{#N/A,#N/A,FALSE,"골재소요량";#N/A,#N/A,FALSE,"골재소요량"}</definedName>
    <definedName name="ㅓ됴ㅕ5죠사갸" hidden="1">{#N/A,#N/A,FALSE,"단가표지"}</definedName>
    <definedName name="ㅓㄹㄹ" hidden="1">{#N/A,#N/A,FALSE,"현장 NCR 분석";#N/A,#N/A,FALSE,"현장품질감사";#N/A,#N/A,FALSE,"현장품질감사"}</definedName>
    <definedName name="ㅓㄹㅀㅁㄴㅁ" hidden="1">{#N/A,#N/A,FALSE,"혼합골재"}</definedName>
    <definedName name="ㅓ로눟노" hidden="1">{#N/A,#N/A,FALSE,"단가표지"}</definedName>
    <definedName name="ㅓ로옿" hidden="1">{#N/A,#N/A,FALSE,"전력간선"}</definedName>
    <definedName name="ㅓ로ㅓㄹ" hidden="1">{#N/A,#N/A,FALSE,"표지목차"}</definedName>
    <definedName name="ㅓ롤" hidden="1">{#N/A,#N/A,FALSE,"골재소요량";#N/A,#N/A,FALSE,"골재소요량"}</definedName>
    <definedName name="ㅓ롷ㄱ" hidden="1">#REF!</definedName>
    <definedName name="ㅓㅅㄱ">#REF!</definedName>
    <definedName name="ㅓㅅㄱㅓ">#N/A</definedName>
    <definedName name="ㅓ쇼">#N/A</definedName>
    <definedName name="ㅓ쇼ㅏㅕ" hidden="1">{#N/A,#N/A,FALSE,"골재소요량";#N/A,#N/A,FALSE,"골재소요량"}</definedName>
    <definedName name="ㅓ쇼ㅓㅕ" hidden="1">{#N/A,#N/A,FALSE,"표지목차"}</definedName>
    <definedName name="ㅓㅇㄴ" hidden="1">{#N/A,#N/A,FALSE,"단가표지"}</definedName>
    <definedName name="ㅓㅇㄴ뢰ㅏㄴ머리ㅏㅇㅁ너ㅣㅏㄹ언ㅁ" hidden="1">{#N/A,#N/A,FALSE,"생산성";#N/A,#N/A,FALSE,"인력1";#N/A,#N/A,FALSE,"인력2";#N/A,#N/A,FALSE,"인력3";#N/A,#N/A,FALSE,"인건1";#N/A,#N/A,FALSE,"인건2";#N/A,#N/A,FALSE,"인건3";#N/A,#N/A,FALSE,"인원증감";#N/A,#N/A,FALSE,"인건증감";#N/A,#N/A,FALSE,"표지등"}</definedName>
    <definedName name="ㅓㅇㄹㅇ뇨ㅏㅗㅎ" hidden="1">{#N/A,#N/A,FALSE,"운반시간"}</definedName>
    <definedName name="ㅓㅇ오ㅓㅇ" hidden="1">{#N/A,#N/A,FALSE,"단가표지"}</definedName>
    <definedName name="ㅓㅇㅎㅇㄴ러ㅗ" hidden="1">{#N/A,#N/A,FALSE,"2~8번"}</definedName>
    <definedName name="ㅓㅇ햐ㅓㅏ호ㅑ" hidden="1">{#N/A,#N/A,FALSE,"혼합골재"}</definedName>
    <definedName name="ㅓㅇ호ㅓㅇ호ㅓㅇ허" hidden="1">{#N/A,#N/A,FALSE,"표지목차"}</definedName>
    <definedName name="ㅓㅇ호ㅓㅏ오" hidden="1">{#N/A,#N/A,FALSE,"운반시간"}</definedName>
    <definedName name="ㅓㅇ혼모ㅓ" hidden="1">{#N/A,#N/A,FALSE,"조골재"}</definedName>
    <definedName name="ㅓ아아">#REF!</definedName>
    <definedName name="ㅓ어어어어" hidden="1">{#N/A,#N/A,FALSE,"이태원철근"}</definedName>
    <definedName name="ㅓ어어어어_1" hidden="1">{#N/A,#N/A,FALSE,"이태원철근"}</definedName>
    <definedName name="ㅓ어어어어_2" hidden="1">{#N/A,#N/A,FALSE,"이태원철근"}</definedName>
    <definedName name="ㅓ어어어어_3" hidden="1">{#N/A,#N/A,FALSE,"이태원철근"}</definedName>
    <definedName name="ㅓ언호" hidden="1">{#N/A,#N/A,FALSE,"혼합골재"}</definedName>
    <definedName name="ㅓ엏옷" hidden="1">{#N/A,#N/A,FALSE,"조골재"}</definedName>
    <definedName name="ㅓ여ㅗㄺ" hidden="1">{#N/A,#N/A,FALSE,"단가표지"}</definedName>
    <definedName name="ㅓ오호놀ㅇㄴㄴ" hidden="1">{#N/A,#N/A,FALSE,"단가표지"}</definedName>
    <definedName name="ㅓ오ㅓ쇼" hidden="1">{#N/A,#N/A,FALSE,"단가표지"}</definedName>
    <definedName name="ㅓ오ㅓ화호" hidden="1">{#N/A,#N/A,FALSE,"조골재"}</definedName>
    <definedName name="ㅓ옪ㄶ" hidden="1">{#N/A,#N/A,FALSE,"표지목차"}</definedName>
    <definedName name="ㅓ올ㄷㅈㄹ" hidden="1">{#N/A,#N/A,FALSE,"2~8번"}</definedName>
    <definedName name="ㅓ옮ㄴ" hidden="1">{#N/A,#N/A,FALSE,"혼합골재"}</definedName>
    <definedName name="ㅓ요ㅕㅈㄷ갸ㅗㅓㅏㅗ" hidden="1">{#N/A,#N/A,FALSE,"2~8번"}</definedName>
    <definedName name="ㅓ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ㅊ푸ㅡㅊ퓨" hidden="1">{#N/A,#N/A,FALSE,"단가표지"}</definedName>
    <definedName name="ㅓ푝" hidden="1">{#N/A,#N/A,FALSE,"표지목차"}</definedName>
    <definedName name="ㅓㅎㄴㅁㄱㄷ솧" hidden="1">{#N/A,#N/A,FALSE,"단가표지"}</definedName>
    <definedName name="ㅓㅎ노ㅗㅁㄴㄴ" hidden="1">{#N/A,#N/A,FALSE,"골재소요량";#N/A,#N/A,FALSE,"골재소요량"}</definedName>
    <definedName name="ㅓㅎㄹ눃ㅁ" hidden="1">{#N/A,#N/A,FALSE,"혼합골재"}</definedName>
    <definedName name="ㅓㅎ러ㅗ" hidden="1">#REF!</definedName>
    <definedName name="ㅓㅎ러ㅗ하" hidden="1">#REF!</definedName>
    <definedName name="ㅓㅎ러ㅗㅗㅎㄹ" hidden="1">#REF!</definedName>
    <definedName name="ㅓㅎ렁홍" hidden="1">{#N/A,#N/A,FALSE,"혼합골재"}</definedName>
    <definedName name="ㅓㅎ로ㅓㅎㄹ" hidden="1">#REF!</definedName>
    <definedName name="ㅓㅎ로ㅗㄴ" hidden="1">{#N/A,#N/A,FALSE,"단가표지"}</definedName>
    <definedName name="ㅓㅎ론" hidden="1">{#N/A,#N/A,FALSE,"단가표지"}</definedName>
    <definedName name="ㅓㅎㄹㄻ" hidden="1">{#N/A,#N/A,FALSE,"조골재"}</definedName>
    <definedName name="ㅓㅎㅁㄹ홀ㄹ홓" hidden="1">{#N/A,#N/A,FALSE,"단가표지"}</definedName>
    <definedName name="ㅓㅎㅇㅎ" hidden="1">{#N/A,#N/A,FALSE,"운반시간"}</definedName>
    <definedName name="ㅓㅎ오노" hidden="1">{#N/A,#N/A,FALSE,"단가표지"}</definedName>
    <definedName name="ㅓㅎㅎ" hidden="1">{#N/A,#N/A,FALSE,"단가표지"}</definedName>
    <definedName name="ㅓㅎㅎㅎㅇ호호" hidden="1">{#N/A,#N/A,FALSE,"단가표지"}</definedName>
    <definedName name="ㅓㅎ홓ㅎㄴ" hidden="1">{#N/A,#N/A,FALSE,"혼합골재"}</definedName>
    <definedName name="ㅓㅎㅀ" localSheetId="0">BlankMacro1</definedName>
    <definedName name="ㅓㅎㅀ">BlankMacro1</definedName>
    <definedName name="ㅓㅎㅀ숄" hidden="1">{#N/A,#N/A,FALSE,"혼합골재"}</definedName>
    <definedName name="ㅓ해ㅑㅛㅓㅐㅅ" hidden="1">{#N/A,#N/A,FALSE,"단가표지"}</definedName>
    <definedName name="ㅓ허ㅔㅅ" hidden="1">{#N/A,#N/A,FALSE,"운반시간"}</definedName>
    <definedName name="ㅓ헐호ㅓ" hidden="1">#REF!</definedName>
    <definedName name="ㅓ헣로ㅓㅗ러" hidden="1">#REF!</definedName>
    <definedName name="ㅓ혀겨ㅑㅐ여모ㅓ" hidden="1">{#N/A,#N/A,FALSE,"운반시간"}</definedName>
    <definedName name="ㅓ호" hidden="1">{#N/A,#N/A,FALSE,"구조2"}</definedName>
    <definedName name="ㅓ호ㅓ" hidden="1">{#N/A,#N/A,FALSE,"표지목차"}</definedName>
    <definedName name="ㅓ호ㅓㄹ호ㅓ" hidden="1">#REF!</definedName>
    <definedName name="ㅓ호ㅓㅎ" hidden="1">#REF!</definedName>
    <definedName name="ㅓ호ㅓㅎ러" hidden="1">#REF!</definedName>
    <definedName name="ㅓ호ㅓㅗㄹ" hidden="1">{#N/A,#N/A,FALSE,"단가표지"}</definedName>
    <definedName name="ㅓ호ㅗㅁㄴㄴ" hidden="1">{#N/A,#N/A,FALSE,"조골재"}</definedName>
    <definedName name="ㅓ혾ㄴㅁㄴㅁ" hidden="1">{#N/A,#N/A,FALSE,"조골재"}</definedName>
    <definedName name="ㅓ홀" hidden="1">#REF!</definedName>
    <definedName name="ㅓ효호ㅓ" hidden="1">{#N/A,#N/A,FALSE,"운반시간"}</definedName>
    <definedName name="ㅓ효ㅗㄴ" hidden="1">{#N/A,#N/A,FALSE,"단가표지"}</definedName>
    <definedName name="ㅓㅎㄶ호" hidden="1">{#N/A,#N/A,FALSE,"표지목차"}</definedName>
    <definedName name="ㅓㅀ노ㅗㄴ" hidden="1">{#N/A,#N/A,FALSE,"단가표지"}</definedName>
    <definedName name="ㅓㅀ옿노" hidden="1">{#N/A,#N/A,FALSE,"혼합골재"}</definedName>
    <definedName name="ㅓㅀ퉈튜ㅠㅎㄴ" hidden="1">{#N/A,#N/A,FALSE,"골재소요량";#N/A,#N/A,FALSE,"골재소요량"}</definedName>
    <definedName name="ㅓㅀ홓" hidden="1">{#N/A,#N/A,FALSE,"혼합골재"}</definedName>
    <definedName name="ㅓㅀㄳㅎㄹㅇ" hidden="1">{#N/A,#N/A,FALSE,"골재소요량";#N/A,#N/A,FALSE,"골재소요량"}</definedName>
    <definedName name="ㅓㅏ" hidden="1">{#N/A,#N/A,FALSE,"골재소요량";#N/A,#N/A,FALSE,"골재소요량"}</definedName>
    <definedName name="ㅓㅏㄹ오혃" hidden="1">{#N/A,#N/A,FALSE,"혼합골재"}</definedName>
    <definedName name="ㅓㅏ라ㅗ" hidden="1">{#N/A,#N/A,FALSE,"조골재"}</definedName>
    <definedName name="ㅓㅏㅅㅈ나ㅛ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옿ㄹㅇ며ㅗㅓㅎ" hidden="1">{#N/A,#N/A,FALSE,"혼합골재"}</definedName>
    <definedName name="ㅓㅏ포룡ㄹ" hidden="1">{#N/A,#N/A,FALSE,"운반시간"}</definedName>
    <definedName name="ㅓㅏ포ㅕㄹ" hidden="1">{#N/A,#N/A,FALSE,"단가표지"}</definedName>
    <definedName name="ㅓㅏㅎㅅㅍ" hidden="1">{#N/A,#N/A,FALSE,"골재소요량";#N/A,#N/A,FALSE,"골재소요량"}</definedName>
    <definedName name="ㅓㅏ호" hidden="1">{#N/A,#N/A,FALSE,"단가표지"}</definedName>
    <definedName name="ㅓㅏ호ㅓ" hidden="1">{#N/A,#N/A,FALSE,"단가표지"}</definedName>
    <definedName name="ㅓㅏ홍ㄹㄴ" hidden="1">{#N/A,#N/A,FALSE,"표지목차"}</definedName>
    <definedName name="ㅓㅏㅏ" hidden="1">{#N/A,#N/A,FALSE,"조골재"}</definedName>
    <definedName name="ㅓㅏㅏㅣ" localSheetId="0">BLCH</definedName>
    <definedName name="ㅓㅏㅏㅣ">BLCH</definedName>
    <definedName name="ㅓㅏㅑㄴㅁ" hidden="1">{#N/A,#N/A,FALSE,"단가표지"}</definedName>
    <definedName name="ㅓㅏㅑ로" hidden="1">{#N/A,#N/A,FALSE,"단가표지"}</definedName>
    <definedName name="ㅓㅏㅓ" hidden="1">{#N/A,#N/A,FALSE,"조골재"}</definedName>
    <definedName name="ㅓㅏㅓㅎ" hidden="1">{#N/A,#N/A,FALSE,"단가표지"}</definedName>
    <definedName name="ㅓㅏㅓ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ㅕ" hidden="1">{#N/A,#N/A,FALSE,"골재소요량";#N/A,#N/A,FALSE,"골재소요량"}</definedName>
    <definedName name="ㅓㅏㅕㅓ" hidden="1">{#N/A,#N/A,FALSE,"지침";#N/A,#N/A,FALSE,"환경분석";#N/A,#N/A,FALSE,"Sheet16"}</definedName>
    <definedName name="ㅓㅏㅕㅘ" hidden="1">{#N/A,#N/A,FALSE,"단가표지"}</definedName>
    <definedName name="ㅓㅏㅗ" hidden="1">{#N/A,#N/A,FALSE,"단가표지"}</definedName>
    <definedName name="ㅓㅏㅗㅁㄷㅈ서" hidden="1">{#N/A,#N/A,FALSE,"단가표지"}</definedName>
    <definedName name="ㅓㅏㅗㅇ러ㅏ러" hidden="1">{#N/A,#N/A,FALSE,"2~8번"}</definedName>
    <definedName name="ㅓㅏㅗㅇ혹" hidden="1">{#N/A,#N/A,FALSE,"골재소요량";#N/A,#N/A,FALSE,"골재소요량"}</definedName>
    <definedName name="ㅓㅏㅗㅇㅀㅇ" hidden="1">{#N/A,#N/A,FALSE,"운반시간"}</definedName>
    <definedName name="ㅓㅏㅗ얼놓ㅎ" hidden="1">{#N/A,#N/A,FALSE,"단가표지"}</definedName>
    <definedName name="ㅓㅏㅗㅎ쇼" hidden="1">{#N/A,#N/A,FALSE,"단가표지"}</definedName>
    <definedName name="ㅓㅏㅗㅎㅎㄹ혛" hidden="1">{#N/A,#N/A,FALSE,"혼합골재"}</definedName>
    <definedName name="ㅓㅏㅗ하ㅓㅗ" hidden="1">{#N/A,#N/A,FALSE,"단가표지"}</definedName>
    <definedName name="ㅓㅏㅗ하ㅗㅓㅎ" hidden="1">{#N/A,#N/A,FALSE,"혼합골재"}</definedName>
    <definedName name="ㅓㅏㅗ효ㅕ" hidden="1">{#N/A,#N/A,FALSE,"단가표지"}</definedName>
    <definedName name="ㅓㅏㅗㅓㄴㄹㄻ" hidden="1">{#N/A,#N/A,FALSE,"운반시간"}</definedName>
    <definedName name="ㅓㅏㅗㅓ라ㅗㅇ" hidden="1">{#N/A,#N/A,FALSE,"골재소요량";#N/A,#N/A,FALSE,"골재소요량"}</definedName>
    <definedName name="ㅓㅏㅗㅓㅎㅁㅁ" hidden="1">{#N/A,#N/A,FALSE,"단가표지"}</definedName>
    <definedName name="ㅓㅏㅗㅓㅏ" hidden="1">{#N/A,#N/A,FALSE,"단가표지"}</definedName>
    <definedName name="ㅓㅏㅗㅕㅏ" hidden="1">{#N/A,#N/A,FALSE,"혼합골재"}</definedName>
    <definedName name="ㅓㅏㅗㅕㅛ효" hidden="1">{#N/A,#N/A,FALSE,"단가표지"}</definedName>
    <definedName name="ㅓㅏㅗㅛㅛ" hidden="1">{#N/A,#N/A,FALSE,"운반시간"}</definedName>
    <definedName name="ㅓㅏㅘ" hidden="1">{#N/A,#N/A,FALSE,"혼합골재"}</definedName>
    <definedName name="ㅓㅏㅛ온" hidden="1">{#N/A,#N/A,FALSE,"단가표지"}</definedName>
    <definedName name="ㅓㅏㅛ요ㅕㅛㅕㅓㅇㄴㄳ" hidden="1">{#N/A,#N/A,FALSE,"운반시간"}</definedName>
    <definedName name="ㅓㅏㅛㅓㄴㄹ" hidden="1">{#N/A,#N/A,FALSE,"표지목차"}</definedName>
    <definedName name="ㅓㅏㅛㅕㅓ" hidden="1">{#N/A,#N/A,FALSE,"운반시간"}</definedName>
    <definedName name="ㅓㅏㅠㅏㅓㅘ" hidden="1">{#N/A,#N/A,FALSE,"단가표지"}</definedName>
    <definedName name="ㅓㅏㅡㅗㅠ" hidden="1">{#N/A,#N/A,FALSE,"혼합골재"}</definedName>
    <definedName name="ㅓㅏㅣ" hidden="1">{#N/A,#N/A,FALSE,"전력간선"}</definedName>
    <definedName name="ㅓㅏㅣ오펑ㄹ풀" hidden="1">{#N/A,#N/A,FALSE,"운반시간"}</definedName>
    <definedName name="ㅓㅏㅣㅏㅣ" hidden="1">{#N/A,#N/A,FALSE,"운반시간"}</definedName>
    <definedName name="ㅓㅏㅣㅐㅣ" hidden="1">{#N/A,#N/A,FALSE,"혼합골재"}</definedName>
    <definedName name="ㅓㅏㅣㅑ" hidden="1">{"SJ - 기본 보기",#N/A,FALSE,"공사별 외주견적"}</definedName>
    <definedName name="ㅓㅏㅣㅑㅣ" hidden="1">{#N/A,#N/A,FALSE,"운반시간"}</definedName>
    <definedName name="ㅓㅏㅣㅓㅐㅐㅣ" hidden="1">{#N/A,#N/A,FALSE,"운반시간"}</definedName>
    <definedName name="ㅓㅏㅣㅓㅣㅓ" hidden="1">{#N/A,#N/A,FALSE,"혼합골재"}</definedName>
    <definedName name="ㅓㅏㅣㅓㅣㅓㅣㅓㅏ" hidden="1">{#N/A,#N/A,FALSE,"이태원철근"}</definedName>
    <definedName name="ㅓㅏㅣㅗㄹ둏" hidden="1">{#N/A,#N/A,FALSE,"조골재"}</definedName>
    <definedName name="ㅓㅐㅏㅣㅑㅐㅏ" hidden="1">{#N/A,#N/A,FALSE,"2~8번"}</definedName>
    <definedName name="ㅓㅐㅏㅣㅑㅐㅣ" hidden="1">{#N/A,#N/A,FALSE,"단가표지"}</definedName>
    <definedName name="ㅓㅐㅣㅑㅓㅣ" hidden="1">{#N/A,#N/A,FALSE,"단가표지"}</definedName>
    <definedName name="ㅓㅐㅣㅕㅑ" hidden="1">{#N/A,#N/A,FALSE,"단가표지"}</definedName>
    <definedName name="ㅓㅐㅣㅕㅑㅐㅣ" hidden="1">{#N/A,#N/A,FALSE,"단가표지"}</definedName>
    <definedName name="ㅓㅑㅏㅗ로ㅓㄶ" hidden="1">{#N/A,#N/A,FALSE,"단가표지"}</definedName>
    <definedName name="ㅓㅑㅐㅑ" hidden="1">{#N/A,#N/A,FALSE,"단가표지"}</definedName>
    <definedName name="ㅓㅑㅛ츄ㅗㄱㄷㄷㅈㅈ" hidden="1">{#N/A,#N/A,FALSE,"전력간선"}</definedName>
    <definedName name="ㅓㅓ" hidden="1">{#N/A,#N/A,FALSE,"전력간선"}</definedName>
    <definedName name="ㅓㅓㅅㅎ" hidden="1">{#N/A,#N/A,FALSE,"조골재"}</definedName>
    <definedName name="ㅓㅓㅅ효호ㅗ" hidden="1">{#N/A,#N/A,FALSE,"운반시간"}</definedName>
    <definedName name="ㅓㅓ소" hidden="1">{#N/A,#N/A,FALSE,"단가표지"}</definedName>
    <definedName name="ㅓㅓㅎ" hidden="1">{#N/A,#N/A,FALSE,"표지목차"}</definedName>
    <definedName name="ㅓㅓㅎㅎㅎㅎㅇ" hidden="1">{#N/A,#N/A,FALSE,"골재소요량";#N/A,#N/A,FALSE,"골재소요량"}</definedName>
    <definedName name="ㅓㅓ햐" hidden="1">{#N/A,#N/A,FALSE,"운반시간"}</definedName>
    <definedName name="ㅓㅓ효" hidden="1">{#N/A,#N/A,FALSE,"운반시간"}</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ㅗㅕ" hidden="1">{#N/A,#N/A,FALSE,"단가표지"}</definedName>
    <definedName name="ㅓㅓㅓ"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ㅓㅓㅓㅓㅓ" hidden="1">{#N/A,#N/A,FALSE,"현장 NCR 분석";#N/A,#N/A,FALSE,"현장품질감사";#N/A,#N/A,FALSE,"현장품질감사"}</definedName>
    <definedName name="ㅓㅓㅓㅓㅓㄴ"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ㅓㅓㅓㅓㅓㅓ" hidden="1">{#N/A,#N/A,FALSE,"지침";#N/A,#N/A,FALSE,"환경분석";#N/A,#N/A,FALSE,"Sheet16"}</definedName>
    <definedName name="ㅓㅓㅓㅓㅓㅓㅓㅓㅓ" hidden="1">{#N/A,#N/A,FALSE,"지침";#N/A,#N/A,FALSE,"환경분석";#N/A,#N/A,FALSE,"Sheet16"}</definedName>
    <definedName name="ㅓㅓㅓㅓㅓㅓㅓㅓㅓㅓㅓ" hidden="1">{#N/A,#N/A,FALSE,"골재소요량";#N/A,#N/A,FALSE,"골재소요량"}</definedName>
    <definedName name="ㅓㅓㅓㅛㅓㅛ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ㅕㅏ" hidden="1">{#N/A,#N/A,FALSE,"운반시간"}</definedName>
    <definedName name="ㅓㅓㅗ" hidden="1">{#N/A,#N/A,FALSE,"조골재"}</definedName>
    <definedName name="ㅓㅓㅗ라ㅓㄴ오라ㅓㅁㄴ오라넘오람ㄴ엄ㄴㅇㅇㄴㅁㅁㄴㅇㅇㄴㄴㅇㅁ">#N/A</definedName>
    <definedName name="ㅓㅓㅗㅀㄴㄴ" hidden="1">{#N/A,#N/A,FALSE,"골재소요량";#N/A,#N/A,FALSE,"골재소요량"}</definedName>
    <definedName name="ㅓㅓㅗㅕㅗㅑㅕ" hidden="1">{#N/A,#N/A,FALSE,"단가표지"}</definedName>
    <definedName name="ㅓㅓㅛㅓㅛㅓ">#N/A</definedName>
    <definedName name="ㅓㅓㅛㅕㅓ" hidden="1">{#N/A,#N/A,FALSE,"운반시간"}</definedName>
    <definedName name="ㅓㅓㅜ" hidden="1">{#N/A,#N/A,FALSE,"표지목차"}</definedName>
    <definedName name="ㅓㅓㅣ"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ㅓㅕ">#N/A</definedName>
    <definedName name="ㅓㅕㄷ" hidden="1">{#N/A,#N/A,FALSE,"운반시간"}</definedName>
    <definedName name="ㅓㅕ셔ㅑ" hidden="1">{#N/A,#N/A,FALSE,"단가표지"}</definedName>
    <definedName name="ㅓㅕㅏ" hidden="1">{#N/A,#N/A,FALSE,"Sheet6"}</definedName>
    <definedName name="ㅓㅕㅓ" hidden="1">{#N/A,#N/A,FALSE,"단가표지"}</definedName>
    <definedName name="ㅓㅕㅓㅎ놓" hidden="1">{#N/A,#N/A,FALSE,"운반시간"}</definedName>
    <definedName name="ㅓㅕㅛ" hidden="1">{#N/A,#N/A,FALSE,"운반시간"}</definedName>
    <definedName name="ㅓㅕㅛ려ㅓ">#REF!</definedName>
    <definedName name="ㅓㅕㅛㅓ">#REF!</definedName>
    <definedName name="ㅓㅗ" hidden="1">{#N/A,#N/A,FALSE,"운반시간"}</definedName>
    <definedName name="ㅓㅗㄴㅁㄳ허" hidden="1">{#N/A,#N/A,FALSE,"운반시간"}</definedName>
    <definedName name="ㅓㅗㄹ노ㅓㄴㅅ" hidden="1">{#N/A,#N/A,FALSE,"단가표지"}</definedName>
    <definedName name="ㅓㅗㄹㅇㄴㅀ모" hidden="1">{#N/A,#N/A,FALSE,"2~8번"}</definedName>
    <definedName name="ㅓㅗㅅ" hidden="1">{#N/A,#N/A,FALSE,"단가표지"}</definedName>
    <definedName name="ㅓㅗㅅㄹ" hidden="1">{#N/A,#N/A,FALSE,"조골재"}</definedName>
    <definedName name="ㅓㅗㅅ효ㅕㅑ" hidden="1">{#N/A,#N/A,FALSE,"운반시간"}</definedName>
    <definedName name="ㅓㅗ쇼ㅕ" hidden="1">{#N/A,#N/A,FALSE,"단가표지"}</definedName>
    <definedName name="ㅓㅗㅇㄹ" hidden="1">{#N/A,#N/A,FALSE,"혼합골재"}</definedName>
    <definedName name="ㅓㅗㅇㅁㄱ슣ㅁㅇ" hidden="1">{#N/A,#N/A,FALSE,"조골재"}</definedName>
    <definedName name="ㅓㅗㅇㅎㄶㄷ" hidden="1">{#N/A,#N/A,FALSE,"혼합골재"}</definedName>
    <definedName name="ㅓㅗ오녀허ㅜㄴㄹ" hidden="1">{#N/A,#N/A,FALSE,"단가표지"}</definedName>
    <definedName name="ㅓㅗ온" hidden="1">{#N/A,#N/A,FALSE,"단가표지"}</definedName>
    <definedName name="ㅓㅗ옿노" hidden="1">{#N/A,#N/A,FALSE,"단가표지"}</definedName>
    <definedName name="ㅓㅗ욕" hidden="1">{#N/A,#N/A,FALSE,"단가표지"}</definedName>
    <definedName name="ㅓㅗㅎ논" hidden="1">{#N/A,#N/A,FALSE,"단가표지"}</definedName>
    <definedName name="ㅓㅗㅎㄹ" hidden="1">{#N/A,#N/A,FALSE,"조골재"}</definedName>
    <definedName name="ㅓㅗㅎㄹ눞ㅊ퉅" hidden="1">{#N/A,#N/A,FALSE,"단가표지"}</definedName>
    <definedName name="ㅓㅗㅎㄹㄴㄻ" hidden="1">{#N/A,#N/A,FALSE,"2~8번"}</definedName>
    <definedName name="ㅓㅗㅎ러ㅗㅎ러" hidden="1">{#N/A,#N/A,FALSE,"혼합골재"}</definedName>
    <definedName name="ㅓㅗㅎ러ㅗ호ㅓ" hidden="1">{#N/A,#N/A,FALSE,"단가표지"}</definedName>
    <definedName name="ㅓㅗㅎ룓ㅈㄹ" hidden="1">{#N/A,#N/A,FALSE,"단가표지"}</definedName>
    <definedName name="ㅓㅗ허" hidden="1">{#N/A,#N/A,FALSE,"조골재"}</definedName>
    <definedName name="ㅓㅗ허ㅗㄹ" hidden="1">{#N/A,#N/A,FALSE,"운반시간"}</definedName>
    <definedName name="ㅓㅗ허ㅗㅎㄹ" hidden="1">{#N/A,#N/A,FALSE,"골재소요량";#N/A,#N/A,FALSE,"골재소요량"}</definedName>
    <definedName name="ㅓㅗ허ㅗㅎ러" hidden="1">{#N/A,#N/A,FALSE,"운반시간"}</definedName>
    <definedName name="ㅓㅗ헝홍허" hidden="1">{#N/A,#N/A,FALSE,"골재소요량";#N/A,#N/A,FALSE,"골재소요량"}</definedName>
    <definedName name="ㅓㅗ헣ㄹ" hidden="1">{#N/A,#N/A,FALSE,"단가표지"}</definedName>
    <definedName name="ㅓㅗ헣러" hidden="1">{#N/A,#N/A,FALSE,"단가표지"}</definedName>
    <definedName name="ㅓㅗ헣로ㅓ" hidden="1">{#N/A,#N/A,FALSE,"조골재"}</definedName>
    <definedName name="ㅓㅗ헣호ㅓ" hidden="1">{#N/A,#N/A,FALSE,"조골재"}</definedName>
    <definedName name="ㅓㅗ호" hidden="1">{#N/A,#N/A,FALSE,"단가표지"}</definedName>
    <definedName name="ㅓㅗ호혼" hidden="1">{#N/A,#N/A,FALSE,"단가표지"}</definedName>
    <definedName name="ㅓㅗ호ㅓㅗ" hidden="1">{#N/A,#N/A,FALSE,"2~8번"}</definedName>
    <definedName name="ㅓㅗ홀ㄴㅇㅇㄴ" hidden="1">{#N/A,#N/A,FALSE,"골재소요량";#N/A,#N/A,FALSE,"골재소요량"}</definedName>
    <definedName name="ㅓㅗㅀㅇ놋ㄴㅁ" hidden="1">{#N/A,#N/A,FALSE,"2~8번"}</definedName>
    <definedName name="ㅓㅗㅓ" hidden="1">{#N/A,#N/A,FALSE,"2~8번"}</definedName>
    <definedName name="ㅓㅗㅓㅎㄴ" hidden="1">{#N/A,#N/A,FALSE,"단가표지"}</definedName>
    <definedName name="ㅓㅗㅓ호ㅕㅓㅅㅎ" hidden="1">{#N/A,#N/A,FALSE,"단가표지"}</definedName>
    <definedName name="ㅓㅗㅓ홈ㅁ" hidden="1">{#N/A,#N/A,FALSE,"2~8번"}</definedName>
    <definedName name="ㅓㅗㅓㅏ" hidden="1">{#N/A,#N/A,FALSE,"단가표지"}</definedName>
    <definedName name="ㅓㅗㅓㅗ노" hidden="1">{#N/A,#N/A,FALSE,"골재소요량";#N/A,#N/A,FALSE,"골재소요량"}</definedName>
    <definedName name="ㅓㅗㅕ" hidden="1">{#N/A,#N/A,FALSE,"골재소요량";#N/A,#N/A,FALSE,"골재소요량"}</definedName>
    <definedName name="ㅓㅗㅕㄹ굗" hidden="1">{#N/A,#N/A,FALSE,"운반시간"}</definedName>
    <definedName name="ㅓㅗㅕㅅㅎ" hidden="1">{#N/A,#N/A,FALSE,"단가표지"}</definedName>
    <definedName name="ㅓㅗㅕㅑㄱ" hidden="1">{#N/A,#N/A,FALSE,"혼합골재"}</definedName>
    <definedName name="ㅓㅗㅕ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ㅗㅗ" hidden="1">{#N/A,#N/A,FALSE,"단가표지"}</definedName>
    <definedName name="ㅓㅗㅗㄹㅇㅁㅁ" hidden="1">{#N/A,#N/A,FALSE,"혼합골재"}</definedName>
    <definedName name="ㅓㅗㅗㅎㅎㄴ" hidden="1">{#N/A,#N/A,FALSE,"혼합골재"}</definedName>
    <definedName name="ㅓㅗㅗㅗ" hidden="1">{#N/A,#N/A,FALSE,"골재소요량";#N/A,#N/A,FALSE,"골재소요량"}</definedName>
    <definedName name="ㅓㅗㅗㅗㅎㅁㅁㅁ" hidden="1">{#N/A,#N/A,FALSE,"혼합골재"}</definedName>
    <definedName name="ㅓㅗㅡ">#REF!</definedName>
    <definedName name="ㅓㅗㄺ" hidden="1">{#N/A,#N/A,FALSE,"골재소요량";#N/A,#N/A,FALSE,"골재소요량"}</definedName>
    <definedName name="ㅓ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ㅘㄹ호ㅓㄹ호ㅓㅎㄴ" hidden="1">{#N/A,#N/A,FALSE,"운반시간"}</definedName>
    <definedName name="ㅓㅘ러ㅗㅓㅗ" hidden="1">{#N/A,#N/A,FALSE,"전력간선"}</definedName>
    <definedName name="ㅓㅘㅓㅏㅏㅣ" hidden="1">{#N/A,#N/A,FALSE,"단가표지"}</definedName>
    <definedName name="ㅓㅘㅗㅓ" hidden="1">#REF!</definedName>
    <definedName name="ㅓㅘㅗㅓㅏㅗㅓㅏㅗㅓㅏㅗㅓㅏ" hidden="1">{#N/A,#N/A,FALSE,"단가표지"}</definedName>
    <definedName name="ㅓㅘㅗㅓㅏㅗㅓㅏㅗㅓㅏㅣ" hidden="1">{#N/A,#N/A,FALSE,"단가표지"}</definedName>
    <definedName name="ㅓㅘㅘ" hidden="1">{#N/A,#N/A,FALSE,"단가표지"}</definedName>
    <definedName name="ㅓㅘㅛㅕ" hidden="1">{#N/A,#N/A,FALSE,"운반시간"}</definedName>
    <definedName name="ㅓㅘㅛㅕㅓ" hidden="1">{#N/A,#N/A,FALSE,"혼합골재"}</definedName>
    <definedName name="ㅓㅛ" hidden="1">{#N/A,#N/A,FALSE,"토공2"}</definedName>
    <definedName name="ㅓㅛㅅㄱ" hidden="1">{#N/A,#N/A,FALSE,"이태원철근"}</definedName>
    <definedName name="ㅓㅛㅅㅎ" hidden="1">{#N/A,#N/A,FALSE,"단가표지"}</definedName>
    <definedName name="ㅓㅛ서ㅛ서ㅑ쇼ㅕ" hidden="1">{#N/A,#N/A,FALSE,"이태원철근"}</definedName>
    <definedName name="ㅓㅛ쇼" localSheetId="0">BlankMacro1</definedName>
    <definedName name="ㅓㅛ쇼">BlankMacro1</definedName>
    <definedName name="ㅓㅛㅈㄱ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ㄷㅈ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ㅕㅏ" hidden="1">{#N/A,#N/A,FALSE,"운반시간"}</definedName>
    <definedName name="ㅓㅛㅕㅓㅅ" hidden="1">{#N/A,#N/A,FALSE,"운반시간"}</definedName>
    <definedName name="ㅓㅛㅕㅓㅏ" hidden="1">{#N/A,#N/A,FALSE,"단가표지"}</definedName>
    <definedName name="ㅓㅛㅕㅛㅛ" hidden="1">{#N/A,#N/A,FALSE,"2~8번"}</definedName>
    <definedName name="ㅓㅛㅗㄴㄳ" hidden="1">{#N/A,#N/A,FALSE,"단가표지"}</definedName>
    <definedName name="ㅓㅛㅗㅎㄱ죠ㅕㅛㄷ" hidden="1">{#N/A,#N/A,FALSE,"혼합골재"}</definedName>
    <definedName name="ㅓㅛㅛㅎ" localSheetId="0">BlankMacro1</definedName>
    <definedName name="ㅓㅛㅛㅎ">BlankMacro1</definedName>
    <definedName name="ㅓㅛㅛㅓㅛ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ㅣㅘㅛㅗ" hidden="1">{#N/A,#N/A,FALSE,"골재소요량";#N/A,#N/A,FALSE,"골재소요량"}</definedName>
    <definedName name="ㅓㅜㄹ노너ㅗ" hidden="1">{#N/A,#N/A,FALSE,"단가표지"}</definedName>
    <definedName name="ㅓㅜ로오논" hidden="1">{#N/A,#N/A,FALSE,"운반시간"}</definedName>
    <definedName name="ㅓㅜ료" hidden="1">{#N/A,#N/A,FALSE,"2~8번"}</definedName>
    <definedName name="ㅓㅜㅀ오ㅓㄴ" hidden="1">{#N/A,#N/A,FALSE,"단가표지"}</definedName>
    <definedName name="ㅓㅜㅏ" hidden="1">{#N/A,#N/A,FALSE,"2~8번"}</definedName>
    <definedName name="ㅓㅜㅏㅕㅑㅏㅕㅛ" hidden="1">{#N/A,#N/A,FALSE,"단가표지"}</definedName>
    <definedName name="ㅓㅜㅑㅐㅛㅑ" hidden="1">{#N/A,#N/A,FALSE,"단가표지"}</definedName>
    <definedName name="ㅓㅜㅡ65ㅛㄱ" hidden="1">{#N/A,#N/A,FALSE,"단가표지"}</definedName>
    <definedName name="ㅓㅝㅑ" hidden="1">{#N/A,#N/A,FALSE,"단가표지"}</definedName>
    <definedName name="ㅓㅠㅓㅏ호ㅓㅏㅣㅏ">#REF!</definedName>
    <definedName name="ㅓㅡㅇ홍ㄶㄴ" hidden="1">{#N/A,#N/A,FALSE,"운반시간"}</definedName>
    <definedName name="ㅓㅡㅏㅏㅑ" hidden="1">{#N/A,#N/A,FALSE,"단가표지"}</definedName>
    <definedName name="ㅓㅡㅜㅠㅜㅠㅌㄴㅌ" hidden="1">{#N/A,#N/A,FALSE,"단가표지"}</definedName>
    <definedName name="ㅓㅡㅡㅗ언ㅇ" hidden="1">{#N/A,#N/A,FALSE,"단가표지"}</definedName>
    <definedName name="ㅓㅣㅏㅗㅓㅣㅏㅓㅗ" hidden="1">#REF!</definedName>
    <definedName name="ㅓㅣㅏㅣ"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ㅓㅣㅑㅓ" hidden="1">{#N/A,#N/A,FALSE,"골재소요량";#N/A,#N/A,FALSE,"골재소요량"}</definedName>
    <definedName name="ㅓㅣㅑㅕㅑ" hidden="1">{#N/A,#N/A,FALSE,"단가표지"}</definedName>
    <definedName name="ㅓㅣㅓㅏ" hidden="1">{#N/A,#N/A,FALSE,"단가표지"}</definedName>
    <definedName name="ㅓㅣㅓㅣㅓㅏ" hidden="1">{#N/A,#N/A,FALSE,"조골재"}</definedName>
    <definedName name="ㅓㄶ룓ㅀㅈ" hidden="1">{#N/A,#N/A,FALSE,"운반시간"}</definedName>
    <definedName name="ㅓㄶㄻㄷㄱ" hidden="1">{#N/A,#N/A,FALSE,"단가표지"}</definedName>
    <definedName name="ㅓㄽㄴ호ㅓㅛ송ㄴ" hidden="1">{#N/A,#N/A,FALSE,"단가표지"}</definedName>
    <definedName name="ㅔ" hidden="1">{#N/A,#N/A,FALSE,"전력간선"}</definedName>
    <definedName name="ㅔ_1" hidden="1">{#N/A,#N/A,FALSE,"이태원철근"}</definedName>
    <definedName name="ㅔ_2" hidden="1">{#N/A,#N/A,FALSE,"이태원철근"}</definedName>
    <definedName name="ㅔ_3" hidden="1">{#N/A,#N/A,FALSE,"이태원철근"}</definedName>
    <definedName name="ㅔ_4" hidden="1">{#N/A,#N/A,FALSE,"이태원철근"}</definedName>
    <definedName name="ㅔ1">#REF!</definedName>
    <definedName name="ㅔ154">#REF!</definedName>
    <definedName name="ㅔ177">#REF!</definedName>
    <definedName name="ㅔ19">#REF!</definedName>
    <definedName name="ㅔ3" hidden="1">{#N/A,#N/A,FALSE,"배수1"}</definedName>
    <definedName name="ㅔ갸ㅜㅅ">#REF!</definedName>
    <definedName name="ㅔ갸ㅜㅅ_샤싣ㄴ">#REF!</definedName>
    <definedName name="ㅔ랼" hidden="1">{#N/A,#N/A,FALSE,"표지목차"}</definedName>
    <definedName name="ㅔㅐ" hidden="1">#REF!</definedName>
    <definedName name="ㅔㅐㅔ" hidden="1">{#N/A,"수불부",FALSE,"사급자재수불서";#N/A,"수불부",FALSE,"사급자재수불서"}</definedName>
    <definedName name="ㅔㅔ" hidden="1">#REF!</definedName>
    <definedName name="ㅔㅔㅔ" hidden="1">{#N/A,#N/A,FALSE,"명세표"}</definedName>
    <definedName name="ㅔㅔㅔㅔ">#REF!,#REF!</definedName>
    <definedName name="ㅔㅔㅔㅔ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ㅔㅔㅔㅔㅔㅔ" hidden="1">{#N/A,#N/A,FALSE,"부대2"}</definedName>
    <definedName name="ㅔㅔㅔㅔㅔㅔㅔㅔ" hidden="1">#REF!</definedName>
    <definedName name="ㅔㅔㅔㅔㅔㅔㅔㅔㅔㅔㅔㅔㅔㅔ" hidden="1">{#N/A,#N/A,FALSE,"이태원철근"}</definedName>
    <definedName name="ㅔㅣ" hidden="1">{"'용역비'!$A$4:$C$8"}</definedName>
    <definedName name="ㅕ" hidden="1">{#N/A,#N/A,FALSE,"표지"}</definedName>
    <definedName name="ㅕ37ㅛ45ㅈ67ㅑ" hidden="1">{#N/A,#N/A,FALSE,"단가표지"}</definedName>
    <definedName name="ㅕ3ㅕ3ㅕㄱㄷ쇼" hidden="1">{#N/A,#N/A,FALSE,"2~8번"}</definedName>
    <definedName name="ㅕ422">#REF!</definedName>
    <definedName name="ㅕ56뎌ㅑㅓ옂" hidden="1">{#N/A,#N/A,FALSE,"조골재"}</definedName>
    <definedName name="ㅕ65736ㅈ6ㅛ3ㄷ" hidden="1">{#N/A,#N/A,FALSE,"표지목차"}</definedName>
    <definedName name="ㅕ66ㄷ58ㅑ" hidden="1">{#N/A,#N/A,FALSE,"조골재"}</definedName>
    <definedName name="ㅕ676져쇼" hidden="1">{#N/A,#N/A,FALSE,"골재소요량";#N/A,#N/A,FALSE,"골재소요량"}</definedName>
    <definedName name="ㅕ67ㄱ셛" hidden="1">{#N/A,#N/A,FALSE,"단가표지"}</definedName>
    <definedName name="ㅕ697" hidden="1">{#N/A,#N/A,FALSE,"골재소요량";#N/A,#N/A,FALSE,"골재소요량"}</definedName>
    <definedName name="ㅕ6뎌6835ㅛㅛ2" hidden="1">{#N/A,#N/A,FALSE,"단가표지"}</definedName>
    <definedName name="ㅕ6ㅑ7ㅕㅗㅅ" hidden="1">{#N/A,#N/A,FALSE,"운반시간"}</definedName>
    <definedName name="ㅕ7쇼8ㅕ56ㅕㅛ" hidden="1">{#N/A,#N/A,FALSE,"조골재"}</definedName>
    <definedName name="ㅕ8ㅑ76886" hidden="1">{#N/A,#N/A,FALSE,"단가표지"}</definedName>
    <definedName name="ㅕ8ㅑㅕ뎌쇼" hidden="1">{#N/A,#N/A,FALSE,"단가표지"}</definedName>
    <definedName name="ㅕ8ㅕ754645" hidden="1">{#N/A,#N/A,FALSE,"운반시간"}</definedName>
    <definedName name="ㅕㄱㄷㄷ">#REF!</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_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교뎌67ㅑㅏㅓㅗㅕㄴ" hidden="1">{#N/A,#N/A,FALSE,"2~8번"}</definedName>
    <definedName name="ㅕ교ㅕ56ㄷ676" hidden="1">{#N/A,#N/A,FALSE,"단가표지"}</definedName>
    <definedName name="ㅕ굦ㄷ" hidden="1">{#N/A,#N/A,FALSE,"조골재"}</definedName>
    <definedName name="ㅕㄷ58ㅕㅓㅛㅈㄴ" hidden="1">{#N/A,#N/A,FALSE,"운반시간"}</definedName>
    <definedName name="ㅕㄷ786ㄷ겨6" hidden="1">{#N/A,#N/A,FALSE,"단가표지"}</definedName>
    <definedName name="ㅕㄷ7됴ㅕ갸ㅕ675" hidden="1">{#N/A,#N/A,FALSE,"혼합골재"}</definedName>
    <definedName name="ㅕㄷ7ㅕ63죠3" hidden="1">{#N/A,#N/A,FALSE,"조골재"}</definedName>
    <definedName name="ㅕㄷ7ㅛ63ㅕ숃" hidden="1">{#N/A,#N/A,FALSE,"단가표지"}</definedName>
    <definedName name="ㅕㄷ7ㅛㅕ3ㅈㄷ" hidden="1">{#N/A,#N/A,FALSE,"조골재"}</definedName>
    <definedName name="ㅕㄷ8763ㅛㅅ2" hidden="1">{#N/A,#N/A,FALSE,"단가표지"}</definedName>
    <definedName name="ㅕㄷ8ㅕㅛㅕ6ㄷ657" hidden="1">{#N/A,#N/A,FALSE,"표지목차"}</definedName>
    <definedName name="ㅕㄷ겨ㅛㄷㄱ8ㅑㅕ" hidden="1">{#N/A,#N/A,FALSE,"조골재"}</definedName>
    <definedName name="ㅕㄷㄷ죠3ㅕ" hidden="1">{#N/A,#N/A,FALSE,"혼합골재"}</definedName>
    <definedName name="ㅕㄷㅅ혀ㅗ혀">#REF!</definedName>
    <definedName name="ㅕ다ㅣㅕㅕ다ㅕㅕ닷ㅅ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댜7ㅕㅑㅛㄷ" hidden="1">{#N/A,#N/A,FALSE,"2~8번"}</definedName>
    <definedName name="ㅕ뎌뎌뎢" hidden="1">{#N/A,#N/A,FALSE,"골재소요량";#N/A,#N/A,FALSE,"골재소요량"}</definedName>
    <definedName name="ㅕ뎌ㅑ857656" hidden="1">{#N/A,#N/A,FALSE,"혼합골재"}</definedName>
    <definedName name="ㅕ뎌ㅑ갸ㅓㅕ" hidden="1">{#N/A,#N/A,FALSE,"단가표지"}</definedName>
    <definedName name="ㅕ뎌ㅓㅛ도" hidden="1">{#N/A,#N/A,FALSE,"운반시간"}</definedName>
    <definedName name="ㅕ뎌ㅛ56" hidden="1">{#N/A,#N/A,FALSE,"표지목차"}</definedName>
    <definedName name="ㅕ뎌ㅛ뎓" hidden="1">{#N/A,#N/A,FALSE,"골재소요량";#N/A,#N/A,FALSE,"골재소요량"}</definedName>
    <definedName name="ㅕ뎌ㅛㅅㅈ" hidden="1">{#N/A,#N/A,FALSE,"골재소요량";#N/A,#N/A,FALSE,"골재소요량"}</definedName>
    <definedName name="ㅕ뎌ㅛㅑㄷ7ㅕㅛㅇ" hidden="1">{#N/A,#N/A,FALSE,"골재소요량";#N/A,#N/A,FALSE,"골재소요량"}</definedName>
    <definedName name="ㅕ뎓5768ㅕ" hidden="1">{#N/A,#N/A,FALSE,"혼합골재"}</definedName>
    <definedName name="ㅕ뎓ㄱ7ㅅ8ㅑ여ㅛ" hidden="1">{#N/A,#N/A,FALSE,"골재소요량";#N/A,#N/A,FALSE,"골재소요량"}</definedName>
    <definedName name="ㅕ뎢됴56ㅕㅈ" hidden="1">{#N/A,#N/A,FALSE,"혼합골재"}</definedName>
    <definedName name="ㅕ됴ㅑㅑㄷ" hidden="1">{#N/A,#N/A,FALSE,"단가표지"}</definedName>
    <definedName name="ㅕ됴ㅑㅕ둇ㅈ" hidden="1">{#N/A,#N/A,FALSE,"혼합골재"}</definedName>
    <definedName name="ㅕ됴ㅕㅈㅈ" hidden="1">{#N/A,#N/A,FALSE,"골재소요량";#N/A,#N/A,FALSE,"골재소요량"}</definedName>
    <definedName name="ㅕ둊숏" hidden="1">{#N/A,#N/A,FALSE,"조골재"}</definedName>
    <definedName name="ㅕ랴ㅣㅑ">#REF!</definedName>
    <definedName name="ㅕㅅ" hidden="1">#REF!</definedName>
    <definedName name="ㅕㅅ7ㅛ456787" hidden="1">{#N/A,#N/A,FALSE,"혼합골재"}</definedName>
    <definedName name="ㅕㅅㄱ7ㅕ568" hidden="1">{#N/A,#N/A,FALSE,"단가표지"}</definedName>
    <definedName name="ㅕㅅ노ㅕㅓㅁㄴㅁㄴ" hidden="1">{#N/A,#N/A,FALSE,"조골재"}</definedName>
    <definedName name="ㅕ쇼뎓쇼2ㅈ" hidden="1">{#N/A,#N/A,FALSE,"혼합골재"}</definedName>
    <definedName name="ㅕ쇼뎢4565" hidden="1">{#N/A,#N/A,FALSE,"2~8번"}</definedName>
    <definedName name="ㅕ쇼ㅑㄷ77ㄳ" hidden="1">{#N/A,#N/A,FALSE,"단가표지"}</definedName>
    <definedName name="ㅕ쇼ㅕ765756" hidden="1">{#N/A,#N/A,FALSE,"조골재"}</definedName>
    <definedName name="ㅕ쇼ㅕㅛㅕㅓ숃" hidden="1">{#N/A,#N/A,FALSE,"운반시간"}</definedName>
    <definedName name="ㅕㅈㄷ6ㅕㅈ" hidden="1">{#N/A,#N/A,FALSE,"조골재"}</definedName>
    <definedName name="ㅕㅈㄷ86ㅛㄴ쇼" hidden="1">{#N/A,#N/A,FALSE,"2~8번"}</definedName>
    <definedName name="ㅕㅈ뎓갸ㅕㄷ요" hidden="1">{#N/A,#N/A,FALSE,"단가표지"}</definedName>
    <definedName name="ㅕ져3ㅈ6ㅛㅈ" hidden="1">{#N/A,#N/A,FALSE,"운반시간"}</definedName>
    <definedName name="ㅕ죠ㅕㅛ셔ㅑㅓㅛㄴ5" hidden="1">{#N/A,#N/A,FALSE,"조골재"}</definedName>
    <definedName name="ㅕ해" hidden="1">{#N/A,#N/A,FALSE,"지침";#N/A,#N/A,FALSE,"환경분석";#N/A,#N/A,FALSE,"Sheet16"}</definedName>
    <definedName name="ㅕㅏ" hidden="1">{#N/A,#N/A,FALSE,"단가표지"}</definedName>
    <definedName name="ㅕㅏㄷ쇼ㅏ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hidden="1">{#N/A,#N/A,FALSE,"Sheet6"}</definedName>
    <definedName name="ㅕㅏㅑ" hidden="1">{#N/A,#N/A,FALSE,"운반시간"}</definedName>
    <definedName name="ㅕㅏㅛㅕㅏ" hidden="1">{#N/A,#N/A,FALSE,"Sheet6"}</definedName>
    <definedName name="ㅕㅏㅛㅕ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 hidden="1">#REF!</definedName>
    <definedName name="ㅕㅑ65876ㅛㄱ6ㅅ뎌" hidden="1">{#N/A,#N/A,FALSE,"조골재"}</definedName>
    <definedName name="ㅕㅑ8768ㅕㅑㄷ6쇼" hidden="1">{#N/A,#N/A,FALSE,"혼합골재"}</definedName>
    <definedName name="ㅕㅑㄱㅇ" hidden="1">{#N/A,#N/A,FALSE,"전력간선"}</definedName>
    <definedName name="ㅕㅑㄷ쇼ㅛㅈ" hidden="1">{#N/A,#N/A,FALSE,"단가표지"}</definedName>
    <definedName name="ㅕㅑ뎌ㅛㄷ56ㅛ" hidden="1">{#N/A,#N/A,FALSE,"운반시간"}</definedName>
    <definedName name="ㅕㅑ뎍7ㅑㄷ" hidden="1">{#N/A,#N/A,FALSE,"단가표지"}</definedName>
    <definedName name="ㅕㅑ됴ㅕㅑㅈㄷ" hidden="1">{#N/A,#N/A,FALSE,"단가표지"}</definedName>
    <definedName name="ㅕㅑ쇼ㅕ뎌" hidden="1">{#N/A,#N/A,FALSE,"2~8번"}</definedName>
    <definedName name="ㅕㅑ쇼ㅕ뎌ㅛㄷ" hidden="1">{#N/A,#N/A,FALSE,"운반시간"}</definedName>
    <definedName name="ㅕㅑ쇼ㅕㅈㅈ져" hidden="1">{#N/A,#N/A,FALSE,"운반시간"}</definedName>
    <definedName name="ㅕㅑㅈㄷ8ㅕ8" hidden="1">{#N/A,#N/A,FALSE,"조골재"}</definedName>
    <definedName name="ㅕㅑㅐ" hidden="1">{#N/A,#N/A,FALSE,"Sheet6"}</definedName>
    <definedName name="ㅕㅑㅐㅐ댜ㅛㅅㄷ쇼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ㅔ" hidden="1">#REF!</definedName>
    <definedName name="ㅕㅑㅐㅕㅑ" hidden="1">{#N/A,#N/A,FALSE,"이태원철근"}</definedName>
    <definedName name="ㅕㅑㅐㅕㅑㅐ" hidden="1">{#N/A,#N/A,FALSE,"이태원철근"}</definedName>
    <definedName name="ㅕㅑㅐㅛ쇼ㅕㅅㄱ" hidden="1">{#N/A,#N/A,FALSE,"단가표지"}</definedName>
    <definedName name="ㅕㅑㅐㅛㅕㅑㅐ" hidden="1">{#N/A,#N/A,FALSE,"이태원철근"}</definedName>
    <definedName name="ㅕㅑㅑㅏㅏ" hidden="1">{#N/A,#N/A,FALSE,"골재소요량";#N/A,#N/A,FALSE,"골재소요량"}</definedName>
    <definedName name="ㅕㅑㅑㅑ" hidden="1">{#N/A,#N/A,FALSE,"조골재"}</definedName>
    <definedName name="ㅕㅑㅕ죶" hidden="1">{#N/A,#N/A,FALSE,"단가표지"}</definedName>
    <definedName name="ㅕㅑㅕㅑ" hidden="1">#REF!</definedName>
    <definedName name="ㅕㅑㅕㅕㄷ숒" hidden="1">{#N/A,#N/A,FALSE,"골재소요량";#N/A,#N/A,FALSE,"골재소요량"}</definedName>
    <definedName name="ㅕㅑㅕㅕㅑ" hidden="1">#REF!</definedName>
    <definedName name="ㅕㅑㅕㅛㄷㅈ" hidden="1">{#N/A,#N/A,FALSE,"골재소요량";#N/A,#N/A,FALSE,"골재소요량"}</definedName>
    <definedName name="ㅕㅑㅕㅛㅅ43ㅈ쇼6쇼" hidden="1">{#N/A,#N/A,FALSE,"운반시간"}</definedName>
    <definedName name="ㅕㅑㅘㅕㅑㅏ" hidden="1">{#N/A,#N/A,FALSE,"운반시간"}</definedName>
    <definedName name="ㅕㅑㅛ7ㅕㄷ쇼" hidden="1">{#N/A,#N/A,FALSE,"2~8번"}</definedName>
    <definedName name="ㅕㅑㅛ셔ㅛㅕㅑ7" hidden="1">{#N/A,#N/A,FALSE,"단가표지"}</definedName>
    <definedName name="ㅕㅑㅛㅇ숃5ㄱ셔ㅓ" hidden="1">{#N/A,#N/A,FALSE,"운반시간"}</definedName>
    <definedName name="ㅕㅑㅛㅕㄷㄷ" hidden="1">{#N/A,#N/A,FALSE,"단가표지"}</definedName>
    <definedName name="ㅕㅑㅛㅕ뎌" hidden="1">{#N/A,#N/A,FALSE,"2~8번"}</definedName>
    <definedName name="ㅕㅑㅛㅕㅕ겨" hidden="1">{#N/A,#N/A,FALSE,"표지목차"}</definedName>
    <definedName name="ㅕㅑㅛㅛㅛ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ㅜㅐㅑ" hidden="1">{#N/A,#N/A,FALSE,"이태원철근"}</definedName>
    <definedName name="ㅕㅑㅡㅛ" hidden="1">{#N/A,#N/A,FALSE,"2~8번"}</definedName>
    <definedName name="ㅕㅑ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ㅓㅁㄶㄹ호" hidden="1">{#N/A,#N/A,FALSE,"단가표지"}</definedName>
    <definedName name="ㅕㅓ쇼ㅑㅗㅕ" hidden="1">{#N/A,#N/A,FALSE,"운반시간"}</definedName>
    <definedName name="ㅕㅓㅇㄴ셔ㅛㅕㄳ됴ㅗ" hidden="1">{#N/A,#N/A,FALSE,"운반시간"}</definedName>
    <definedName name="ㅕㅓ효ㅕㅕㅓ" hidden="1">{#N/A,#N/A,FALSE,"골재소요량";#N/A,#N/A,FALSE,"골재소요량"}</definedName>
    <definedName name="ㅕㅓㅕㅛㅏ" hidden="1">{#N/A,#N/A,FALSE,"운반시간"}</definedName>
    <definedName name="ㅕㅓㅛ뎟져ㅓ뎌" hidden="1">{#N/A,#N/A,FALSE,"단가표지"}</definedName>
    <definedName name="ㅕㅓㅛㅕㅓ" hidden="1">{#N/A,#N/A,FALSE,"단가표지"}</definedName>
    <definedName name="ㅕㅕ">#REF!</definedName>
    <definedName name="ㅕㅕ577564" hidden="1">{#N/A,#N/A,FALSE,"운반시간"}</definedName>
    <definedName name="ㅕㅕ5ㄷ5666ㅕㄷ" hidden="1">{#N/A,#N/A,FALSE,"운반시간"}</definedName>
    <definedName name="ㅕㅕ6587더ㅛ셔" hidden="1">{#N/A,#N/A,FALSE,"혼합골재"}</definedName>
    <definedName name="ㅕㅕ867ㅕㅑㄷ" hidden="1">{#N/A,#N/A,FALSE,"단가표지"}</definedName>
    <definedName name="ㅕㅕㄱ3죠ㅕㅈㅅ" hidden="1">{#N/A,#N/A,FALSE,"혼합골재"}</definedName>
    <definedName name="ㅕㅕㄷ56ㅛㅕㄷ" hidden="1">{#N/A,#N/A,FALSE,"단가표지"}</definedName>
    <definedName name="ㅕㅕㄷ757" hidden="1">{#N/A,#N/A,FALSE,"혼합골재"}</definedName>
    <definedName name="ㅕㅕㄷ교ㅕㄷ" hidden="1">{#N/A,#N/A,FALSE,"2~8번"}</definedName>
    <definedName name="ㅕㅕ뎌" hidden="1">{#N/A,#N/A,FALSE,"혼합골재"}</definedName>
    <definedName name="ㅕㅕ뎌뎓" hidden="1">{#N/A,#N/A,FALSE,"표지목차"}</definedName>
    <definedName name="ㅕㅕ뎌져" hidden="1">{#N/A,#N/A,FALSE,"단가표지"}</definedName>
    <definedName name="ㅕㅕ둇ㅈ" hidden="1">{#N/A,#N/A,FALSE,"단가표지"}</definedName>
    <definedName name="ㅕㅕㅈ죠ㅛㅕ" hidden="1">{#N/A,#N/A,FALSE,"골재소요량";#N/A,#N/A,FALSE,"골재소요량"}</definedName>
    <definedName name="ㅕㅕㅑㅏ" hidden="1">{#N/A,#N/A,FALSE,"2~8번"}</definedName>
    <definedName name="ㅕㅕㅑㅓ됴ㅕ" hidden="1">{#N/A,#N/A,FALSE,"단가표지"}</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ㅕㅕㅕ" hidden="1">{#N/A,#N/A,FALSE,"조골재"}</definedName>
    <definedName name="ㅕㅕㅛ567ㅕ65ㄷ56" hidden="1">{#N/A,#N/A,FALSE,"2~8번"}</definedName>
    <definedName name="ㅕㅕㅛㅑㅕㄷ456" hidden="1">{#N/A,#N/A,FALSE,"단가표지"}</definedName>
    <definedName name="ㅕㅘㅗㅕㅏ" hidden="1">{#N/A,#N/A,FALSE,"단가표지"}</definedName>
    <definedName name="ㅕㅛ" hidden="1">{#N/A,#N/A,FALSE,"지침";#N/A,#N/A,FALSE,"환경분석";#N/A,#N/A,FALSE,"Sheet16"}</definedName>
    <definedName name="ㅕㅛ76ㅛㅕ" hidden="1">{#N/A,#N/A,FALSE,"혼합골재"}</definedName>
    <definedName name="ㅕㅛ7ㅕ56ㄷ65" hidden="1">{#N/A,#N/A,FALSE,"2~8번"}</definedName>
    <definedName name="ㅕㅛㄷ7ㅕㄷ" hidden="1">{#N/A,#N/A,FALSE,"조골재"}</definedName>
    <definedName name="ㅕㅛㄷ8ㅕ78뎌" hidden="1">{#N/A,#N/A,FALSE,"단가표지"}</definedName>
    <definedName name="ㅕㅛㄷ8ㅕㅈ" hidden="1">{#N/A,#N/A,FALSE,"단가표지"}</definedName>
    <definedName name="ㅕㅛ댜8ㅛ" hidden="1">{#N/A,#N/A,FALSE,"운반시간"}</definedName>
    <definedName name="ㅕㅛ댝7ㅕ" hidden="1">{#N/A,#N/A,FALSE,"조골재"}</definedName>
    <definedName name="ㅕㅛ뎌4657쇼2" hidden="1">{#N/A,#N/A,FALSE,"골재소요량";#N/A,#N/A,FALSE,"골재소요량"}</definedName>
    <definedName name="ㅕㅛ뎌6ㄷ56ㅕ6" hidden="1">{#N/A,#N/A,FALSE,"단가표지"}</definedName>
    <definedName name="ㅕㅛ뎌ㅑ려샨쇼" hidden="1">{#N/A,#N/A,FALSE,"혼합골재"}</definedName>
    <definedName name="ㅕㅛ뎌ㅑㅛ갸갸ㅕ" hidden="1">{#N/A,#N/A,FALSE,"단가표지"}</definedName>
    <definedName name="ㅕㅛ뎌ㅛ8ㅑ" hidden="1">{#N/A,#N/A,FALSE,"운반시간"}</definedName>
    <definedName name="ㅕㅛ뎌ㅛㄷ" hidden="1">{#N/A,#N/A,FALSE,"단가표지"}</definedName>
    <definedName name="ㅕㅛ뎌ㅛㄷ쇼" hidden="1">{#N/A,#N/A,FALSE,"단가표지"}</definedName>
    <definedName name="ㅕㅛ뎌ㅛ뎌" hidden="1">{#N/A,#N/A,FALSE,"혼합골재"}</definedName>
    <definedName name="ㅕㅛ뎓456" hidden="1">{#N/A,#N/A,FALSE,"단가표지"}</definedName>
    <definedName name="ㅕㅛ됴ㅕㄷ56ㅕㅓㅛ" hidden="1">{#N/A,#N/A,FALSE,"운반시간"}</definedName>
    <definedName name="ㅕㅛ됴ㅕㅅㅈ7ㅛㅕ" hidden="1">{#N/A,#N/A,FALSE,"혼합골재"}</definedName>
    <definedName name="ㅕㅛ됴ㅛㅛㅛㅕ교5ㅈ" hidden="1">{#N/A,#N/A,FALSE,"단가표지"}</definedName>
    <definedName name="ㅕㅛㅅ뎓8ㅕ65" hidden="1">{#N/A,#N/A,FALSE,"표지목차"}</definedName>
    <definedName name="ㅕㅛㅅ죠ㅑ0" hidden="1">{#N/A,#N/A,FALSE,"조골재"}</definedName>
    <definedName name="ㅕㅛ샥" hidden="1">{#N/A,#N/A,FALSE,"골재소요량";#N/A,#N/A,FALSE,"골재소요량"}</definedName>
    <definedName name="ㅕㅛ쟈ㅐㅕ" hidden="1">{#N/A,#N/A,FALSE,"표지목차"}</definedName>
    <definedName name="ㅕㅛㅎ" hidden="1">{#N/A,#N/A,FALSE,"2~8번"}</definedName>
    <definedName name="ㅕㅛㅏ">#REF!</definedName>
    <definedName name="ㅕㅛㅏㄷ사ㅕ다"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ㅓㅕㅓ" hidden="1">{#N/A,#N/A,FALSE,"운반시간"}</definedName>
    <definedName name="ㅕㅛㅕ4545ㅛㅑㅛ" hidden="1">{#N/A,#N/A,FALSE,"혼합골재"}</definedName>
    <definedName name="ㅕㅛㅕ6654" hidden="1">{#N/A,#N/A,FALSE,"조골재"}</definedName>
    <definedName name="ㅕㅛㅕ9ㅑㄱ6ㅓ5" hidden="1">{#N/A,#N/A,FALSE,"골재소요량";#N/A,#N/A,FALSE,"골재소요량"}</definedName>
    <definedName name="ㅕㅛㅕㄷ45676" hidden="1">{#N/A,#N/A,FALSE,"단가표지"}</definedName>
    <definedName name="ㅕㅛㅕㄷ6578ㅈ56" hidden="1">{#N/A,#N/A,FALSE,"혼합골재"}</definedName>
    <definedName name="ㅕㅛㅕ됴ㅑ" hidden="1">{#N/A,#N/A,FALSE,"단가표지"}</definedName>
    <definedName name="ㅕㅛㅕㅈㅅ교ㅕ" hidden="1">{#N/A,#N/A,FALSE,"단가표지"}</definedName>
    <definedName name="ㅕㅛㅕㅑ75" hidden="1">{#N/A,#N/A,FALSE,"단가표지"}</definedName>
    <definedName name="ㅕㅛㅕㅛ" hidden="1">{#N/A,#N/A,TRUE,"토적및재료집계";#N/A,#N/A,TRUE,"토적및재료집계";#N/A,#N/A,TRUE,"단위량"}</definedName>
    <definedName name="ㅕㅛㅗㅅㄷ6ㅛㅅㄱ" hidden="1">{#N/A,#N/A,FALSE,"전력간선"}</definedName>
    <definedName name="ㅕㅛㅡ" hidden="1">{#N/A,#N/A,FALSE,"단가표지"}</definedName>
    <definedName name="ㅕㅛㅣㅏ툐다"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ㅜ" hidden="1">{#N/A,#N/A,FALSE,"단가표지"}</definedName>
    <definedName name="ㅕㅜ료ㅕㅜ" hidden="1">{#N/A,#N/A,FALSE,"단가표지"}</definedName>
    <definedName name="ㅕㅜㅛㅑㄹ" hidden="1">{#N/A,#N/A,FALSE,"단가표지"}</definedName>
    <definedName name="ㅕㅠㅡㅓ" hidden="1">{#N/A,#N/A,FALSE,"혼합골재"}</definedName>
    <definedName name="ㅕㅣㅑㅐㅏㅕㅑㅑㅣ" hidden="1">{#N/A,#N/A,FALSE,"단가표지"}</definedName>
    <definedName name="ㅕㄳ뎍76ㅑ" hidden="1">{#N/A,#N/A,FALSE,"조골재"}</definedName>
    <definedName name="ㅗ" hidden="1">{#N/A,#N/A,FALSE,"현장 NCR 분석";#N/A,#N/A,FALSE,"현장품질감사";#N/A,#N/A,FALSE,"현장품질감사"}</definedName>
    <definedName name="ㅗ_1" hidden="1">{#N/A,#N/A,FALSE,"이태원철근"}</definedName>
    <definedName name="ㅗ_2" hidden="1">{#N/A,#N/A,FALSE,"이태원철근"}</definedName>
    <definedName name="ㅗ_3" hidden="1">{#N/A,#N/A,FALSE,"이태원철근"}</definedName>
    <definedName name="ㅗ1019">#REF!</definedName>
    <definedName name="ㅗ118">#REF!</definedName>
    <definedName name="ㅗ1433">#REF!</definedName>
    <definedName name="ㅗ243">#REF!</definedName>
    <definedName name="ㅗ3201">#REF!</definedName>
    <definedName name="ㅗ3ㄷ5ㅗㅗ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40">#REF!</definedName>
    <definedName name="ㅗ415">#REF!</definedName>
    <definedName name="ㅗ461">#REF!</definedName>
    <definedName name="ㅗ50">#REF!</definedName>
    <definedName name="ㅗ7254">#REF!</definedName>
    <definedName name="ㅗㄱ" hidden="1">{#N/A,#N/A,FALSE,"이태원철근"}</definedName>
    <definedName name="ㅗㄱ속소">#REF!</definedName>
    <definedName name="ㅗ고" hidden="1">{#N/A,#N/A,FALSE,"표지목차"}</definedName>
    <definedName name="ㅗ고ㅗㅛ" hidden="1">{#N/A,#N/A,FALSE,"단가표지"}</definedName>
    <definedName name="ㅗㄴ1ㅗㄴ11ㄴ" hidden="1">#REF!</definedName>
    <definedName name="ㅗㄴㅅㄳㄴ" hidden="1">{#N/A,#N/A,FALSE,"교리2"}</definedName>
    <definedName name="ㅗ너ㅗㄴㄱ솧" hidden="1">{#N/A,#N/A,FALSE,"운반시간"}</definedName>
    <definedName name="ㅗ너ㅗ형ㄴㅅ서ㅓ" hidden="1">{#N/A,#N/A,FALSE,"2~8번"}</definedName>
    <definedName name="ㅗ너ㅜㅇ호" hidden="1">{#N/A,#N/A,FALSE,"운반시간"}</definedName>
    <definedName name="ㅗ뉴">#REF!</definedName>
    <definedName name="ㅗㄴㄻㅎㅁㅎㅎ" hidden="1">{#N/A,#N/A,FALSE,"골재소요량";#N/A,#N/A,FALSE,"골재소요량"}</definedName>
    <definedName name="ㅗㄷ묘홋옳" hidden="1">{#N/A,#N/A,FALSE,"혼합골재"}</definedName>
    <definedName name="ㅗㄷㅎㄷ" hidden="1">#REF!</definedName>
    <definedName name="ㅗㄹ">#N/A</definedName>
    <definedName name="ㅗㄹ서" hidden="1">{#N/A,#N/A,FALSE,"운반시간"}</definedName>
    <definedName name="ㅗㄹㅇ" hidden="1">{#N/A,#N/A,FALSE,"단가표지"}</definedName>
    <definedName name="ㅗㄹㅇ노" hidden="1">{#N/A,#N/A,FALSE,"속도"}</definedName>
    <definedName name="ㅗㄹㅇㄹㅇㅎㅇ로ㅅㄱ">#REF!</definedName>
    <definedName name="ㅗㄹ어교오" hidden="1">{#N/A,#N/A,FALSE,"골재소요량";#N/A,#N/A,FALSE,"골재소요량"}</definedName>
    <definedName name="ㅗㄹ올ㅇ" hidden="1">#REF!</definedName>
    <definedName name="ㅗㄹ옿ㅎㄹ" hidden="1">#REF!</definedName>
    <definedName name="ㅗㄹ호" hidden="1">#REF!</definedName>
    <definedName name="ㅗㄹ호로ㅅ" hidden="1">{#N/A,#N/A,FALSE,"혼합골재"}</definedName>
    <definedName name="ㅗㄹ호홓로" hidden="1">#REF!</definedName>
    <definedName name="ㅗㄹ홇">#N/A</definedName>
    <definedName name="ㅗ로" hidden="1">{#N/A,#N/A,TRUE,"토적및재료집계";#N/A,#N/A,TRUE,"토적및재료집계";#N/A,#N/A,TRUE,"단위량"}</definedName>
    <definedName name="ㅗ로롤" hidden="1">#REF!</definedName>
    <definedName name="ㅗ로쇼" hidden="1">{#N/A,#N/A,FALSE,"단가표지"}</definedName>
    <definedName name="ㅗ로휼" hidden="1">{#N/A,#N/A,FALSE,"조골재"}</definedName>
    <definedName name="ㅗ롤" hidden="1">{#N/A,#N/A,FALSE,"운반시간"}</definedName>
    <definedName name="ㅗ료ㅕ" hidden="1">{#N/A,#N/A,FALSE,"단가표지"}</definedName>
    <definedName name="ㅗㄹㄶ" hidden="1">{#N/A,#N/A,FALSE,"조골재"}</definedName>
    <definedName name="ㅗㅁ" hidden="1">{#N/A,#N/A,FALSE,"생산성";#N/A,#N/A,FALSE,"인력1";#N/A,#N/A,FALSE,"인력2";#N/A,#N/A,FALSE,"인력3";#N/A,#N/A,FALSE,"인건1";#N/A,#N/A,FALSE,"인건2";#N/A,#N/A,FALSE,"인건3";#N/A,#N/A,FALSE,"인원증감";#N/A,#N/A,FALSE,"인건증감";#N/A,#N/A,FALSE,"표지등"}</definedName>
    <definedName name="ㅗㅁ도">#REF!</definedName>
    <definedName name="ㅗㅁㅎ롷ㄹㄴ" hidden="1">{#N/A,#N/A,FALSE,"단가표지"}</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ㅁㄳㄷㄱ호" hidden="1">{#N/A,#N/A,FALSE,"혼합골재"}</definedName>
    <definedName name="ㅗㅂㄷㅗ">#N/A</definedName>
    <definedName name="ㅗㅂㅁㅈㄷ고">#REF!</definedName>
    <definedName name="ㅗㅅ" hidden="1">{#N/A,#N/A,FALSE,"조골재"}</definedName>
    <definedName name="ㅗㅅ20">#REF!</definedName>
    <definedName name="ㅗㅅㄱ" hidden="1">{#N/A,#N/A,TRUE,"토적및재료집계";#N/A,#N/A,TRUE,"토적및재료집계";#N/A,#N/A,TRUE,"단위량"}</definedName>
    <definedName name="ㅗㅅㄱ솏" hidden="1">#REF!</definedName>
    <definedName name="ㅗㅅㄱㅗ">#N/A</definedName>
    <definedName name="ㅗㅅ곧" hidden="1">{#N/A,#N/A,FALSE,"단가표지"}</definedName>
    <definedName name="ㅗㅅ소" hidden="1">{#N/A,#N/A,FALSE,"단가표지"}</definedName>
    <definedName name="ㅗㅅㅎ" hidden="1">{#N/A,#N/A,FALSE,"혼합골재"}</definedName>
    <definedName name="ㅗㅅㅎㅅㄱ" hidden="1">{#N/A,#N/A,FALSE,"혼합골재"}</definedName>
    <definedName name="ㅗㅅ호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홋" hidden="1">{#N/A,#N/A,FALSE,"운반시간"}</definedName>
    <definedName name="ㅗ소ㅅㅗ">#N/A</definedName>
    <definedName name="ㅗ속" hidden="1">{#N/A,#N/A,FALSE,"단가표지"}</definedName>
    <definedName name="ㅗ솟" hidden="1">{#N/A,#N/A,FALSE,"단가표지"}</definedName>
    <definedName name="ㅗ솧" hidden="1">{#N/A,#N/A,FALSE,"혼합골재"}</definedName>
    <definedName name="ㅗ쇼" hidden="1">{#N/A,#N/A,FALSE,"조골재"}</definedName>
    <definedName name="ㅗ쇼ㅓ" hidden="1">{#N/A,#N/A,FALSE,"운반시간"}</definedName>
    <definedName name="ㅗ쇼ㅕ" hidden="1">{#N/A,#N/A,FALSE,"혼합골재"}</definedName>
    <definedName name="ㅗㅇ">#N/A</definedName>
    <definedName name="ㅗㅇ겋ㅊ뤂ㅊ" hidden="1">{#N/A,#N/A,FALSE,"단가표지"}</definedName>
    <definedName name="ㅗㅇㅎㄹㅗ" hidden="1">{#N/A,#N/A,FALSE,"포장1";#N/A,#N/A,FALSE,"포장1"}</definedName>
    <definedName name="ㅗ오">#REF!</definedName>
    <definedName name="ㅗ올ㅗ">#N/A</definedName>
    <definedName name="ㅗ옳">#REF!</definedName>
    <definedName name="ㅗ옳ㅇㅌ" hidden="1">{#N/A,#N/A,FALSE,"전력간선"}</definedName>
    <definedName name="ㅗㅇㄶ녀ㅓ" hidden="1">{#N/A,#N/A,FALSE,"혼합골재"}</definedName>
    <definedName name="ㅗㅈ좃"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춍ㄷㄹㄹ" hidden="1">{#N/A,#N/A,FALSE,"단가표지"}</definedName>
    <definedName name="ㅗㅍ초" hidden="1">{#N/A,#N/A,FALSE,"2~8번"}</definedName>
    <definedName name="ㅗㅎ" hidden="1">{#N/A,#N/A,FALSE,"운반시간"}</definedName>
    <definedName name="ㅗㅎ겨" hidden="1">{#N/A,#N/A,FALSE,"전력간선"}</definedName>
    <definedName name="ㅗㅎㄴ" hidden="1">{#N/A,#N/A,FALSE,"골재소요량";#N/A,#N/A,FALSE,"골재소요량"}</definedName>
    <definedName name="ㅗㅎㄴㄹ" hidden="1">{#N/A,#N/A,FALSE,"단가표지"}</definedName>
    <definedName name="ㅗㅎ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녀ㅓㄹ옹ㅁ" hidden="1">{#N/A,#N/A,FALSE,"단가표지"}</definedName>
    <definedName name="ㅗㅎ노호ㅓ" hidden="1">{#N/A,#N/A,FALSE,"단가표지"}</definedName>
    <definedName name="ㅗㅎ노ㅓㅡㅏㅗ" hidden="1">{#N/A,#N/A,FALSE,"운반시간"}</definedName>
    <definedName name="ㅗㅎㄹ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ㄹ얗휴ㅗㄹㅇ" hidden="1">{#N/A,#N/A,FALSE,"골재소요량";#N/A,#N/A,FALSE,"골재소요량"}</definedName>
    <definedName name="ㅗㅎㄹ우ㅑㅐㅗㅎ" hidden="1">{#N/A,#N/A,FALSE,"단가표지"}</definedName>
    <definedName name="ㅗㅎㄹ이ㅓ" hidden="1">{#N/A,#N/A,FALSE,"골재소요량";#N/A,#N/A,FALSE,"골재소요량"}</definedName>
    <definedName name="ㅗㅎ러허" hidden="1">#REF!</definedName>
    <definedName name="ㅗㅎ러ㅗㅎ럴호" hidden="1">{#N/A,#N/A,FALSE,"이태원철근"}</definedName>
    <definedName name="ㅗㅎ로소" hidden="1">{#N/A,#N/A,FALSE,"단가표지"}</definedName>
    <definedName name="ㅗㅎ로오" hidden="1">#REF!</definedName>
    <definedName name="ㅗㅎ로ㅜ" hidden="1">{#N/A,#N/A,FALSE,"운반시간"}</definedName>
    <definedName name="ㅗㅎ론ㄹ" hidden="1">{#N/A,#N/A,FALSE,"표지목차"}</definedName>
    <definedName name="ㅗㅎ롯홋ㄱ" hidden="1">{#N/A,#N/A,FALSE,"혼합골재"}</definedName>
    <definedName name="ㅗㅎ롷ㄹㄴ호롷ㄹㄴ" hidden="1">{#N/A,#N/A,FALSE,"현장 NCR 분석";#N/A,#N/A,FALSE,"현장품질감사";#N/A,#N/A,FALSE,"현장품질감사"}</definedName>
    <definedName name="ㅗㅎ롷ㄹ올ㅇ" hidden="1">#REF!</definedName>
    <definedName name="ㅗㅎ롷롷ㄹ" hidden="1">#REF!</definedName>
    <definedName name="ㅗㅎ료ㅗㅅㄷ논" hidden="1">{#N/A,#N/A,FALSE,"2~8번"}</definedName>
    <definedName name="ㅗㅎ뤼ㅏㅓㅠㅣㅇ" hidden="1">{#N/A,#N/A,FALSE,"표지목차"}</definedName>
    <definedName name="ㅗㅎ숏ㄹ" hidden="1">{#N/A,#N/A,FALSE,"조골재"}</definedName>
    <definedName name="ㅗㅎㅇ" hidden="1">{#N/A,#N/A,FALSE,"운반시간"}</definedName>
    <definedName name="ㅗㅎㅇ뇶ㄴ" hidden="1">{#N/A,#N/A,FALSE,"단가표지"}</definedName>
    <definedName name="ㅗㅎㅇㅁㄹㅇㅎ" hidden="1">{#N/A,"수불부",FALSE,"사급자재수불서";#N/A,"수불부",FALSE,"사급자재수불서"}</definedName>
    <definedName name="ㅗㅎㅇ톻ㅌㄹ홑" hidden="1">{#N/A,#N/A,FALSE,"운반시간"}</definedName>
    <definedName name="ㅗㅎㅇㅀ" hidden="1">#REF!</definedName>
    <definedName name="ㅗㅎㅈㅈㅈㅈㅈㅈㅈㅈ" hidden="1">{#N/A,#N/A,FALSE,"이태원철근"}</definedName>
    <definedName name="ㅗㅎㅎ" hidden="1">#REF!</definedName>
    <definedName name="ㅗㅎㅎ로" hidden="1">#REF!</definedName>
    <definedName name="ㅗㅎㅎㅌㄹㅋㅅ" hidden="1">{#N/A,#N/A,FALSE,"2~8번"}</definedName>
    <definedName name="ㅗㅎ흎ㅊㅌㄹㅇㅊ" hidden="1">{#N/A,#N/A,FALSE,"배수2"}</definedName>
    <definedName name="ㅗㅎㅀㄱ" hidden="1">{#N/A,#N/A,FALSE,"운반시간"}</definedName>
    <definedName name="ㅗ하ㅣㄴ어ㅗ뢔ㅑㅇㅈ" hidden="1">{#N/A,#N/A,FALSE,"CCTV"}</definedName>
    <definedName name="ㅗ햐랴" hidden="1">{#N/A,#N/A,FALSE,"혼합골재"}</definedName>
    <definedName name="ㅗ허호ㅓ" hidden="1">{#N/A,#N/A,FALSE,"손익표지";#N/A,#N/A,FALSE,"손익계산";#N/A,#N/A,FALSE,"일반관리비";#N/A,#N/A,FALSE,"영업외수익";#N/A,#N/A,FALSE,"영업외비용";#N/A,#N/A,FALSE,"매출액";#N/A,#N/A,FALSE,"요약손익";#N/A,#N/A,FALSE,"요약대차";#N/A,#N/A,FALSE,"매출채권현황";#N/A,#N/A,FALSE,"매출채권명세"}</definedName>
    <definedName name="ㅗ허호ㅓ호ㅓ" hidden="1">{#N/A,#N/A,FALSE,"조골재"}</definedName>
    <definedName name="ㅗ허ㅏㅗㅓ" hidden="1">{#N/A,#N/A,FALSE,"단가표지"}</definedName>
    <definedName name="ㅗ허ㅗ" hidden="1">{#N/A,#N/A,FALSE,"단가표지"}</definedName>
    <definedName name="ㅗ허ㅜㅗ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허ㅡ호" hidden="1">{#N/A,#N/A,FALSE,"구조2"}</definedName>
    <definedName name="ㅗ헏ㄷ셔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혀" hidden="1">{#N/A,#N/A,FALSE,"단가표지"}</definedName>
    <definedName name="ㅗ혈ㅇ" hidden="1">{#N/A,#N/A,FALSE,"운반시간"}</definedName>
    <definedName name="ㅗ호" hidden="1">{#N/A,#N/A,FALSE,"조골재"}</definedName>
    <definedName name="ㅗ호로롤" hidden="1">#REF!</definedName>
    <definedName name="ㅗ혹" hidden="1">{#N/A,#N/A,FALSE,"혼합골재"}</definedName>
    <definedName name="ㅗ혹ㄽ" hidden="1">{#N/A,#N/A,FALSE,"조골재"}</definedName>
    <definedName name="ㅗ홀올호" hidden="1">{#N/A,#N/A,FALSE,"표지목차"}</definedName>
    <definedName name="ㅗ홇" hidden="1">{#N/A,#N/A,FALSE,"생산성";#N/A,#N/A,FALSE,"인력1";#N/A,#N/A,FALSE,"인력2";#N/A,#N/A,FALSE,"인력3";#N/A,#N/A,FALSE,"인건1";#N/A,#N/A,FALSE,"인건2";#N/A,#N/A,FALSE,"인건3";#N/A,#N/A,FALSE,"인원증감";#N/A,#N/A,FALSE,"인건증감";#N/A,#N/A,FALSE,"표지등"}</definedName>
    <definedName name="ㅗ홈로" hidden="1">{#N/A,#N/A,FALSE,"단가표지"}</definedName>
    <definedName name="ㅗ홋" hidden="1">{#N/A,#N/A,FALSE,"단가표지"}</definedName>
    <definedName name="ㅗ화ㅕ" hidden="1">{#N/A,#N/A,FALSE,"단가표지"}</definedName>
    <definedName name="ㅗ효ㅕㅅ" hidden="1">{#N/A,#N/A,FALSE,"운반시간"}</definedName>
    <definedName name="ㅗ횩" hidden="1">{#N/A,#N/A,FALSE,"단가표지"}</definedName>
    <definedName name="ㅗㅎㄶㄻ" hidden="1">{#N/A,#N/A,FALSE,"운반시간"}</definedName>
    <definedName name="ㅗㅀ노ㅜㅊ" hidden="1">{#N/A,#N/A,FALSE,"단가표지"}</definedName>
    <definedName name="ㅗㅀㅇ호" hidden="1">{#N/A,#N/A,FALSE,"표지목차"}</definedName>
    <definedName name="ㅗㅀ옹톻ㄴ" hidden="1">{#N/A,#N/A,FALSE,"골재소요량";#N/A,#N/A,FALSE,"골재소요량"}</definedName>
    <definedName name="ㅗㅑㅏㅏㅕㅑ" hidden="1">{#N/A,#N/A,FALSE,"2~8번"}</definedName>
    <definedName name="ㅗㅑㅏㅕㅐㅏㅣ" hidden="1">{#N/A,#N/A,FALSE,"혼합골재"}</definedName>
    <definedName name="ㅗㅑㅏㅕㅛㅐ" hidden="1">{#N/A,#N/A,FALSE,"단가표지"}</definedName>
    <definedName name="ㅗㅑㅑㅕㅓㅡ" hidden="1">{#N/A,#N/A,FALSE,"표지목차"}</definedName>
    <definedName name="ㅗㅑㅕㅛㅑㅏ" hidden="1">{#N/A,#N/A,FALSE,"표지목차"}</definedName>
    <definedName name="ㅗㅑㅛ" hidden="1">{#N/A,#N/A,FALSE,"골재소요량";#N/A,#N/A,FALSE,"골재소요량"}</definedName>
    <definedName name="ㅗㅑㅡㅑ" hidden="1">{#N/A,#N/A,FALSE,"단가표지"}</definedName>
    <definedName name="ㅗㅑㅡㅕㅑㅡㅏ" hidden="1">{#N/A,#N/A,FALSE,"단가표지"}</definedName>
    <definedName name="ㅗㅑㄳ" hidden="1">{#N/A,#N/A,FALSE,"단가표지"}</definedName>
    <definedName name="ㅗㅓ" hidden="1">{#N/A,#N/A,FALSE,"부대2"}</definedName>
    <definedName name="ㅗㅓ너ㅘㅓ" hidden="1">{#N/A,#N/A,FALSE,"단가표지"}</definedName>
    <definedName name="ㅗㅓㄷ" hidden="1">{#N/A,#N/A,FALSE,"포장2"}</definedName>
    <definedName name="ㅗㅓㄷㅈㄹㄷㄱ" hidden="1">#REF!</definedName>
    <definedName name="ㅗㅓㄹ머ㅗㄴㅁㅁㄴ" hidden="1">{#N/A,#N/A,FALSE,"단가표지"}</definedName>
    <definedName name="ㅗㅓㄹ혀" hidden="1">{#N/A,#N/A,FALSE,"표지목차"}</definedName>
    <definedName name="ㅗㅓㄹ호" hidden="1">{#N/A,#N/A,FALSE,"2~8번"}</definedName>
    <definedName name="ㅗㅓ렇" hidden="1">{#N/A,#N/A,FALSE,"단가표지"}</definedName>
    <definedName name="ㅗㅓㅅ됴ㅑㅏ쇼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셔" hidden="1">{#N/A,#N/A,FALSE,"단가표지"}</definedName>
    <definedName name="ㅗㅓ셔ㅑㅕ" hidden="1">{#N/A,#N/A,FALSE,"조골재"}</definedName>
    <definedName name="ㅗㅓ쇼" hidden="1">{#N/A,#N/A,FALSE,"운반시간"}</definedName>
    <definedName name="ㅗㅓ쇼ㅓㅕㄷ쇼ㅓㅕㄷㅅ" hidden="1">{#N/A,#N/A,FALSE,"단가표지"}</definedName>
    <definedName name="ㅗㅓ쇼ㅓㅜ" hidden="1">{#N/A,#N/A,FALSE,"단가표지"}</definedName>
    <definedName name="ㅗㅓㅇ" hidden="1">{#N/A,#N/A,FALSE,"단가표지"}</definedName>
    <definedName name="ㅗㅓㅇ노ㅓㄴㅇ" hidden="1">{#N/A,#N/A,FALSE,"운반시간"}</definedName>
    <definedName name="ㅗㅓ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ㅇ롱" hidden="1">{#N/A,#N/A,FALSE,"운반시간"}</definedName>
    <definedName name="ㅗㅓ오ㅛㅕㅇㅎ" hidden="1">{#N/A,#N/A,FALSE,"단가표지"}</definedName>
    <definedName name="ㅗㅓㅊㅇㅀㅎ" hidden="1">{#N/A,#N/A,FALSE,"운반시간"}</definedName>
    <definedName name="ㅗㅓㅍㅅㄹ" hidden="1">{#N/A,#N/A,FALSE,"운반시간"}</definedName>
    <definedName name="ㅗㅓㅎㄴㄱㅁㅅㅎㄴ셔ㅏ" hidden="1">{#N/A,#N/A,FALSE,"혼합골재"}</definedName>
    <definedName name="ㅗㅓㅎㄴㄴㄴ" hidden="1">{#N/A,#N/A,FALSE,"운반시간"}</definedName>
    <definedName name="ㅗㅓㅎㄹ어" hidden="1">{#N/A,#N/A,FALSE,"골재소요량";#N/A,#N/A,FALSE,"골재소요량"}</definedName>
    <definedName name="ㅗㅓㅎ로ㅓㅎㄹ" hidden="1">{#N/A,#N/A,FALSE,"표지목차"}</definedName>
    <definedName name="ㅗㅓㅎㅅㅀ" hidden="1">{#N/A,#N/A,FALSE,"운반시간"}</definedName>
    <definedName name="ㅗㅓㅎㅇㅇㅇㅇㅇㅇㅇ" hidden="1">{#N/A,#N/A,FALSE,"단가표지"}</definedName>
    <definedName name="ㅗㅓㅎㅇㅎㄴ" hidden="1">{#N/A,#N/A,FALSE,"골재소요량";#N/A,#N/A,FALSE,"골재소요량"}</definedName>
    <definedName name="ㅗㅓㅎㅎㄹ" hidden="1">{#N/A,#N/A,FALSE,"단가표지"}</definedName>
    <definedName name="ㅗㅓ헛" hidden="1">{#N/A,#N/A,FALSE,"혼합골재"}</definedName>
    <definedName name="ㅗㅓ혀ㅛㅎ" hidden="1">{#N/A,#N/A,FALSE,"표지목차"}</definedName>
    <definedName name="ㅗㅓ호" hidden="1">{#N/A,#N/A,FALSE,"골재소요량";#N/A,#N/A,FALSE,"골재소요량"}</definedName>
    <definedName name="ㅗㅓ호ㅓ">{"Book1","부대-(표지판,데리,가드).xls","부대-(낙,차,중분대).xls"}</definedName>
    <definedName name="ㅗㅓ호ㅠ" hidden="1">{#N/A,#N/A,FALSE,"조골재"}</definedName>
    <definedName name="ㅗㅓ화ㅓㅕ" hidden="1">{#N/A,#N/A,FALSE,"운반시간"}</definedName>
    <definedName name="ㅗㅓ효ㅕ" hidden="1">{#N/A,#N/A,FALSE,"골재소요량";#N/A,#N/A,FALSE,"골재소요량"}</definedName>
    <definedName name="ㅗㅓㅀ" hidden="1">{#N/A,#N/A,FALSE,"표지목차"}</definedName>
    <definedName name="ㅗㅓㅏ">#REF!</definedName>
    <definedName name="ㅗㅓㅏ료ㅓㅏ욧굓" hidden="1">{#N/A,#N/A,FALSE,"조골재"}</definedName>
    <definedName name="ㅗㅓㅏㅎ혀" hidden="1">{#N/A,#N/A,FALSE,"단가표지"}</definedName>
    <definedName name="ㅗㅓㅏ호ㅗㅇ" hidden="1">{#N/A,#N/A,FALSE,"전력간선"}</definedName>
    <definedName name="ㅗㅓㅏㅏㅕㅛㅏ" hidden="1">{#N/A,#N/A,FALSE,"골재소요량";#N/A,#N/A,FALSE,"골재소요량"}</definedName>
    <definedName name="ㅗㅓㅏㅏㅣ" hidden="1">{#N/A,#N/A,FALSE,"단가표지"}</definedName>
    <definedName name="ㅗㅓㅏㅑㅐ" hidden="1">{#N/A,#N/A,FALSE,"혼합골재"}</definedName>
    <definedName name="ㅗㅓㅏㅑㅐㅣ" hidden="1">{#N/A,#N/A,FALSE,"단가표지"}</definedName>
    <definedName name="ㅗㅓㅏㅓㅏ" localSheetId="0">BlankMacro1</definedName>
    <definedName name="ㅗㅓㅏㅓㅏ">BlankMacro1</definedName>
    <definedName name="ㅗㅓㅏㅓㅑㅅ" hidden="1">{#N/A,#N/A,FALSE,"단가표지"}</definedName>
    <definedName name="ㅗㅓㅏㅕㅑ" hidden="1">{#N/A,#N/A,FALSE,"단가표지"}</definedName>
    <definedName name="ㅗㅓㅏㅕㅑㅏ" hidden="1">{#N/A,#N/A,FALSE,"운반시간"}</definedName>
    <definedName name="ㅗㅓㅏㅕㅑㅐㅣ" hidden="1">{#N/A,#N/A,FALSE,"운반시간"}</definedName>
    <definedName name="ㅗㅓㅏㅕㅛㅕ" hidden="1">{#N/A,#N/A,FALSE,"조골재"}</definedName>
    <definedName name="ㅗㅓㅏㅕㅛㅛ" hidden="1">{#N/A,#N/A,FALSE,"2~8번"}</definedName>
    <definedName name="ㅗㅓㅏㅗ" hidden="1">#REF!</definedName>
    <definedName name="ㅗㅓㅏㅗㅓㅏ" hidden="1">{#N/A,#N/A,FALSE,"운반시간"}</definedName>
    <definedName name="ㅗㅓㅏㅛㅕ" hidden="1">{#N/A,#N/A,FALSE,"골재소요량";#N/A,#N/A,FALSE,"골재소요량"}</definedName>
    <definedName name="ㅗㅓㅏㅛㅕㅏ" hidden="1">{#N/A,#N/A,FALSE,"표지목차"}</definedName>
    <definedName name="ㅗㅓㅏㅛㅕㅏㅛㅕ" hidden="1">{#N/A,#N/A,FALSE,"운반시간"}</definedName>
    <definedName name="ㅗㅓㅏㅣㅑㅣㅑ" hidden="1">{#N/A,#N/A,FALSE,"골재소요량";#N/A,#N/A,FALSE,"골재소요량"}</definedName>
    <definedName name="ㅗㅓㅏㅣㅗㅓㅏㅣ" hidden="1">{#N/A,#N/A,FALSE,"이태원철근"}</definedName>
    <definedName name="ㅗㅓㅑ새ㅗ" hidden="1">{#N/A,#N/A,FALSE,"골재소요량";#N/A,#N/A,FALSE,"골재소요량"}</definedName>
    <definedName name="ㅗㅓㅑㅏㅐㅣ" hidden="1">{#N/A,#N/A,FALSE,"단가표지"}</definedName>
    <definedName name="ㅗㅓㅑㅏㅕㅛㅑㅏㅛ" hidden="1">{#N/A,#N/A,FALSE,"표지목차"}</definedName>
    <definedName name="ㅗㅓㅑㅏㅛㅕㅑ" hidden="1">{#N/A,#N/A,FALSE,"단가표지"}</definedName>
    <definedName name="ㅗㅓㅑㅐㅕㅑㅐㅣ" hidden="1">{#N/A,#N/A,FALSE,"운반시간"}</definedName>
    <definedName name="ㅗㅓㅑㅕㅐㅣㅑ" hidden="1">{#N/A,#N/A,FALSE,"조골재"}</definedName>
    <definedName name="ㅗㅓㅑㅛ" hidden="1">{#N/A,#N/A,FALSE,"조골재"}</definedName>
    <definedName name="ㅗㅓㅓ" hidden="1">{#N/A,#N/A,FALSE,"운반시간"}</definedName>
    <definedName name="ㅗㅓㅓ쇼ㅓ" hidden="1">{#N/A,#N/A,FALSE,"단가표지"}</definedName>
    <definedName name="ㅗㅓㅓ호ㅓ" hidden="1">{#N/A,#N/A,FALSE,"2~8번"}</definedName>
    <definedName name="ㅗㅓㅓㅏㅑㅓㅛㅗ" hidden="1">{#N/A,#N/A,FALSE,"2~8번"}</definedName>
    <definedName name="ㅗㅓㅓㅏㅡ" hidden="1">{#N/A,#N/A,FALSE,"2~8번"}</definedName>
    <definedName name="ㅗㅓㅓㅑㅛㅗㅗ" hidden="1">{#N/A,#N/A,FALSE,"단가표지"}</definedName>
    <definedName name="ㅗㅓㅓㅓ" hidden="1">{#N/A,#N/A,FALSE,"단가표지"}</definedName>
    <definedName name="ㅗㅓㅓㅕ" hidden="1">{#N/A,#N/A,FALSE,"골재소요량";#N/A,#N/A,FALSE,"골재소요량"}</definedName>
    <definedName name="ㅗㅓㅓㅕㅡㅕ" hidden="1">{#N/A,#N/A,FALSE,"단가표지"}</definedName>
    <definedName name="ㅗㅓㅕㅑㅕ" hidden="1">{#N/A,#N/A,FALSE,"Sheet6"}</definedName>
    <definedName name="ㅗㅓㅗ" hidden="1">{#N/A,#N/A,FALSE,"골재소요량";#N/A,#N/A,FALSE,"골재소요량"}</definedName>
    <definedName name="ㅗㅓㅗ노ㅕㅓ" hidden="1">{#N/A,#N/A,FALSE,"조골재"}</definedName>
    <definedName name="ㅗㅓㅗㅎㅎㄴ" hidden="1">{#N/A,#N/A,FALSE,"골재소요량";#N/A,#N/A,FALSE,"골재소요량"}</definedName>
    <definedName name="ㅗㅓㅗㅓ혀" hidden="1">{#N/A,#N/A,FALSE,"단가표지"}</definedName>
    <definedName name="ㅗㅓㅗㅓㅓ"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ㅗㅓㅗㅕㅏ" hidden="1">{#N/A,#N/A,FALSE,"단가표지"}</definedName>
    <definedName name="ㅗㅓㅛㅎ" hidden="1">{#N/A,#N/A,FALSE,"Sheet6"}</definedName>
    <definedName name="ㅗㅓㅛ허ㅏ" hidden="1">{#N/A,#N/A,FALSE,"2~8번"}</definedName>
    <definedName name="ㅗㅓㅛㅑ" hidden="1">{#N/A,#N/A,FALSE,"단가표지"}</definedName>
    <definedName name="ㅗㅓㅛㅓ" hidden="1">{#N/A,#N/A,FALSE,"조골재"}</definedName>
    <definedName name="ㅗㅓㅛㅓㅎ" hidden="1">{#N/A,#N/A,FALSE,"단가표지"}</definedName>
    <definedName name="ㅗㅓㅛㅕㅏ" hidden="1">{#N/A,#N/A,FALSE,"표지목차"}</definedName>
    <definedName name="ㅗㅓㅜ" hidden="1">{#N/A,#N/A,FALSE,"단가표지"}</definedName>
    <definedName name="ㅗㅓㅜㅗ" hidden="1">{#N/A,#N/A,FALSE,"혼합골재"}</definedName>
    <definedName name="ㅗㅓㅠㅛ" hidden="1">{#N/A,#N/A,FALSE,"2~8번"}</definedName>
    <definedName name="ㅗㅓㅡㅏ" hidden="1">{#N/A,#N/A,FALSE,"단가표지"}</definedName>
    <definedName name="ㅗㅓㅣㅏㅑㅐㅣ" hidden="1">{#N/A,#N/A,FALSE,"운반시간"}</definedName>
    <definedName name="ㅗㅓㄳㅎ" hidden="1">{#N/A,#N/A,FALSE,"혼합골재"}</definedName>
    <definedName name="ㅗㅕ" hidden="1">{#N/A,#N/A,FALSE,"배수2"}</definedName>
    <definedName name="ㅗㅕ골ㄹ" hidden="1">{#N/A,#N/A,FALSE,"골재소요량";#N/A,#N/A,FALSE,"골재소요량"}</definedName>
    <definedName name="ㅗㅕ호ㅛㅕ" hidden="1">{#N/A,#N/A,FALSE,"운반시간"}</definedName>
    <definedName name="ㅗㅕㅏㅑㅕㅗ" hidden="1">{#N/A,#N/A,FALSE,"골재소요량";#N/A,#N/A,FALSE,"골재소요량"}</definedName>
    <definedName name="ㅗㅕㅏㅕㅗㅑㅐㅏㅕ" hidden="1">{#N/A,#N/A,FALSE,"조골재"}</definedName>
    <definedName name="ㅗㅕㅏㅕㅘ" hidden="1">{#N/A,#N/A,FALSE,"단가표지"}</definedName>
    <definedName name="ㅗㅕㅏㅕㅘㅕ" hidden="1">{#N/A,#N/A,FALSE,"단가표지"}</definedName>
    <definedName name="ㅗㅕㅑ" hidden="1">{#N/A,#N/A,FALSE,"단가표지"}</definedName>
    <definedName name="ㅗㅕㅑㅏㅕ" hidden="1">{#N/A,#N/A,FALSE,"단가표지"}</definedName>
    <definedName name="ㅗㅕㅑㅏㅕㅛㅑ" hidden="1">{#N/A,#N/A,FALSE,"단가표지"}</definedName>
    <definedName name="ㅗㅕㅑㅐ" hidden="1">{#N/A,#N/A,FALSE,"운반시간"}</definedName>
    <definedName name="ㅗㅕㅓ" hidden="1">{#N/A,#N/A,FALSE,"표지목차"}</definedName>
    <definedName name="ㅗㅕㅕㅑ" hidden="1">{#N/A,#N/A,FALSE,"조골재"}</definedName>
    <definedName name="ㅗㅕㅕㅑㅏ" hidden="1">{#N/A,#N/A,FALSE,"혼합골재"}</definedName>
    <definedName name="ㅗㅕㅛ8ㅕㅑㅑㅅㅎ" hidden="1">{#N/A,#N/A,FALSE,"단가표지"}</definedName>
    <definedName name="ㅗㅕㅛㅑㅏㅕㅛ" hidden="1">{#N/A,#N/A,FALSE,"혼합골재"}</definedName>
    <definedName name="ㅗㅕㅛㅕㄹ" hidden="1">{#N/A,#N/A,FALSE,"운반시간"}</definedName>
    <definedName name="ㅗㅕㅡㄹ" hidden="1">{#N/A,#N/A,FALSE,"단가표지"}</definedName>
    <definedName name="ㅗㅗ" hidden="1">{#N/A,#N/A,FALSE,"전력간선"}</definedName>
    <definedName name="ㅗㅗㄱㅎ" hidden="1">{#N/A,#N/A,FALSE,"단가표지"}</definedName>
    <definedName name="ㅗㅗ교" hidden="1">{#N/A,#N/A,FALSE,"혼합골재"}</definedName>
    <definedName name="ㅗㅗ노홓녀" hidden="1">{#N/A,#N/A,FALSE,"단가표지"}</definedName>
    <definedName name="ㅗㅗㄹ" hidden="1">#REF!</definedName>
    <definedName name="ㅗㅗㄹ혀ㅑ" hidden="1">{#N/A,#N/A,FALSE,"단가표지"}</definedName>
    <definedName name="ㅗㅗㄹㅀ" hidden="1">{#N/A,#N/A,FALSE,"표지목차"}</definedName>
    <definedName name="ㅗㅗㅅ" hidden="1">{#N/A,#N/A,FALSE,"조골재"}</definedName>
    <definedName name="ㅗㅗㅅㅀ" hidden="1">{#N/A,#N/A,FALSE,"운반시간"}</definedName>
    <definedName name="ㅗㅗ셔ㅓ" hidden="1">{#N/A,#N/A,FALSE,"단가표지"}</definedName>
    <definedName name="ㅗㅗ소" hidden="1">{#N/A,#N/A,FALSE,"조골재"}</definedName>
    <definedName name="ㅗㅗ쇼" hidden="1">{#N/A,#N/A,FALSE,"혼합골재"}</definedName>
    <definedName name="ㅗㅗㅇ쇼" hidden="1">{#N/A,#N/A,FALSE,"혼합골재"}</definedName>
    <definedName name="ㅗㅗㅎㅀㅀ">#REF!</definedName>
    <definedName name="ㅗㅗㅀ" hidden="1">{#N/A,#N/A,FALSE,"2~8번"}</definedName>
    <definedName name="ㅗㅗㅑㅏㅛ" hidden="1">{#N/A,#N/A,FALSE,"골재소요량";#N/A,#N/A,FALSE,"골재소요량"}</definedName>
    <definedName name="ㅗㅗㅑㅣ" hidden="1">{#N/A,#N/A,FALSE,"단가표지"}</definedName>
    <definedName name="ㅗㅗㅓ소ㅓ" hidden="1">{#N/A,#N/A,FALSE,"2~8번"}</definedName>
    <definedName name="ㅗㅗㅓ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ㅓㅕ" hidden="1">{#N/A,#N/A,FALSE,"혼합골재"}</definedName>
    <definedName name="ㅗㅗㅕㅏ" hidden="1">{#N/A,#N/A,FALSE,"운반시간"}</definedName>
    <definedName name="ㅗㅗㅕㅕㅑ" hidden="1">{#N/A,#N/A,FALSE,"단가표지"}</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소ㅅ">#REF!</definedName>
    <definedName name="ㅗㅗㅗㅓㅏ" hidden="1">{#N/A,#N/A,FALSE,"포장2"}</definedName>
    <definedName name="ㅗㅗㅗㅗ" hidden="1">#REF!</definedName>
    <definedName name="ㅗㅗ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ㅗㅗㅗ" hidden="1">{#N/A,#N/A,FALSE,"이태원철근"}</definedName>
    <definedName name="ㅗㅗㅛ" hidden="1">{#N/A,#N/A,FALSE,"단가표지"}</definedName>
    <definedName name="ㅗㅗㅛㄹ" hidden="1">{#N/A,#N/A,FALSE,"단가표지"}</definedName>
    <definedName name="ㅗㅘ" hidden="1">{#N/A,#N/A,FALSE,"2~8번"}</definedName>
    <definedName name="ㅗㅛ서ㅛㅕ">#REF!</definedName>
    <definedName name="ㅗㅛ소ㅛ" hidden="1">{#N/A,#N/A,FALSE,"단가표지"}</definedName>
    <definedName name="ㅗㅛㅑㅑㅛ" hidden="1">{#N/A,#N/A,FALSE,"2~8번"}</definedName>
    <definedName name="ㅗㅛㅗㅓㄳ" hidden="1">{#N/A,#N/A,FALSE,"단가표지"}</definedName>
    <definedName name="ㅗㅛㅛ" hidden="1">{#N/A,#N/A,FALSE,"표지목차"}</definedName>
    <definedName name="ㅗㅜㅅ호쇼" hidden="1">{#N/A,#N/A,FALSE,"표지목차"}</definedName>
    <definedName name="ㅗㅜ쇼ㅗㅓ" hidden="1">{#N/A,#N/A,FALSE,"운반시간"}</definedName>
    <definedName name="ㅗㅜ으ㅗ롷" hidden="1">{#N/A,#N/A,FALSE,"혼합골재"}</definedName>
    <definedName name="ㅗㅜㅎ넝" hidden="1">{#N/A,#N/A,FALSE,"운반시간"}</definedName>
    <definedName name="ㅗㅜㅏㅕㅗ" hidden="1">{#N/A,#N/A,FALSE,"2~8번"}</definedName>
    <definedName name="ㅗㅜㅏㅗ" hidden="1">{#N/A,#N/A,FALSE,"혼합골재"}</definedName>
    <definedName name="ㅗㅜㅠㅎㄹ" hidden="1">{#N/A,#N/A,FALSE,"운반시간"}</definedName>
    <definedName name="ㅗㅠㄱㅈ" hidden="1">{#N/A,#N/A,FALSE,"이태원철근"}</definedName>
    <definedName name="ㅗㅠㅅ" hidden="1">{#N/A,#N/A,FALSE,"골재소요량";#N/A,#N/A,FALSE,"골재소요량"}</definedName>
    <definedName name="ㅗㅠㅅ골" hidden="1">{#N/A,#N/A,FALSE,"조골재"}</definedName>
    <definedName name="ㅗㅠ솔" hidden="1">{#N/A,#N/A,FALSE,"혼합골재"}</definedName>
    <definedName name="ㅗㅠ솟" hidden="1">{#N/A,#N/A,FALSE,"운반시간"}</definedName>
    <definedName name="ㅗㅠㅍ" hidden="1">{#N/A,#N/A,FALSE,"혼합골재"}</definedName>
    <definedName name="ㅗㅠㅎㄹ">#REF!</definedName>
    <definedName name="ㅗㅠㅓㅏㅕㅛ" hidden="1">{#N/A,#N/A,FALSE,"단가표지"}</definedName>
    <definedName name="ㅗㅠㅡ오" hidden="1">{#N/A,#N/A,FALSE,"운반시간"}</definedName>
    <definedName name="ㅗㅡㅓㅗㅛ" hidden="1">{#N/A,#N/A,FALSE,"단가표지"}</definedName>
    <definedName name="ㅗㄳ" hidden="1">{#N/A,#N/A,FALSE,"이태원철근"}</definedName>
    <definedName name="ㅗㄳㄱ" hidden="1">{#N/A,#N/A,FALSE,"단가표지"}</definedName>
    <definedName name="ㅗㄳㅅㄱ" hidden="1">{#N/A,#N/A,FALSE,"운반시간"}</definedName>
    <definedName name="ㅗㄶㄴ쇼헎노ㅓ" hidden="1">{#N/A,#N/A,FALSE,"혼합골재"}</definedName>
    <definedName name="ㅘ" hidden="1">{"'Sheet1'!$L$16"}</definedName>
    <definedName name="ㅘ여ㅛ타숀ㅡㅜㅊ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ㅍㅎㅀ" hidden="1">{#N/A,#N/A,FALSE,"골재소요량";#N/A,#N/A,FALSE,"골재소요량"}</definedName>
    <definedName name="ㅘㅎㅇ뇰ㅇㄴ" hidden="1">{#N/A,#N/A,FALSE,"조골재"}</definedName>
    <definedName name="ㅘㅏㅏㅓㄴㅇㅁ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ㅏㅏㅓ허" hidden="1">#REF!</definedName>
    <definedName name="ㅘㅑㅐㅛ" hidden="1">{#N/A,#N/A,FALSE,"조골재"}</definedName>
    <definedName name="ㅘㅓ" hidden="1">{#N/A,#N/A,FALSE,"운반시간"}</definedName>
    <definedName name="ㅘㅓㅗㅓㅇㅀㄹㅇㅁ" hidden="1">{#N/A,#N/A,FALSE,"골재소요량";#N/A,#N/A,FALSE,"골재소요량"}</definedName>
    <definedName name="ㅘㅓㅗㅕㅑㅓㅏ혈호ㅓㄹ" hidden="1">{#N/A,#N/A,FALSE,"2~8번"}</definedName>
    <definedName name="ㅘㅓㅗㅛㅐ" hidden="1">{#N/A,#N/A,FALSE,"단가표지"}</definedName>
    <definedName name="ㅘㅓㅛㅑㅛ" hidden="1">{#N/A,#N/A,FALSE,"골재소요량";#N/A,#N/A,FALSE,"골재소요량"}</definedName>
    <definedName name="ㅘㅕ" hidden="1">{#N/A,#N/A,FALSE,"조골재"}</definedName>
    <definedName name="ㅘㅕㅏㅕㅛ" hidden="1">{#N/A,#N/A,FALSE,"조골재"}</definedName>
    <definedName name="ㅘㅕㅑ" hidden="1">{#N/A,#N/A,FALSE,"단가표지"}</definedName>
    <definedName name="ㅘㅕㅗ" hidden="1">{#N/A,#N/A,FALSE,"골재소요량";#N/A,#N/A,FALSE,"골재소요량"}</definedName>
    <definedName name="ㅘㅕㅗㅑㅏㅕ" hidden="1">{#N/A,#N/A,FALSE,"단가표지"}</definedName>
    <definedName name="ㅘㅕㅛㅏㅕㅗ" hidden="1">{#N/A,#N/A,FALSE,"단가표지"}</definedName>
    <definedName name="ㅘㅕㅛㅑ" hidden="1">{#N/A,#N/A,FALSE,"운반시간"}</definedName>
    <definedName name="ㅘㅗ허ㅎ" hidden="1">#REF!</definedName>
    <definedName name="ㅘㅗㅓㅏ" hidden="1">{#N/A,#N/A,FALSE,"조골재"}</definedName>
    <definedName name="ㅘㅘㅑ" hidden="1">{#N/A,#N/A,FALSE,"표지목차"}</definedName>
    <definedName name="ㅘㅛㅕ" hidden="1">{#N/A,#N/A,FALSE,"운반시간"}</definedName>
    <definedName name="ㅘㅛㅕㅏ" hidden="1">{#N/A,#N/A,FALSE,"혼합골재"}</definedName>
    <definedName name="ㅘㅣㅏㅓㅔㅛ" hidden="1">{#N/A,#N/A,FALSE,"운반시간"}</definedName>
    <definedName name="ㅘㅣㅑㅐㅣ" hidden="1">{#N/A,#N/A,FALSE,"단가표지"}</definedName>
    <definedName name="ㅘㅣㅗ하ㅓㅣ호" hidden="1">#REF!</definedName>
    <definedName name="ㅚㅏㅗ" hidden="1">{#N/A,#N/A,FALSE,"손익표지";#N/A,#N/A,FALSE,"손익계산";#N/A,#N/A,FALSE,"일반관리비";#N/A,#N/A,FALSE,"영업외수익";#N/A,#N/A,FALSE,"영업외비용";#N/A,#N/A,FALSE,"매출액";#N/A,#N/A,FALSE,"요약손익";#N/A,#N/A,FALSE,"요약대차";#N/A,#N/A,FALSE,"매출채권현황";#N/A,#N/A,FALSE,"매출채권명세"}</definedName>
    <definedName name="ㅚㅏㅛㅑㅓ" hidden="1">{#N/A,#N/A,FALSE,"단가표지"}</definedName>
    <definedName name="ㅛ" hidden="1">{#N/A,#N/A,TRUE,"토적및재료집계";#N/A,#N/A,TRUE,"토적및재료집계";#N/A,#N/A,TRUE,"단위량"}</definedName>
    <definedName name="ㅛ_1" hidden="1">{#N/A,#N/A,FALSE,"이태원철근"}</definedName>
    <definedName name="ㅛ_2" hidden="1">{#N/A,#N/A,FALSE,"이태원철근"}</definedName>
    <definedName name="ㅛ_3" hidden="1">{#N/A,#N/A,FALSE,"이태원철근"}</definedName>
    <definedName name="ㅛ_4" hidden="1">{#N/A,#N/A,FALSE,"이태원철근"}</definedName>
    <definedName name="ㅛㄱ5ㅗㅁ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겨ㅐ갸ㅛㅐ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ㄷㄱㄴ고">#REF!</definedName>
    <definedName name="ㅛ덛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뎌ㅐ됴ㅐㅕ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ㄹ걷5ㅛㅎㅅㄱ5" hidden="1">{#N/A,#N/A,FALSE,"생산성";#N/A,#N/A,FALSE,"인력1";#N/A,#N/A,FALSE,"인력2";#N/A,#N/A,FALSE,"인력3";#N/A,#N/A,FALSE,"인건1";#N/A,#N/A,FALSE,"인건2";#N/A,#N/A,FALSE,"인건3";#N/A,#N/A,FALSE,"인원증감";#N/A,#N/A,FALSE,"인건증감";#N/A,#N/A,FALSE,"표지등"}</definedName>
    <definedName name="ㅛㄹ횩" hidden="1">{#N/A,#N/A,FALSE,"운반시간"}</definedName>
    <definedName name="ㅛㅅ" hidden="1">{#N/A,#N/A,FALSE,"속도"}</definedName>
    <definedName name="ㅛㅅ굑쇼">#REF!</definedName>
    <definedName name="ㅛㅅ굑쇿">#REF!</definedName>
    <definedName name="ㅛㅅㅅ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셔됴ㅕ" hidden="1">{#N/A,#N/A,FALSE,"운반시간"}</definedName>
    <definedName name="ㅛ셔쇼려ㅛ셔" hidden="1">{#N/A,#N/A,FALSE,"이태원철근"}</definedName>
    <definedName name="ㅛ셔쇼ㅕ" hidden="1">{#N/A,#N/A,FALSE,"Sheet6"}</definedName>
    <definedName name="ㅛ셔으ㅜㅅ구" hidden="1">{#N/A,#N/A,FALSE,"2~8번"}</definedName>
    <definedName name="ㅛ셔ㅛ셔ㅛ쇼ㅕ" hidden="1">{#N/A,#N/A,FALSE,"이태원철근"}</definedName>
    <definedName name="ㅛ소ㅓ" hidden="1">{#N/A,#N/A,FALSE,"운반시간"}</definedName>
    <definedName name="ㅛㅇ수ㅜㅛㅅㅇ" hidden="1">{#N/A,#N/A,FALSE,"2~8번"}</definedName>
    <definedName name="ㅛㅈ거ㅏ쇼ㅏ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ㅈㅅ" hidden="1">{#N/A,#N/A,FALSE,"골재소요량";#N/A,#N/A,FALSE,"골재소요량"}</definedName>
    <definedName name="ㅛㅈ섲ㄷㅅ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ㅎ룛">#REF!</definedName>
    <definedName name="ㅛ허ㅛㅅ허ㅏ" hidden="1">{#N/A,#N/A,FALSE,"단가표지"}</definedName>
    <definedName name="ㅛ혀쇼ㅕㅓ" hidden="1">{#N/A,#N/A,FALSE,"단가표지"}</definedName>
    <definedName name="ㅛ혀ㅜㄹ" hidden="1">{#N/A,#N/A,FALSE,"단가표지"}</definedName>
    <definedName name="ㅛ호죰34">#REF!</definedName>
    <definedName name="ㅛ호ㅓ호ㅛ" hidden="1">{#N/A,#N/A,FALSE,"골재소요량";#N/A,#N/A,FALSE,"골재소요량"}</definedName>
    <definedName name="ㅛ호ㅗㅕㅕ스" hidden="1">{#N/A,#N/A,FALSE,"골재소요량";#N/A,#N/A,FALSE,"골재소요량"}</definedName>
    <definedName name="ㅛ후료ㅕㅡ" hidden="1">{#N/A,#N/A,FALSE,"운반시간"}</definedName>
    <definedName name="ㅛㅏ" hidden="1">{#N/A,#N/A,FALSE,"단가표지"}</definedName>
    <definedName name="ㅛㅏㄹㅀ어" hidden="1">{#N/A,#N/A,FALSE,"단가표지"}</definedName>
    <definedName name="ㅛㅏ려오" hidden="1">{#N/A,#N/A,FALSE,"단가표지"}</definedName>
    <definedName name="ㅛㅏㅑ셔ㅏㅣ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ㅏㅓㄹ" hidden="1">{#N/A,#N/A,FALSE,"운반시간"}</definedName>
    <definedName name="ㅛㅏㅓㅛ" hidden="1">{#N/A,#N/A,FALSE,"단가표지"}</definedName>
    <definedName name="ㅛㅏㅛㅏㅗ" hidden="1">{#N/A,#N/A,FALSE,"단가표지"}</definedName>
    <definedName name="ㅛㅐ샤" hidden="1">{#N/A,#N/A,FALSE,"골재소요량";#N/A,#N/A,FALSE,"골재소요량"}</definedName>
    <definedName name="ㅛㅑ67" hidden="1">{#N/A,#N/A,FALSE,"배수2"}</definedName>
    <definedName name="ㅛㅑㅅ샫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ㅐ" hidden="1">{#N/A,#N/A,FALSE,"구조1"}</definedName>
    <definedName name="ㅛㅑㅐ교ㅐ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ㅕ" hidden="1">{#N/A,#N/A,FALSE,"단가표지"}</definedName>
    <definedName name="ㅛ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ㄴㄱ5" hidden="1">{#N/A,#N/A,FALSE,"단가표지"}</definedName>
    <definedName name="ㅛㅓ샤ㅏㅕ교ㅑ" hidden="1">{#N/A,#N/A,FALSE,"운반시간"}</definedName>
    <definedName name="ㅛㅓ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쇼" hidden="1">{#N/A,#N/A,FALSE,"Sheet6"}</definedName>
    <definedName name="ㅛㅓ숄" localSheetId="0">BlankMacro1</definedName>
    <definedName name="ㅛㅓ숄">BlankMacro1</definedName>
    <definedName name="ㅛㅓㅓ" hidden="1">{#N/A,#N/A,FALSE,"단가표지"}</definedName>
    <definedName name="ㅛㅓㅓㅛㅛㅓㅛㅓ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ㄷ사ㅓ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서" hidden="1">{#N/A,#N/A,FALSE,"운반시간"}</definedName>
    <definedName name="ㅛㅓㅛㅈ서ㅏ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ㅗㅓ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ㅡㅏ" hidden="1">{#N/A,#N/A,FALSE,"혼합골재"}</definedName>
    <definedName name="ㅛㅓㅡㅕㅛㅛ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6죧죠" hidden="1">{#N/A,#N/A,FALSE,"혼합골재"}</definedName>
    <definedName name="ㅛㅕ7ㄱ쇼" hidden="1">{#N/A,#N/A,FALSE,"표지목차"}</definedName>
    <definedName name="ㅛㅕㄷ8ㅕ3ㅛㅈㄷ" hidden="1">{#N/A,#N/A,FALSE,"2~8번"}</definedName>
    <definedName name="ㅛㅕㄷㅅ" hidden="1">{#N/A,#N/A,FALSE,"2~8번"}</definedName>
    <definedName name="ㅛㅕ뎌ㅛㄷ숃" hidden="1">{#N/A,#N/A,FALSE,"단가표지"}</definedName>
    <definedName name="ㅛㅕ하ㅓ" hidden="1">{#N/A,#N/A,FALSE,"포장2"}</definedName>
    <definedName name="ㅛ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 hidden="1">#REF!</definedName>
    <definedName name="ㅛㅕㅑㄹ서" hidden="1">{#N/A,#N/A,FALSE,"2~8번"}</definedName>
    <definedName name="ㅛㅕㅑㅏ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ㅕㅑㅓ" hidden="1">{#N/A,#N/A,FALSE,"표지목차"}</definedName>
    <definedName name="ㅛㅕㅕㅑㅛㅑ" hidden="1">{#N/A,#N/A,FALSE,"조골재"}</definedName>
    <definedName name="ㅛㅕㅕㅕ">#N/A</definedName>
    <definedName name="ㅛㅕㅗ쇼ㅡ" hidden="1">{#N/A,#N/A,FALSE,"조골재"}</definedName>
    <definedName name="ㅛㅕㅛㅓㅡ" hidden="1">{#N/A,#N/A,FALSE,"운반시간"}</definedName>
    <definedName name="ㅛㅕㅛㅕ" hidden="1">#REF!</definedName>
    <definedName name="ㅛㅕㅛㅠㅜㅛ" hidden="1">{#N/A,#N/A,FALSE,"조골재"}</definedName>
    <definedName name="ㅛㅕㅜ" hidden="1">{#N/A,#N/A,FALSE,"운반시간"}</definedName>
    <definedName name="ㅛㅕㅠㅕ르" hidden="1">{#N/A,#N/A,FALSE,"운반시간"}</definedName>
    <definedName name="ㅛ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ㅗㄱ" hidden="1">{#N/A,#N/A,FALSE,"단가표지"}</definedName>
    <definedName name="ㅛㅗㅅㄱ">#N/A</definedName>
    <definedName name="ㅛㅗㅑㅕㅑ" hidden="1">{#N/A,#N/A,FALSE,"혼합골재"}</definedName>
    <definedName name="ㅛㅗ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ㅗㅓㅛㅕ" hidden="1">{#N/A,#N/A,FALSE,"조골재"}</definedName>
    <definedName name="ㅛㅛ" hidden="1">{"'용역비'!$A$4:$C$8"}</definedName>
    <definedName name="ㅛㅛㅂㄱㅛㅛㄷ뵤">#N/A</definedName>
    <definedName name="ㅛㅛㅕㅓㅑㅛ" hidden="1">{#N/A,#N/A,FALSE,"2~8번"}</definedName>
    <definedName name="ㅛㅛ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_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ㅛ" hidden="1">#REF!</definedName>
    <definedName name="ㅛㅛㅛㅛㅛ"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ㅛㅛㅛ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ㅛㅛㅛㅛ" hidden="1">{#N/A,#N/A,FALSE,"CCTV"}</definedName>
    <definedName name="ㅛㅜ" hidden="1">{#N/A,#N/A,FALSE,"단가표지"}</definedName>
    <definedName name="ㅛㅜㅕㅓㄹ" hidden="1">{#N/A,#N/A,FALSE,"골재소요량";#N/A,#N/A,FALSE,"골재소요량"}</definedName>
    <definedName name="ㅛㅝㅛ" hidden="1">{#N/A,#N/A,FALSE,"조골재"}</definedName>
    <definedName name="ㅛㅠㅗㄱ셔ㅛ" hidden="1">{#N/A,#N/A,FALSE,"조골재"}</definedName>
    <definedName name="ㅜ" hidden="1">{#N/A,#N/A,FALSE,"조골재"}</definedName>
    <definedName name="ㅜ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1">#REF!</definedName>
    <definedName name="ㅜ274">#REF!</definedName>
    <definedName name="ㅜㄴ" hidden="1">{#N/A,#N/A,FALSE,"운반시간"}</definedName>
    <definedName name="ㅜㄴㄱ" hidden="1">{#N/A,#N/A,FALSE,"운반시간"}</definedName>
    <definedName name="ㅜ농">#REF!</definedName>
    <definedName name="ㅜㄷ주믇" hidden="1">{#N/A,#N/A,FALSE,"CCTV"}</definedName>
    <definedName name="ㅜㄹ윤" hidden="1">{#N/A,#N/A,FALSE,"단가표지"}</definedName>
    <definedName name="ㅜㄹ툐ㅗㄹ" hidden="1">{#N/A,#N/A,FALSE,"단가표지"}</definedName>
    <definedName name="ㅜㅂㅂㅂㅂㅂㅂ" hidden="1">{#N/A,#N/A,FALSE,"이태원철근"}</definedName>
    <definedName name="ㅜㅂㅂㅂㅂㅂㅂㅂㅂㅂㅂㅂ" hidden="1">{#N/A,#N/A,FALSE,"이태원철근"}</definedName>
    <definedName name="ㅜㅅㄴ" hidden="1">#REF!</definedName>
    <definedName name="ㅜㅅㅎㄹㅇ" hidden="1">{#N/A,#N/A,FALSE,"이태원철근"}</definedName>
    <definedName name="ㅜ소ㅓ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쇼ㅗㅅ" hidden="1">{#N/A,#N/A,FALSE,"골재소요량";#N/A,#N/A,FALSE,"골재소요량"}</definedName>
    <definedName name="ㅜ여숫유" hidden="1">{#N/A,#N/A,FALSE,"운반시간"}</definedName>
    <definedName name="ㅜ웊추통" hidden="1">{#N/A,#N/A,FALSE,"표지목차"}</definedName>
    <definedName name="ㅜㅊㅍ" hidden="1">{#N/A,#N/A,FALSE,"표지목차"}</definedName>
    <definedName name="ㅜㅋㅊㅍ" hidden="1">{#N/A,#N/A,FALSE,"조골재"}</definedName>
    <definedName name="ㅜ톻ㄴ롷ㄹ옹" hidden="1">{#N/A,#N/A,FALSE,"운반시간"}</definedName>
    <definedName name="ㅜ튜">#REF!</definedName>
    <definedName name="ㅜㅍ우퉅ㅎㄹ호ㅓㅎ" hidden="1">{#N/A,#N/A,FALSE,"단가표지"}</definedName>
    <definedName name="ㅜㅍ추투노" hidden="1">{#N/A,#N/A,FALSE,"2~8번"}</definedName>
    <definedName name="ㅜㅍ추튴" hidden="1">{#N/A,#N/A,FALSE,"단가표지"}</definedName>
    <definedName name="ㅜㅍ추ㅠ" hidden="1">{#N/A,#N/A,FALSE,"혼합골재"}</definedName>
    <definedName name="ㅜㅍ츄ㅜㅠㅍ춫ㅍ" hidden="1">{#N/A,#N/A,FALSE,"이태원철근"}</definedName>
    <definedName name="ㅜㅎㄴ" hidden="1">{#N/A,#N/A,FALSE,"골재소요량";#N/A,#N/A,FALSE,"골재소요량"}</definedName>
    <definedName name="ㅜㅎㄹ" hidden="1">{#N/A,#N/A,FALSE,"부대2"}</definedName>
    <definedName name="ㅜㅎㄹㄴ" hidden="1">#REF!</definedName>
    <definedName name="ㅜㅎ루ㅏㅣ륗ㄴ" hidden="1">{#N/A,#N/A,FALSE,"골재소요량";#N/A,#N/A,FALSE,"골재소요량"}</definedName>
    <definedName name="ㅜㅎ리윟ㄹ이" hidden="1">{#N/A,#N/A,FALSE,"조골재"}</definedName>
    <definedName name="ㅜㅎㅅㄱㄴ" hidden="1">{#N/A,#N/A,FALSE,"단가표지"}</definedName>
    <definedName name="ㅜㅎㅊㅍ" hidden="1">{#N/A,#N/A,FALSE,"단가표지"}</definedName>
    <definedName name="ㅜ하" hidden="1">{#N/A,#N/A,FALSE,"골재소요량";#N/A,#N/A,FALSE,"골재소요량"}</definedName>
    <definedName name="ㅜ호" hidden="1">{#N/A,#N/A,FALSE,"단가표지"}</definedName>
    <definedName name="ㅜ호ㅓㅎ" hidden="1">{#N/A,#N/A,FALSE,"표지목차"}</definedName>
    <definedName name="ㅜ후ㅗㅜㅗ" hidden="1">{#N/A,#N/A,FALSE,"단가표지"}</definedName>
    <definedName name="ㅜㅀㄴㅇ" hidden="1">{#N/A,#N/A,FALSE,"이태원철근"}</definedName>
    <definedName name="ㅜㅀ눌춫ㅊㅌ" hidden="1">{#N/A,#N/A,FALSE,"단가표지"}</definedName>
    <definedName name="ㅜㅏ" hidden="1">{#N/A,#N/A,TRUE,"총괄"}</definedName>
    <definedName name="ㅜㅏㅗㅓㅏ" hidden="1">{#N/A,#N/A,FALSE,"2~8번"}</definedName>
    <definedName name="ㅜㅏㅣ" hidden="1">{#N/A,#N/A,FALSE,"단가표지"}</definedName>
    <definedName name="ㅜㅐㅛㅘㅓㅛ" hidden="1">{#N/A,#N/A,FALSE,"단가표지"}</definedName>
    <definedName name="ㅜㅐㅣㅑㅎ" hidden="1">{#N/A,#N/A,FALSE,"단가표지"}</definedName>
    <definedName name="ㅜㅕ르" hidden="1">{#N/A,#N/A,FALSE,"단가표지"}</definedName>
    <definedName name="ㅜㅕㅏ" hidden="1">{#N/A,#N/A,FALSE,"포장1";#N/A,#N/A,FALSE,"포장1"}</definedName>
    <definedName name="ㅜㅕㅓ럏ㄱ" hidden="1">{#N/A,#N/A,FALSE,"단가표지"}</definedName>
    <definedName name="ㅜㅕㅛㅑㅡ" hidden="1">{#N/A,#N/A,FALSE,"2~8번"}</definedName>
    <definedName name="ㅜㅗ" hidden="1">{#N/A,#N/A,FALSE,"이정표"}</definedName>
    <definedName name="ㅜㅗㅇㅎㅌ" hidden="1">{#N/A,#N/A,FALSE,"단가표지"}</definedName>
    <definedName name="ㅜㅗㅇ훟" hidden="1">{#N/A,#N/A,FALSE,"단가표지"}</definedName>
    <definedName name="ㅜㅗㅗㅗㅇㅎ" hidden="1">{#N/A,#N/A,FALSE,"운반시간"}</definedName>
    <definedName name="ㅜㅘㅕㅑ" hidden="1">{#N/A,#N/A,FALSE,"단가표지"}</definedName>
    <definedName name="ㅜㅘㅣㅓ"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ㅜㅛㅗㅅ" hidden="1">{#N/A,#N/A,FALSE,"단가표지"}</definedName>
    <definedName name="ㅜㅛㅜㅗ" hidden="1">{#N/A,#N/A,FALSE,"단가표지"}</definedName>
    <definedName name="ㅜㅜ" hidden="1">{#N/A,#N/A,FALSE,"현장 NCR 분석";#N/A,#N/A,FALSE,"현장품질감사";#N/A,#N/A,FALSE,"현장품질감사"}</definedName>
    <definedName name="ㅜㅜㅋㅎㅋ" hidden="1">{#N/A,#N/A,FALSE,"2~8번"}</definedName>
    <definedName name="ㅜㅜㅜ" hidden="1">{#N/A,#N/A,FALSE,"기안지";#N/A,#N/A,FALSE,"통신지"}</definedName>
    <definedName name="ㅜㅜㅜ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ㅜㅜㅜㅜㄹㅇㄴ"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ㅜㅜㅜㅜ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ㅜㅜㅜㅜㅜㅜㅜㅜ" hidden="1">#REF!</definedName>
    <definedName name="ㅜㅜㅜㅜㅜㅜㅜㅜㅜㅜㅜㅜㅜㅜㅜㅜㅜㅜㅜㅜㅜㅜㅜㅜㅜㅜㅜㅜㅜㅜㅜㅜㅜㅜㅜㅜㅜㅜㅜㅜㅜㅜ" hidden="1">{#N/A,#N/A,FALSE,"CCTV"}</definedName>
    <definedName name="ㅜㅜㅠㅜㅜㅠㅗㅎ호" hidden="1">{#N/A,#N/A,FALSE,"2~8번"}</definedName>
    <definedName name="ㅜㅠ" hidden="1">{#N/A,#N/A,FALSE,"토공2"}</definedName>
    <definedName name="ㅜㅠㄹ위ㅠㅡㅇㄴ" hidden="1">{#N/A,#N/A,FALSE,"단가표지"}</definedName>
    <definedName name="ㅜㅠ륳ㄹ" hidden="1">{#N/A,#N/A,FALSE,"2~8번"}</definedName>
    <definedName name="ㅜㅠㅁㄹㅇ" hidden="1">#REF!</definedName>
    <definedName name="ㅜㅠㅇㄹㄴㅇㄴ" hidden="1">{#N/A,#N/A,FALSE,"단가표지"}</definedName>
    <definedName name="ㅜㅠㅍ" hidden="1">{#N/A,#N/A,FALSE,"전력간선"}</definedName>
    <definedName name="ㅜㅠ푸" hidden="1">{#N/A,#N/A,FALSE,"운반시간"}</definedName>
    <definedName name="ㅜㅠㅐㅣㅑ" hidden="1">{#N/A,#N/A,FALSE,"조골재"}</definedName>
    <definedName name="ㅜㅠㅓ.허">#REF!</definedName>
    <definedName name="ㅜㅠㅜㅠㅠㅜㅀ" hidden="1">{#N/A,#N/A,FALSE,"골재소요량";#N/A,#N/A,FALSE,"골재소요량"}</definedName>
    <definedName name="ㅜㅠㅠ" hidden="1">{#N/A,#N/A,FALSE,"골재소요량";#N/A,#N/A,FALSE,"골재소요량"}</definedName>
    <definedName name="ㅜㅠㅠㅜ" hidden="1">{#N/A,#N/A,FALSE,"단가표지"}</definedName>
    <definedName name="ㅜㅡ샤" hidden="1">{#N/A,#N/A,FALSE,"골재소요량";#N/A,#N/A,FALSE,"골재소요량"}</definedName>
    <definedName name="ㅜㅡㅜㅡㅜㅡ" hidden="1">#REF!</definedName>
    <definedName name="ㅜ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n">#REF!</definedName>
    <definedName name="ㅝㅎㄹ" hidden="1">{#N/A,#N/A,FALSE,"단가표지"}</definedName>
    <definedName name="ㅝㅎㄹ촉ㅇ" hidden="1">{#N/A,#N/A,FALSE,"조골재"}</definedName>
    <definedName name="ㅝㅏㅑㅐㅣㅕㅑ" hidden="1">{#N/A,#N/A,FALSE,"단가표지"}</definedName>
    <definedName name="ㅝㅗ" hidden="1">{#N/A,#N/A,FALSE,"조골재"}</definedName>
    <definedName name="ㅝㅗ허">#REF!</definedName>
    <definedName name="ㅝㅘㅕㅕㅘ" hidden="1">{#N/A,#N/A,FALSE,"조골재"}</definedName>
    <definedName name="ㅝ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ㅝㅠㅎ" hidden="1">{#N/A,#N/A,FALSE,"표지목차"}</definedName>
    <definedName name="ㅝㅠㅝ" hidden="1">{#N/A,#N/A,FALSE,"단가표지"}</definedName>
    <definedName name="ㅠ">#REF!</definedName>
    <definedName name="ㅠ_1" hidden="1">{#N/A,#N/A,FALSE,"이태원철근"}</definedName>
    <definedName name="ㅠ_2" hidden="1">{#N/A,#N/A,FALSE,"이태원철근"}</definedName>
    <definedName name="ㅠ_3" hidden="1">{#N/A,#N/A,FALSE,"이태원철근"}</definedName>
    <definedName name="ㅠ_4" hidden="1">{#N/A,#N/A,FALSE,"이태원철근"}</definedName>
    <definedName name="ㅠ1">#REF!</definedName>
    <definedName name="ㅠ109">#REF!</definedName>
    <definedName name="ㅠ1090">#REF!</definedName>
    <definedName name="ㅠ12">#REF!</definedName>
    <definedName name="ㅠ121">#REF!</definedName>
    <definedName name="ㅠ131">#REF!</definedName>
    <definedName name="ㅠ1772">#REF!</definedName>
    <definedName name="ㅠ238">#N/A</definedName>
    <definedName name="ㅠㄱ">{"'용역비'!$A$4:$C$8"}</definedName>
    <definedName name="ㅠㄱ소슈" hidden="1">{#N/A,#N/A,FALSE,"골재소요량";#N/A,#N/A,FALSE,"골재소요량"}</definedName>
    <definedName name="ㅠㄴ" hidden="1">{#N/A,#N/A,FALSE,"조골재"}</definedName>
    <definedName name="ㅠㄴㅅㄷㅅㄴㅅ" hidden="1">{#N/A,#N/A,FALSE,"교리2"}</definedName>
    <definedName name="ㅠㄴㅀㅎ" hidden="1">#REF!</definedName>
    <definedName name="ㅠㄷ" hidden="1">{#N/A,#N/A,FALSE,"이태원철근"}</definedName>
    <definedName name="ㅠㄹ" hidden="1">{#N/A,#N/A,FALSE,"전력간선"}</definedName>
    <definedName name="ㅠㄹㄴ" hidden="1">{#N/A,#N/A,FALSE,"이태원철근"}</definedName>
    <definedName name="ㅠㄹㅇㄴㄴㄹㅇ" hidden="1">{#N/A,#N/A,FALSE,"단가표지"}</definedName>
    <definedName name="ㅠㄹㅈㅈ" hidden="1">{#N/A,#N/A,FALSE,"이태원철근"}</definedName>
    <definedName name="ㅠㄹ하유ㅏ" hidden="1">{#N/A,#N/A,FALSE,"골재소요량";#N/A,#N/A,FALSE,"골재소요량"}</definedName>
    <definedName name="ㅠㄹ휴" hidden="1">{#N/A,#N/A,FALSE,"운반시간"}</definedName>
    <definedName name="ㅠㄹ흏" hidden="1">{#N/A,#N/A,FALSE,"골재소요량";#N/A,#N/A,FALSE,"골재소요량"}</definedName>
    <definedName name="ㅠㄹ히ㅗㅓㅣㅇㄴ" hidden="1">{#N/A,#N/A,FALSE,"단가표지"}</definedName>
    <definedName name="ㅠ러ㅏㅇ뉴ㅏㅣ" hidden="1">{#N/A,#N/A,FALSE,"단가표지"}</definedName>
    <definedName name="ㅠㄹㅠㅠ">#REF!</definedName>
    <definedName name="ㅠ륧" hidden="1">{#N/A,#N/A,FALSE,"운반시간"}</definedName>
    <definedName name="ㅠ륳ㄹ">#REF!</definedName>
    <definedName name="ㅠㅁㄹㅇㄹ" hidden="1">#REF!</definedName>
    <definedName name="ㅠ뮤ㅐ" hidden="1">#REF!</definedName>
    <definedName name="ㅠㅂㄷ" hidden="1">{#N/A,#N/A,FALSE,"이태원철근"}</definedName>
    <definedName name="ㅠㅅㄱ4" hidden="1">{#N/A,#N/A,FALSE,"골재소요량";#N/A,#N/A,FALSE,"골재소요량"}</definedName>
    <definedName name="ㅠㅅㄱㅀ" hidden="1">{#N/A,#N/A,FALSE,"혼합골재"}</definedName>
    <definedName name="ㅠㅅ롯고" hidden="1">{#N/A,#N/A,FALSE,"골재소요량";#N/A,#N/A,FALSE,"골재소요량"}</definedName>
    <definedName name="ㅠ소ㅗ" hidden="1">{#N/A,#N/A,FALSE,"골재소요량";#N/A,#N/A,FALSE,"골재소요량"}</definedName>
    <definedName name="ㅠ솛" hidden="1">{#N/A,#N/A,FALSE,"골재소요량";#N/A,#N/A,FALSE,"골재소요량"}</definedName>
    <definedName name="ㅠ쇼ㅗ" hidden="1">{#N/A,#N/A,FALSE,"표지목차"}</definedName>
    <definedName name="ㅠ숑ㄱ쇼ㅠㅠㅅ" hidden="1">{#N/A,#N/A,FALSE,"단가표지"}</definedName>
    <definedName name="ㅠㅇㄴㅅㄴㄷㄳㄴㄷㄳ435" hidden="1">{"'공사부문'!$A$6:$A$32"}</definedName>
    <definedName name="ㅠㅇㄹㅈ" hidden="1">{#N/A,#N/A,FALSE,"이태원철근"}</definedName>
    <definedName name="ㅠㅇ로유호ㅠㅇㄹ훓" hidden="1">#REF!</definedName>
    <definedName name="ㅠㅇㅁㄹㅇㅁ" hidden="1">#REF!</definedName>
    <definedName name="ㅠㅇㅎㄹ" hidden="1">#REF!</definedName>
    <definedName name="ㅠㅇㅀㄱ" hidden="1">{#N/A,#N/A,FALSE,"2~8번"}</definedName>
    <definedName name="ㅠㅊㄹ퓰ㅇ퓨" hidden="1">{#N/A,#N/A,FALSE,"조골재"}</definedName>
    <definedName name="ㅠㅊㅌ퓿ㅌ" hidden="1">{#N/A,#N/A,FALSE,"2~8번"}</definedName>
    <definedName name="ㅠㅊㅍㅌ" hidden="1">{#N/A,#N/A,FALSE,"단가표지"}</definedName>
    <definedName name="ㅠㅊㅍ튜" hidden="1">{#N/A,#N/A,FALSE,"단가표지"}</definedName>
    <definedName name="ㅠㅊㅍ튵ㅊ" hidden="1">{#N/A,#N/A,FALSE,"운반시간"}</definedName>
    <definedName name="ㅠㅊ픁츄" hidden="1">{#N/A,#N/A,FALSE,"단가표지"}</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ㄹ윺ㄹㅇ" hidden="1">{#N/A,#N/A,FALSE,"단가표지"}</definedName>
    <definedName name="ㅠㅍㅊ" hidden="1">{#N/A,#N/A,FALSE,"단가표지"}</definedName>
    <definedName name="ㅠㅍㅊㅌ" hidden="1">{#N/A,#N/A,FALSE,"이정표"}</definedName>
    <definedName name="ㅠㅍㅊ튳" hidden="1">{#N/A,#N/A,FALSE,"표지목차"}</definedName>
    <definedName name="ㅠㅍㅊ튳ㅌㅍ" hidden="1">{#N/A,#N/A,FALSE,"조골재"}</definedName>
    <definedName name="ㅠㅍㅊ튵" hidden="1">{#N/A,#N/A,FALSE,"골재소요량";#N/A,#N/A,FALSE,"골재소요량"}</definedName>
    <definedName name="ㅠㅍㅊ튵ㅊ" hidden="1">{#N/A,#N/A,FALSE,"단가표지"}</definedName>
    <definedName name="ㅠㅍ츄ㅜ" hidden="1">{#N/A,#N/A,FALSE,"단가표지"}</definedName>
    <definedName name="ㅠㅍ츛ㅍ" hidden="1">{#N/A,#N/A,FALSE,"혼합골재"}</definedName>
    <definedName name="ㅠㅍ츜ㅊ" hidden="1">{#N/A,#N/A,FALSE,"2~8번"}</definedName>
    <definedName name="ㅠㅍ츜ㅍ" hidden="1">{#N/A,#N/A,FALSE,"조골재"}</definedName>
    <definedName name="ㅠㅍ츝" hidden="1">{#N/A,#N/A,FALSE,"운반시간"}</definedName>
    <definedName name="ㅠㅍ츝ㅊ" hidden="1">{#N/A,#N/A,FALSE,"단가표지"}</definedName>
    <definedName name="ㅠㅍㅋㅊㅍㅍ" hidden="1">{#N/A,#N/A,FALSE,"단가표지"}</definedName>
    <definedName name="ㅠ파이ㅏㅜㄴ" hidden="1">{#N/A,#N/A,FALSE,"단가표지"}</definedName>
    <definedName name="ㅠ푸ㅏㅣㅠㅣ" hidden="1">{#N/A,#N/A,FALSE,"골재소요량";#N/A,#N/A,FALSE,"골재소요량"}</definedName>
    <definedName name="ㅠ퓨호" hidden="1">{#N/A,#N/A,FALSE,"생산성";#N/A,#N/A,FALSE,"인력1";#N/A,#N/A,FALSE,"인력2";#N/A,#N/A,FALSE,"인력3";#N/A,#N/A,FALSE,"인건1";#N/A,#N/A,FALSE,"인건2";#N/A,#N/A,FALSE,"인건3";#N/A,#N/A,FALSE,"인원증감";#N/A,#N/A,FALSE,"인건증감";#N/A,#N/A,FALSE,"표지등"}</definedName>
    <definedName name="ㅠ퓿큨ㅊ" hidden="1">{#N/A,#N/A,FALSE,"단가표지"}</definedName>
    <definedName name="ㅠ픀ㅊ" hidden="1">{#N/A,#N/A,FALSE,"단가표지"}</definedName>
    <definedName name="ㅠ픀ㅊㅍ" hidden="1">{#N/A,#N/A,FALSE,"표지목차"}</definedName>
    <definedName name="ㅠ픀ㅋㅊㅍ" hidden="1">{#N/A,#N/A,FALSE,"운반시간"}</definedName>
    <definedName name="ㅠㅎ륳" hidden="1">{#N/A,#N/A,FALSE,"골재소요량";#N/A,#N/A,FALSE,"골재소요량"}</definedName>
    <definedName name="ㅠ허" hidden="1">{#N/A,#N/A,FALSE,"혼합골재"}</definedName>
    <definedName name="ㅠ허ㅓㅎ" hidden="1">{#N/A,#N/A,FALSE,"단가표지"}</definedName>
    <definedName name="ㅠ호" hidden="1">{#N/A,#N/A,FALSE,"표지"}</definedName>
    <definedName name="ㅠ홓ㄹ" hidden="1">{#N/A,#N/A,FALSE,"2~8번"}</definedName>
    <definedName name="ㅠ횬ㄹ" hidden="1">{#N/A,#N/A,FALSE,"전력간선"}</definedName>
    <definedName name="ㅠ히ㅡㅎ" hidden="1">{#N/A,#N/A,FALSE,"단가표지"}</definedName>
    <definedName name="ㅠㅀㅎㄹ" hidden="1">{#N/A,#N/A,FALSE,"운반시간"}</definedName>
    <definedName name="ㅠㅀㅀ" hidden="1">{"'공사부문'!$A$6:$A$32"}</definedName>
    <definedName name="ㅠㅏ루아ㅣㅜㄹㅇ캬ㅐㅣㅜ" hidden="1">{#N/A,#N/A,FALSE,"조골재"}</definedName>
    <definedName name="ㅠㅏㅇㄹ뉴ㅜㅏㅣ" hidden="1">{#N/A,#N/A,FALSE,"2~8번"}</definedName>
    <definedName name="ㅠㅑㅓㅓㅗ" hidden="1">{#N/A,#N/A,FALSE,"운반시간"}</definedName>
    <definedName name="ㅠㅓ허ㅏ허ㅡ">#REF!</definedName>
    <definedName name="ㅠㅓ호" hidden="1">{#N/A,#N/A,FALSE,"운반시간"}</definedName>
    <definedName name="ㅠㅓㅏㅎ" hidden="1">{#N/A,#N/A,FALSE,"운반시간"}</definedName>
    <definedName name="ㅠㅓㅏㅓㅏㅡㅗ" hidden="1">{#N/A,#N/A,FALSE,"단가표지"}</definedName>
    <definedName name="ㅠㅓㅏㅓㅘ" hidden="1">{#N/A,#N/A,FALSE,"표지목차"}</definedName>
    <definedName name="ㅠㅓㅏㅗ" hidden="1">{#N/A,#N/A,FALSE,"혼합골재"}</definedName>
    <definedName name="ㅠㅗ">#REF!</definedName>
    <definedName name="ㅠㅗㄱㅈ" hidden="1">{#N/A,#N/A,FALSE,"이태원철근"}</definedName>
    <definedName name="ㅠㅗㄱㅈㅈㅈ" hidden="1">{#N/A,#N/A,FALSE,"이태원철근"}</definedName>
    <definedName name="ㅠㅗㅅㄱ" hidden="1">{#N/A,#N/A,FALSE,"이태원철근"}</definedName>
    <definedName name="ㅠㅗ소쇼" hidden="1">{#N/A,#N/A,FALSE,"단가표지"}</definedName>
    <definedName name="ㅠㅗㅓ호ㅓ" hidden="1">{#N/A,#N/A,FALSE,"표지목차"}</definedName>
    <definedName name="ㅠㅗㅓ호ㅕㅓㅕ호ㅓ" hidden="1">{#N/A,#N/A,FALSE,"운반시간"}</definedName>
    <definedName name="ㅠㅗㅓㅗ허" hidden="1">{#N/A,#N/A,FALSE,"단가표지"}</definedName>
    <definedName name="ㅠㅗㅗㅓㅏ" hidden="1">{#N/A,#N/A,FALSE,"단가표지"}</definedName>
    <definedName name="ㅠㅛㅗㅗㅎㅍ" hidden="1">{#N/A,#N/A,FALSE,"운반시간"}</definedName>
    <definedName name="ㅠ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러ㅗㅕㅎㄱ" hidden="1">{#N/A,#N/A,FALSE,"골재소요량";#N/A,#N/A,FALSE,"골재소요량"}</definedName>
    <definedName name="ㅠㅜ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푸ㅠ우ㅡ" hidden="1">{#N/A,#N/A,FALSE,"2~8번"}</definedName>
    <definedName name="ㅠㅜㅎ">#REF!</definedName>
    <definedName name="ㅠㅜ후휴" hidden="1">{#N/A,#N/A,FALSE,"단가표지"}</definedName>
    <definedName name="ㅠㅜㅏㅗㅓㅏ" hidden="1">{#N/A,#N/A,FALSE,"조골재"}</definedName>
    <definedName name="ㅠㅜㅕ" hidden="1">{#N/A,#N/A,FALSE,"단가표지"}</definedName>
    <definedName name="ㅠㅜㅛ" hidden="1">{#N/A,#N/A,FALSE,"Sheet6"}</definedName>
    <definedName name="ㅠㅜㅜㅜ" hidden="1">{#N/A,#N/A,FALSE,"운반시간"}</definedName>
    <definedName name="ㅠㅜㅠㅜㅜㅜ">#N/A</definedName>
    <definedName name="ㅠㅜㅡㅐㅎ" hidden="1">{#N/A,#N/A,FALSE,"단가표지"}</definedName>
    <definedName name="ㅠㅝ려픙ㅀ" hidden="1">{#N/A,#N/A,FALSE,"단가표지"}</definedName>
    <definedName name="ㅠㅠ" hidden="1">{#N/A,#N/A,FALSE,"현장 NCR 분석";#N/A,#N/A,FALSE,"현장품질감사";#N/A,#N/A,FALSE,"현장품질감사"}</definedName>
    <definedName name="ㅠㅠㅠ">#REF!</definedName>
    <definedName name="ㅠㅠㅠㅜ" hidden="1">{#N/A,#N/A,FALSE,"단가표지"}</definedName>
    <definedName name="ㅠㅠㅠㅠ" hidden="1">#REF!</definedName>
    <definedName name="ㅠㅠㅠㅠㅠ" hidden="1">{#N/A,#N/A,FALSE,"2~8번"}</definedName>
    <definedName name="ㅠㅠㅠㅠㅠ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ㅢㅏㅎ" hidden="1">{#N/A,#N/A,FALSE,"표지목차"}</definedName>
    <definedName name="ㅠㄳ" hidden="1">{#N/A,#N/A,FALSE,"현장 NCR 분석";#N/A,#N/A,FALSE,"현장품질감사";#N/A,#N/A,FALSE,"현장품질감사"}</definedName>
    <definedName name="ㅡ" hidden="1">{#N/A,#N/A,FALSE,"전력간선"}</definedName>
    <definedName name="ㅡ_1" hidden="1">{#N/A,#N/A,FALSE,"2~8번"}</definedName>
    <definedName name="ㅡ_2" hidden="1">{#N/A,#N/A,FALSE,"이태원철근"}</definedName>
    <definedName name="ㅡ_3" hidden="1">{#N/A,#N/A,FALSE,"이태원철근"}</definedName>
    <definedName name="ㅡ_4" hidden="1">{#N/A,#N/A,FALSE,"이태원철근"}</definedName>
    <definedName name="ㅡ.ㅡ" hidden="1">{#N/A,#N/A,FALSE,"이태원철근"}</definedName>
    <definedName name="ㅡㄹ펑홍" hidden="1">{#N/A,#N/A,FALSE,"운반시간"}</definedName>
    <definedName name="ㅡ로옇ㄱ" hidden="1">{#N/A,#N/A,FALSE,"단가표지"}</definedName>
    <definedName name="ㅡ루하" hidden="1">{#N/A,#N/A,FALSE,"단가표지"}</definedName>
    <definedName name="ㅡㅁㅊ개14">#REF!</definedName>
    <definedName name="ㅡ셔ㅑ" hidden="1">{#N/A,#N/A,FALSE,"단가표지"}</definedName>
    <definedName name="ㅡ옹호ㅗㅎㄴㄹ" hidden="1">{#N/A,#N/A,FALSE,"2~8번"}</definedName>
    <definedName name="ㅡㅍ" hidden="1">{#N/A,#N/A,FALSE,"조골재"}</definedName>
    <definedName name="ㅡㅍㅇ">#REF!</definedName>
    <definedName name="ㅡㅍ춘토" hidden="1">{#N/A,#N/A,FALSE,"단가표지"}</definedName>
    <definedName name="ㅡㅍ충렇" hidden="1">{#N/A,#N/A,FALSE,"단가표지"}</definedName>
    <definedName name="ㅡ푸ㅕㅀ" hidden="1">{#N/A,#N/A,FALSE,"혼합골재"}</definedName>
    <definedName name="ㅡ호ㅓㅎㄴ론ㅋ" hidden="1">{#N/A,#N/A,FALSE,"단가표지"}</definedName>
    <definedName name="ㅡ혻ㅎ" hidden="1">{#N/A,#N/A,FALSE,"골재소요량";#N/A,#N/A,FALSE,"골재소요량"}</definedName>
    <definedName name="ㅡㅀ" hidden="1">{#N/A,#N/A,FALSE,"토공2"}</definedName>
    <definedName name="ㅡㅏ랳" hidden="1">{#N/A,#N/A,FALSE,"골재소요량";#N/A,#N/A,FALSE,"골재소요량"}</definedName>
    <definedName name="ㅡㅏㅏ" hidden="1">{#N/A,#N/A,FALSE,"현장 NCR 분석";#N/A,#N/A,FALSE,"현장품질감사";#N/A,#N/A,FALSE,"현장품질감사"}</definedName>
    <definedName name="ㅡㅏㅏ_1" hidden="1">{#N/A,#N/A,FALSE,"현장 NCR 분석";#N/A,#N/A,FALSE,"현장품질감사";#N/A,#N/A,FALSE,"현장품질감사"}</definedName>
    <definedName name="ㅡㅏㅏ_2" hidden="1">{#N/A,#N/A,FALSE,"현장 NCR 분석";#N/A,#N/A,FALSE,"현장품질감사";#N/A,#N/A,FALSE,"현장품질감사"}</definedName>
    <definedName name="ㅡㅏㅏ_3" hidden="1">{#N/A,#N/A,FALSE,"현장 NCR 분석";#N/A,#N/A,FALSE,"현장품질감사";#N/A,#N/A,FALSE,"현장품질감사"}</definedName>
    <definedName name="ㅡㅏㅓㅇ놈ㄴ" hidden="1">{#N/A,#N/A,FALSE,"운반시간"}</definedName>
    <definedName name="ㅡㅐㅕㅑㅣ" hidden="1">{#N/A,#N/A,FALSE,"단가표지"}</definedName>
    <definedName name="ㅡㅑㄹ" hidden="1">{#N/A,#N/A,FALSE,"2~8번"}</definedName>
    <definedName name="ㅡㅓ" hidden="1">{#N/A,#N/A,FALSE,"혼합골재"}</definedName>
    <definedName name="ㅡㅓㅊ훙ㄴㅋㅋㅊ" hidden="1">{#N/A,#N/A,FALSE,"골재소요량";#N/A,#N/A,FALSE,"골재소요량"}</definedName>
    <definedName name="ㅡㅓㅗ흐ㅓ">#REF!</definedName>
    <definedName name="ㅡㅓㅛ" hidden="1">{#N/A,#N/A,FALSE,"현장 NCR 분석";#N/A,#N/A,FALSE,"현장품질감사";#N/A,#N/A,FALSE,"현장품질감사"}</definedName>
    <definedName name="ㅡㅓㅡ" hidden="1">{#N/A,#N/A,FALSE,"운반시간"}</definedName>
    <definedName name="ㅡㅔㅠㅅ" hidden="1">{#N/A,#N/A,FALSE,"단가표지"}</definedName>
    <definedName name="ㅡㅕㅑㅕㅓㅏㅣㅑㅏ" hidden="1">{#N/A,#N/A,FALSE,"2~8번"}</definedName>
    <definedName name="ㅡㅕㅛㅘ" hidden="1">{#N/A,#N/A,FALSE,"표지목차"}</definedName>
    <definedName name="ㅡㅗㅎㄹ" hidden="1">{#N/A,#N/A,FALSE,"조골재"}</definedName>
    <definedName name="ㅡㅗㅓㅓㅡㅗㅗㅓㅓㅗ" hidden="1">{#N/A,#N/A,FALSE,"운반시간"}</definedName>
    <definedName name="ㅡㅗㅓㅗㅓㅡ" hidden="1">{#N/A,#N/A,FALSE,"단가표지"}</definedName>
    <definedName name="ㅡㅜ" hidden="1">{#N/A,#N/A,FALSE,"운반시간"}</definedName>
    <definedName name="ㅡㅜㄹ호" hidden="1">{#N/A,#N/A,FALSE,"구조1"}</definedName>
    <definedName name="ㅡㅜㅗㅎ러ㅗㅎㄹ"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ㅡㅜㅜㅎ놀" hidden="1">{#N/A,#N/A,FALSE,"혼합골재"}</definedName>
    <definedName name="ㅡㅠ" hidden="1">{#N/A,#N/A,FALSE,"단가표지"}</definedName>
    <definedName name="ㅡㅠㄹㄹ" hidden="1">{#N/A,#N/A,FALSE,"조골재"}</definedName>
    <definedName name="ㅡㅠㅏㅏ" hidden="1">{#N/A,#N/A,FALSE,"운반시간"}</definedName>
    <definedName name="ㅡㅠㅗㅠㅣㅏ">#REF!,#REF!</definedName>
    <definedName name="ㅡㅡ" hidden="1">{#N/A,#N/A,FALSE,"명세표"}</definedName>
    <definedName name="ㅡㅡ2" hidden="1">{#N/A,#N/A,FALSE,"단가표지"}</definedName>
    <definedName name="ㅡㅡㅡ" hidden="1">#REF!</definedName>
    <definedName name="ㅡㅡㅡ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ㅡㅡㅡㅡ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ㅡㅡM">#REF!</definedName>
    <definedName name="ㅢ">{"Book1","부대-(표지판,데리,가드).xls","부대-(낙,차,중분대).xls"}</definedName>
    <definedName name="ㅣ" hidden="1">#REF!</definedName>
    <definedName name="ㅣ15">#REF!</definedName>
    <definedName name="ㅣ275">#REF!</definedName>
    <definedName name="ㅣ305">#REF!</definedName>
    <definedName name="ㅣ650">#REF!</definedName>
    <definedName name="ㅣ81">#REF!</definedName>
    <definedName name="ㅣ814">#REF!</definedName>
    <definedName name="ㅣ833">#REF!</definedName>
    <definedName name="ㅣ거ㅚㅓㅜ" hidden="1">{#N/A,#N/A,FALSE,"2~8번"}</definedName>
    <definedName name="ㅣ겨ㅛㅅ">#REF!</definedName>
    <definedName name="ㅣ언">#REF!</definedName>
    <definedName name="ㅣㅎㄹㅇㅇ" hidden="1">{#N/A,#N/A,FALSE,"토공2"}</definedName>
    <definedName name="ㅣ허ㅏㅣ하" hidden="1">{#N/A,#N/A,FALSE,"혼합골재"}</definedName>
    <definedName name="ㅣ허ㅣ호ㅓㅏ" hidden="1">{#N/A,#N/A,FALSE,"조골재"}</definedName>
    <definedName name="ㅣ흐ㅠ" hidden="1">{#N/A,#N/A,FALSE,"2~8번"}</definedName>
    <definedName name="ㅣㅏ">#N/A</definedName>
    <definedName name="ㅣㅏ머리ㅏㅁ언" hidden="1">{#N/A,#N/A,FALSE,"현장 NCR 분석";#N/A,#N/A,FALSE,"현장품질감사";#N/A,#N/A,FALSE,"현장품질감사"}</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ㅎ">#REF!</definedName>
    <definedName name="ㅣㅏㅎㄹㅇ" hidden="1">{#N/A,#N/A,FALSE,"토공2"}</definedName>
    <definedName name="ㅣㅏ허ㅏ허ㅏ허ㅏ" hidden="1">{#N/A,#N/A,FALSE,"단가표지"}</definedName>
    <definedName name="ㅣㅏㅑㅐㅔ랳" hidden="1">{#N/A,#N/A,FALSE,"조골재"}</definedName>
    <definedName name="ㅣㅏㅓ" hidden="1">{#N/A,#N/A,FALSE,"운반시간"}</definedName>
    <definedName name="ㅣㅏㅓ리ㅏㅁ" hidden="1">{#N/A,#N/A,FALSE,"현장 NCR 분석";#N/A,#N/A,FALSE,"현장품질감사";#N/A,#N/A,FALSE,"현장품질감사"}</definedName>
    <definedName name="ㅣㅏㅓㅎ" hidden="1">{#N/A,#N/A,FALSE,"단가표지"}</definedName>
    <definedName name="ㅣㅏㅓ허ㅏㅓㅎ" hidden="1">{#N/A,#N/A,FALSE,"표지목차"}</definedName>
    <definedName name="ㅣㅏㅓㅏㅑㅓㅘㅐ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ㅏㅓ">#N/A</definedName>
    <definedName name="ㅣㅏㅓㅗㅓㄹㅇㄴ소ㅕ" hidden="1">{#N/A,#N/A,FALSE,"단가표지"}</definedName>
    <definedName name="ㅣㅏㅓㅣ허ㅏㅎ" hidden="1">{#N/A,#N/A,FALSE,"골재소요량";#N/A,#N/A,FALSE,"골재소요량"}</definedName>
    <definedName name="ㅣㅏㅓㅣ허ㅏㅏ허" hidden="1">{#N/A,#N/A,FALSE,"조골재"}</definedName>
    <definedName name="ㅣㅏㅓㅣㅏㅓㅣ" hidden="1">{#N/A,#N/A,FALSE,"속도"}</definedName>
    <definedName name="ㅣㅏㅗㅕㅀ" hidden="1">{#N/A,#N/A,FALSE,"표지목차"}</definedName>
    <definedName name="ㅣㅏㅚㅗㅓ" hidden="1">#REF!</definedName>
    <definedName name="ㅣㅏㅣㅏ" hidden="1">{#N/A,#N/A,FALSE,"손익표지";#N/A,#N/A,FALSE,"손익계산";#N/A,#N/A,FALSE,"일반관리비";#N/A,#N/A,FALSE,"영업외수익";#N/A,#N/A,FALSE,"영업외비용";#N/A,#N/A,FALSE,"매출액";#N/A,#N/A,FALSE,"요약손익";#N/A,#N/A,FALSE,"요약대차";#N/A,#N/A,FALSE,"매출채권현황";#N/A,#N/A,FALSE,"매출채권명세"}</definedName>
    <definedName name="ㅣㅐ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ㅐㅔ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hidden="1">{#N/A,#N/A,FALSE,"단가표지"}</definedName>
    <definedName name="ㅣㅑㅕㅛ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ㅣㅣ" hidden="1">{#N/A,#N/A,FALSE,"혼합골재"}</definedName>
    <definedName name="ㅣㅓㅏ" hidden="1">{#N/A,#N/A,FALSE,"전력간선"}</definedName>
    <definedName name="ㅣㅓㅏ허" hidden="1">{#N/A,#N/A,FALSE,"운반시간"}</definedName>
    <definedName name="ㅣㅓㅏ허ㅏㅣ허ㅏㅓ" hidden="1">{#N/A,#N/A,FALSE,"운반시간"}</definedName>
    <definedName name="ㅣㅓㅏㅣㅓㅏㅓㅏㅓㅏㅓ" hidden="1">{#N/A,#N/A,FALSE,"현장 NCR 분석";#N/A,#N/A,FALSE,"현장품질감사";#N/A,#N/A,FALSE,"현장품질감사"}</definedName>
    <definedName name="ㅣㅓㅘㅣ" hidden="1">#REF!</definedName>
    <definedName name="ㅣㅓㅚㅏ" hidden="1">#REF!</definedName>
    <definedName name="ㅣㅗ" hidden="1">{#N/A,#N/A,FALSE,"골재소요량";#N/A,#N/A,FALSE,"골재소요량"}</definedName>
    <definedName name="ㅣㅗㅓㅕ" hidden="1">{#N/A,#N/A,FALSE,"표지목차"}</definedName>
    <definedName name="ㅣㅗㅕㅑ" hidden="1">{#N/A,#N/A,FALSE,"운반시간"}</definedName>
    <definedName name="ㅣㅗㅕㅑㅗㅕㅎ" hidden="1">{#N/A,#N/A,FALSE,"단가표지"}</definedName>
    <definedName name="ㅣㅗㄾㅇ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ㅚㅓㅏ" hidden="1">{#N/A,#N/A,FALSE,"단가표지"}</definedName>
    <definedName name="ㅣㅣ" hidden="1">{#N/A,#N/A,FALSE,"골재소요량";#N/A,#N/A,FALSE,"골재소요량"}</definedName>
    <definedName name="ㅣㅣ잉">#REF!</definedName>
    <definedName name="ㅣㅣㅏ">#REF!,#REF!</definedName>
    <definedName name="ㅣㅣㅣ" hidden="1">#REF!</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 hidden="1">#REF!</definedName>
    <definedName name="ㅣㅣㅣㅣㅣ" hidden="1">#REF!</definedName>
    <definedName name="ㅣㅣㅣㅣㅣㅣ" hidden="1">#REF!</definedName>
    <definedName name="ㅣasd">#REF!</definedName>
    <definedName name="ㄳ" hidden="1">{#N/A,#N/A,FALSE,"단가표지"}</definedName>
    <definedName name="ㄳㄱ" hidden="1">{#N/A,#N/A,FALSE,"배수2"}</definedName>
    <definedName name="ㄳㄷ" hidden="1">{#N/A,#N/A,FALSE,"Sheet6"}</definedName>
    <definedName name="ㄳㄷㄱ" hidden="1">{#N/A,#N/A,FALSE,"단가표지"}</definedName>
    <definedName name="ㄳㄷㅎㄳㅎㅅ고" hidden="1">{#N/A,#N/A,FALSE,"혼합골재"}</definedName>
    <definedName name="ㄳ됴" hidden="1">{#N/A,#N/A,FALSE,"단가표지"}</definedName>
    <definedName name="ㄳ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ㅅ" hidden="1">#REF!</definedName>
    <definedName name="ㄳ쇼" hidden="1">{#N/A,#N/A,FALSE,"Sheet1"}</definedName>
    <definedName name="ㄳㅍㅁㅁ규" hidden="1">{#N/A,#N/A,FALSE,"표지목차"}</definedName>
    <definedName name="ㄳㅍㅊ" hidden="1">{#N/A,#N/A,TRUE,"1";#N/A,#N/A,TRUE,"2";#N/A,#N/A,TRUE,"3";#N/A,#N/A,TRUE,"4";#N/A,#N/A,TRUE,"5";#N/A,#N/A,TRUE,"6";#N/A,#N/A,TRUE,"7"}</definedName>
    <definedName name="ㄳㅎㅂ4ㅁ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햐ㅓㅗ혁ㄴ" hidden="1">{#N/A,#N/A,FALSE,"단가표지"}</definedName>
    <definedName name="ㄳ혀" hidden="1">{#N/A,#N/A,FALSE,"2~8번"}</definedName>
    <definedName name="ㄳ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ㅎㄳㅎ">#REF!</definedName>
    <definedName name="ㄳㅓ">#N/A</definedName>
    <definedName name="ㄳㅗ">#N/A</definedName>
    <definedName name="ㄳㄳ">#REF!</definedName>
    <definedName name="ㄳㄳㅅ셔ㅛㅅ" hidden="1">{#N/A,#N/A,FALSE,"단가표지"}</definedName>
    <definedName name="ㄳㄳㅎㄱㅎㄱㄷ" hidden="1">{#N/A,#N/A,FALSE,"조골재"}</definedName>
    <definedName name="ㄳㄳㄳㄳ">{"'용역비'!$A$4:$C$8"}</definedName>
    <definedName name="ㄵ">#REF!</definedName>
    <definedName name="ㄵㄷㄹ" hidden="1">{#N/A,#N/A,FALSE,"기안지";#N/A,#N/A,FALSE,"통신지"}</definedName>
    <definedName name="ㄵㄷㅅ" hidden="1">{#N/A,#N/A,TRUE,"1";#N/A,#N/A,TRUE,"2";#N/A,#N/A,TRUE,"3";#N/A,#N/A,TRUE,"4";#N/A,#N/A,TRUE,"5";#N/A,#N/A,TRUE,"6";#N/A,#N/A,TRUE,"7"}</definedName>
    <definedName name="ㄵㄵ" hidden="1">{#N/A,#N/A,FALSE,"교리2"}</definedName>
    <definedName name="ㄶ" hidden="1">{#N/A,#N/A,FALSE,"기안지";#N/A,#N/A,FALSE,"통신지"}</definedName>
    <definedName name="ㄶㄴㅁㅎ" hidden="1">{#N/A,#N/A,FALSE,"교리2"}</definedName>
    <definedName name="ㄶㄴㅇㅀ">#N/A</definedName>
    <definedName name="ㄶ뉴">#REF!</definedName>
    <definedName name="ㄶㄹ" hidden="1">#REF!</definedName>
    <definedName name="ㄶ료둥" hidden="1">{#N/A,#N/A,FALSE,"단가표지"}</definedName>
    <definedName name="ㄶㅇㄹㄷ" hidden="1">{#N/A,#N/A,FALSE,"혼합골재"}</definedName>
    <definedName name="ㄶㅇㅁㄶㅇㅎㅇㅁㄶㅁㄶㅇ" hidden="1">{#N/A,#N/A,FALSE,"이태원철근"}</definedName>
    <definedName name="ㄶㅇㅀ" hidden="1">#REF!</definedName>
    <definedName name="ㄶㅇㅀㄴㅇ" hidden="1">{#N/A,#N/A,FALSE,"표지목차"}</definedName>
    <definedName name="ㄶㅎㅇㅅㅈㄷㅇ" hidden="1">{#N/A,#N/A,FALSE,"조골재"}</definedName>
    <definedName name="ㄶㄶㄶㅎ">#REF!</definedName>
    <definedName name="ㄺ">#REF!</definedName>
    <definedName name="ㄺㄷ규호" hidden="1">{#N/A,#N/A,FALSE,"골재소요량";#N/A,#N/A,FALSE,"골재소요량"}</definedName>
    <definedName name="ㄺㄷㄹㅈ" hidden="1">{#N/A,#N/A,FALSE,"단가표지"}</definedName>
    <definedName name="ㄺ슈ㅗ" hidden="1">{#N/A,#N/A,FALSE,"단가표지"}</definedName>
    <definedName name="ㄺㅎ" hidden="1">{#N/A,#N/A,FALSE,"단가표지"}</definedName>
    <definedName name="ㄺㅎㄱ" hidden="1">{#N/A,#N/A,FALSE,"운반시간"}</definedName>
    <definedName name="ㄺㅎㄷ" hidden="1">{#N/A,#N/A,FALSE,"골재소요량";#N/A,#N/A,FALSE,"골재소요량"}</definedName>
    <definedName name="ㄺ호" hidden="1">{#N/A,#N/A,FALSE,"운반시간"}</definedName>
    <definedName name="ㄺㄺㄴ" hidden="1">{#N/A,#N/A,FALSE,"단가표지"}</definedName>
    <definedName name="ㄻ" hidden="1">{#N/A,#N/A,FALSE,"포장2"}</definedName>
    <definedName name="ㄻㄱㅈㄷㄱㅂㄱㄷㅈ" localSheetId="0">BlankMacro1</definedName>
    <definedName name="ㄻㄱㅈㄷㄱㅂㄱㄷㅈ">BlankMacro1</definedName>
    <definedName name="ㄻㄴㄹ" hidden="1">{#N/A,#N/A,FALSE,"물량산출"}</definedName>
    <definedName name="ㄻㄴㄹㄴㅁㅇㄹㅇㄴㅁㄻㄹ" hidden="1">{"'공사부문'!$A$6:$A$32"}</definedName>
    <definedName name="ㄻㄴㄹㅇㄴㅁ" hidden="1">{#N/A,#N/A,FALSE,"운반시간"}</definedName>
    <definedName name="ㄻㄴㅇㄹㅇㅁㄻㄹ" hidden="1">{#N/A,#N/A,FALSE,"교리2"}</definedName>
    <definedName name="ㄻㄴㅇㅁㄴㅇ" hidden="1">{#N/A,#N/A,FALSE,"단가표지"}</definedName>
    <definedName name="ㄻㄴㅇㅇㄹㅇㄴ">{"'자리배치도'!$AG$1:$CI$28"}</definedName>
    <definedName name="ㄻㄴㅇㅀㅈㅁㄷㅎㅁㅎ" hidden="1">{#N/A,#N/A,FALSE,"교리2"}</definedName>
    <definedName name="ㄻㄴㅇㄻㄴ" hidden="1">{#N/A,#N/A,FALSE,"단가표지"}</definedName>
    <definedName name="ㄻㄴㅇㄻㄴㄹ" hidden="1">{#N/A,#N/A,FALSE,"2~8번"}</definedName>
    <definedName name="ㄻㄴㅇㄻㄴㅁ" hidden="1">{#N/A,#N/A,FALSE,"운반시간"}</definedName>
    <definedName name="ㄻㄴㅇㄻㄴㅇ" hidden="1">{#N/A,#N/A,FALSE,"단가표지"}</definedName>
    <definedName name="ㄻㄴㅇㄻㄴㅇㄻ" hidden="1">{#N/A,#N/A,FALSE,"표지목차"}</definedName>
    <definedName name="ㄻㄴㅇㄻㄴㄻ" hidden="1">{#N/A,#N/A,FALSE,"교리2"}</definedName>
    <definedName name="ㄻㄴㅇㄻㄴㄻㄴㅁㄴ" hidden="1">{#N/A,#N/A,FALSE,"단가표지"}</definedName>
    <definedName name="ㄻㄴㅇㄻㅇㄴㄻㅇㄴ" hidden="1">#REF!</definedName>
    <definedName name="ㄻㄴㄻ" hidden="1">{#N/A,#N/A,FALSE,"교리2"}</definedName>
    <definedName name="ㄻㄴㄻㄴㄹㅇㄴ" hidden="1">{#N/A,#N/A,FALSE,"교리2"}</definedName>
    <definedName name="ㄻㄴㄻㄴㅇㄻㄴ" hidden="1">{#N/A,#N/A,FALSE,"표지목차"}</definedName>
    <definedName name="ㄻㅁ" hidden="1">{#N/A,#N/A,FALSE,"조골재"}</definedName>
    <definedName name="ㄻㅁ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ㄻㅇㄴㄹㅇㄴㅁㄻㅇㄴ" hidden="1">#REF!</definedName>
    <definedName name="ㄻㅇㄴㄻㅇㄴㅇㄴㄻㄹㄴㅁㅇ" hidden="1">#REF!</definedName>
    <definedName name="ㄻㅇㄴㄻㄻㄹㅇㅁㄴㄹ" hidden="1">{#N/A,#N/A,FALSE,"교리2"}</definedName>
    <definedName name="ㄻㅎ" hidden="1">{#N/A,#N/A,FALSE,"골재소요량";#N/A,#N/A,FALSE,"골재소요량"}</definedName>
    <definedName name="ㄻㄻㅇㅁㅇㄹㅇ" hidden="1">{"'자리배치도'!$AG$1:$CI$28"}</definedName>
    <definedName name="ㄻㄻㄻㅇㄹㅇㄴ">{"'자리배치도'!$AG$1:$CI$28"}</definedName>
    <definedName name="ㄻㄿㅎㄹ">#REF!</definedName>
    <definedName name="ㄼ" localSheetId="0">BlankMacro1</definedName>
    <definedName name="ㄼ">BlankMacro1</definedName>
    <definedName name="ㄼㅂ" hidden="1">{#N/A,#N/A,FALSE,"이태원철근"}</definedName>
    <definedName name="ㄽㅇㄹ" hidden="1">{#N/A,#N/A,FALSE,"단가표지"}</definedName>
    <definedName name="ㄽ혀ㅓ" hidden="1">{#N/A,#N/A,FALSE,"운반시간"}</definedName>
    <definedName name="ㄾㅎㅇㄹ">#REF!</definedName>
    <definedName name="ㄾ호ㅕㅅㅎㄱ" hidden="1">{#N/A,#N/A,FALSE,"운반시간"}</definedName>
    <definedName name="ㄿㄱ" hidden="1">{#N/A,#N/A,FALSE,"운반시간"}</definedName>
    <definedName name="ㄿㄹ">#N/A</definedName>
    <definedName name="ㄿㄹ유" hidden="1">{#N/A,#N/A,FALSE,"2~8번"}</definedName>
    <definedName name="ㄿㄹ윯우" hidden="1">{#N/A,#N/A,FALSE,"운반시간"}</definedName>
    <definedName name="ㄿㅇㄴ">#REF!</definedName>
    <definedName name="ㄿㅇ륲ㄹ유" hidden="1">{#N/A,#N/A,FALSE,"골재소요량";#N/A,#N/A,FALSE,"골재소요량"}</definedName>
    <definedName name="ㄿ아롱ㅎ" hidden="1">{#N/A,#N/A,FALSE,"조골재"}</definedName>
    <definedName name="ㄿㅎㄱ쇼ㅜ" hidden="1">{#N/A,#N/A,FALSE,"전력간선"}</definedName>
    <definedName name="ㄿㅎㄱㅎ" hidden="1">{#N/A,#N/A,FALSE,"조골재"}</definedName>
    <definedName name="A">#REF!</definedName>
    <definedName name="A_1">#REF!</definedName>
    <definedName name="A_2">#REF!</definedName>
    <definedName name="A_3">#REF!</definedName>
    <definedName name="a_32">#N/A</definedName>
    <definedName name="A_4">#REF!</definedName>
    <definedName name="A_5">#REF!</definedName>
    <definedName name="A_6">#REF!</definedName>
    <definedName name="A_b">#REF!</definedName>
    <definedName name="A¡þ_¡¤ⓒo_AO">#N/A</definedName>
    <definedName name="a.고용1">#REF!</definedName>
    <definedName name="A￢_·¹_AO">#N/A</definedName>
    <definedName name="A0">#REF!</definedName>
    <definedName name="A00">#REF!</definedName>
    <definedName name="A1_">#N/A</definedName>
    <definedName name="A1_00근거" hidden="1">{#N/A,#N/A,FALSE,"단축1";#N/A,#N/A,FALSE,"단축2";#N/A,#N/A,FALSE,"단축3";#N/A,#N/A,FALSE,"장축";#N/A,#N/A,FALSE,"4WD"}</definedName>
    <definedName name="A1_E">#REF!</definedName>
    <definedName name="A1..A2_">#N/A</definedName>
    <definedName name="A1..A200_">#N/A</definedName>
    <definedName name="A1.1000">#N/A</definedName>
    <definedName name="A10_">#N/A</definedName>
    <definedName name="A10B1L">#REF!</definedName>
    <definedName name="A10B1R">#REF!</definedName>
    <definedName name="A10B2L">#REF!</definedName>
    <definedName name="A10B2R">#REF!</definedName>
    <definedName name="A10B3L">#REF!</definedName>
    <definedName name="A10B3R">#REF!</definedName>
    <definedName name="A10B4L">#REF!</definedName>
    <definedName name="A10B4R">#REF!</definedName>
    <definedName name="A10BFL">#REF!</definedName>
    <definedName name="A10BFR">#REF!</definedName>
    <definedName name="A10BQL">#REF!</definedName>
    <definedName name="A10BQR">#REF!</definedName>
    <definedName name="A10L1L">#REF!</definedName>
    <definedName name="A10L1R">#REF!</definedName>
    <definedName name="A10L2L">#REF!</definedName>
    <definedName name="A10L2R">#REF!</definedName>
    <definedName name="A10L3L">#REF!</definedName>
    <definedName name="A10L3R">#REF!</definedName>
    <definedName name="A10L4L">#REF!</definedName>
    <definedName name="A10L4R">#REF!</definedName>
    <definedName name="A10LFL">#REF!</definedName>
    <definedName name="A10LFR">#REF!</definedName>
    <definedName name="A10LQL">#REF!</definedName>
    <definedName name="A10LQR">#REF!</definedName>
    <definedName name="A11_">#N/A</definedName>
    <definedName name="A1111111">#REF!</definedName>
    <definedName name="A12_">#N/A</definedName>
    <definedName name="A12..A13_">#N/A</definedName>
    <definedName name="A1A">#REF!</definedName>
    <definedName name="A1C1" hidden="1">#REF!</definedName>
    <definedName name="a1K1805">#REF!</definedName>
    <definedName name="A2_">#N/A</definedName>
    <definedName name="A2A">#REF!</definedName>
    <definedName name="A2A1">#N/A</definedName>
    <definedName name="A3_">#N/A</definedName>
    <definedName name="A315yoo1">#REF!</definedName>
    <definedName name="A3A">#REF!</definedName>
    <definedName name="A3B1L">#REF!</definedName>
    <definedName name="A3B1R">#REF!</definedName>
    <definedName name="A3B2L">#REF!</definedName>
    <definedName name="A3B2R">#REF!</definedName>
    <definedName name="A3B3L">#REF!</definedName>
    <definedName name="A3B3R">#REF!</definedName>
    <definedName name="A3B4L">#REF!</definedName>
    <definedName name="A3B4R">#REF!</definedName>
    <definedName name="A3BFL">#REF!</definedName>
    <definedName name="A3BFR">#REF!</definedName>
    <definedName name="A3BQL">#REF!</definedName>
    <definedName name="A3BQR">#REF!</definedName>
    <definedName name="A3L1L">#REF!</definedName>
    <definedName name="A3L1R">#REF!</definedName>
    <definedName name="A3L2L">#REF!</definedName>
    <definedName name="A3L2R">#REF!</definedName>
    <definedName name="A3L3L">#REF!</definedName>
    <definedName name="A3L3R">#REF!</definedName>
    <definedName name="A3L4L">#REF!</definedName>
    <definedName name="A3L4R">#REF!</definedName>
    <definedName name="A3LFL">#REF!</definedName>
    <definedName name="A3LFR">#REF!</definedName>
    <definedName name="A3LQL">#REF!</definedName>
    <definedName name="A3LQR">#REF!</definedName>
    <definedName name="A4_">#N/A</definedName>
    <definedName name="A4B1L">#REF!</definedName>
    <definedName name="A4B1R">#REF!</definedName>
    <definedName name="A4B2L">#REF!</definedName>
    <definedName name="A4B2R">#REF!</definedName>
    <definedName name="A4B3L">#REF!</definedName>
    <definedName name="A4B3R">#REF!</definedName>
    <definedName name="A4B4L">#REF!</definedName>
    <definedName name="A4B4R">#REF!</definedName>
    <definedName name="A4BFL">#REF!</definedName>
    <definedName name="A4BFR">#REF!</definedName>
    <definedName name="A4BQL">#REF!</definedName>
    <definedName name="A4BQR">#REF!</definedName>
    <definedName name="A4L1L">#REF!</definedName>
    <definedName name="A4L1R">#REF!</definedName>
    <definedName name="A4L2L">#REF!</definedName>
    <definedName name="A4L2R">#REF!</definedName>
    <definedName name="A4L3L">#REF!</definedName>
    <definedName name="A4L3R">#REF!</definedName>
    <definedName name="A4L4L">#REF!</definedName>
    <definedName name="A4L4R">#REF!</definedName>
    <definedName name="A4LFL">#REF!</definedName>
    <definedName name="A4LFR">#REF!</definedName>
    <definedName name="A4LQL">#REF!</definedName>
    <definedName name="A4LQR">#REF!</definedName>
    <definedName name="A5_">#N/A</definedName>
    <definedName name="A5B1L">#REF!</definedName>
    <definedName name="A5B1R">#REF!</definedName>
    <definedName name="A5B2L">#REF!</definedName>
    <definedName name="A5B2R">#REF!</definedName>
    <definedName name="A5B3L">#REF!</definedName>
    <definedName name="A5B3R">#REF!</definedName>
    <definedName name="A5B4L">#REF!</definedName>
    <definedName name="A5B4R">#REF!</definedName>
    <definedName name="A5BFL">#REF!</definedName>
    <definedName name="A5BFR">#REF!</definedName>
    <definedName name="A5BQL">#REF!</definedName>
    <definedName name="A5BQR">#REF!</definedName>
    <definedName name="A5L1L">#REF!</definedName>
    <definedName name="A5L1R">#REF!</definedName>
    <definedName name="A5L2L">#REF!</definedName>
    <definedName name="A5L2R">#REF!</definedName>
    <definedName name="A5L3L">#REF!</definedName>
    <definedName name="A5L3R">#REF!</definedName>
    <definedName name="A5L4L">#REF!</definedName>
    <definedName name="A5L4R">#REF!</definedName>
    <definedName name="A5LFL">#REF!</definedName>
    <definedName name="A5LFR">#REF!</definedName>
    <definedName name="A5LQL">#REF!</definedName>
    <definedName name="A5LQR">#REF!</definedName>
    <definedName name="A6_">#N/A</definedName>
    <definedName name="A6.3Capital" hidden="1">{#N/A,#N/A,FALSE,"UNIT";#N/A,#N/A,FALSE,"UNIT";#N/A,#N/A,FALSE,"계정"}</definedName>
    <definedName name="A6.3Capital2" hidden="1">{#N/A,#N/A,FALSE,"UNIT";#N/A,#N/A,FALSE,"UNIT";#N/A,#N/A,FALSE,"계정"}</definedName>
    <definedName name="A6B1L">#REF!</definedName>
    <definedName name="A6B1R">#REF!</definedName>
    <definedName name="A6B2L">#REF!</definedName>
    <definedName name="A6B2R">#REF!</definedName>
    <definedName name="A6B3L">#REF!</definedName>
    <definedName name="A6B3R">#REF!</definedName>
    <definedName name="A6B4L">#REF!</definedName>
    <definedName name="A6B4R">#REF!</definedName>
    <definedName name="A6BFL">#REF!</definedName>
    <definedName name="A6BFR">#REF!</definedName>
    <definedName name="A6BQL">#REF!</definedName>
    <definedName name="A6BQR">#REF!</definedName>
    <definedName name="A6L1L">#REF!</definedName>
    <definedName name="A6L1R">#REF!</definedName>
    <definedName name="A6L2L">#REF!</definedName>
    <definedName name="A6L2R">#REF!</definedName>
    <definedName name="A6L3L">#REF!</definedName>
    <definedName name="A6L3R">#REF!</definedName>
    <definedName name="A6L4L">#REF!</definedName>
    <definedName name="A6L4R">#REF!</definedName>
    <definedName name="A6LFL">#REF!</definedName>
    <definedName name="A6LFR">#REF!</definedName>
    <definedName name="A6LQL">#REF!</definedName>
    <definedName name="A6LQR">#REF!</definedName>
    <definedName name="A7_">#N/A</definedName>
    <definedName name="A7B1L">#REF!</definedName>
    <definedName name="A7B1R">#REF!</definedName>
    <definedName name="A7B2L">#REF!</definedName>
    <definedName name="A7B2R">#REF!</definedName>
    <definedName name="A7B3L">#REF!</definedName>
    <definedName name="A7B3R">#REF!</definedName>
    <definedName name="A7B4L">#REF!</definedName>
    <definedName name="A7B4R">#REF!</definedName>
    <definedName name="A7BFL">#REF!</definedName>
    <definedName name="A7BFR">#REF!</definedName>
    <definedName name="A7BQL">#REF!</definedName>
    <definedName name="A7BQR">#REF!</definedName>
    <definedName name="A7L1L">#REF!</definedName>
    <definedName name="A7L1R">#REF!</definedName>
    <definedName name="A7L2L">#REF!</definedName>
    <definedName name="A7L2R">#REF!</definedName>
    <definedName name="A7L3L">#REF!</definedName>
    <definedName name="A7L3R">#REF!</definedName>
    <definedName name="A7L4L">#REF!</definedName>
    <definedName name="A7L4R">#REF!</definedName>
    <definedName name="A7LFL">#REF!</definedName>
    <definedName name="A7LFR">#REF!</definedName>
    <definedName name="A7LQL">#REF!</definedName>
    <definedName name="A7LQR">#REF!</definedName>
    <definedName name="A8_">#N/A</definedName>
    <definedName name="A8.36">#REF!</definedName>
    <definedName name="A8B1L">#REF!</definedName>
    <definedName name="A8B1R">#REF!</definedName>
    <definedName name="A8B2L">#REF!</definedName>
    <definedName name="A8B2R">#REF!</definedName>
    <definedName name="A8B3L">#REF!</definedName>
    <definedName name="A8B3R">#REF!</definedName>
    <definedName name="A8B4L">#REF!</definedName>
    <definedName name="A8B4R">#REF!</definedName>
    <definedName name="A8BFL">#REF!</definedName>
    <definedName name="A8BFR">#REF!</definedName>
    <definedName name="A8BQL">#REF!</definedName>
    <definedName name="A8BQR">#REF!</definedName>
    <definedName name="A8L1L">#REF!</definedName>
    <definedName name="A8L1R">#REF!</definedName>
    <definedName name="A8L2L">#REF!</definedName>
    <definedName name="A8L2R">#REF!</definedName>
    <definedName name="A8L3L">#REF!</definedName>
    <definedName name="A8L3R">#REF!</definedName>
    <definedName name="A8L4L">#REF!</definedName>
    <definedName name="A8L4R">#REF!</definedName>
    <definedName name="A8LFL">#REF!</definedName>
    <definedName name="A8LFR">#REF!</definedName>
    <definedName name="A8LQL">#REF!</definedName>
    <definedName name="A8LQR">#REF!</definedName>
    <definedName name="A9_">#N/A</definedName>
    <definedName name="a999999999999">#REF!</definedName>
    <definedName name="A9B1L">#REF!</definedName>
    <definedName name="A9B1R">#REF!</definedName>
    <definedName name="A9B2L">#REF!</definedName>
    <definedName name="A9B2R">#REF!</definedName>
    <definedName name="A9B3L">#REF!</definedName>
    <definedName name="A9B3R">#REF!</definedName>
    <definedName name="A9B4L">#REF!</definedName>
    <definedName name="A9B4R">#REF!</definedName>
    <definedName name="A9BFL">#REF!</definedName>
    <definedName name="A9BFR">#REF!</definedName>
    <definedName name="A9BQL">#REF!</definedName>
    <definedName name="A9BQR">#REF!</definedName>
    <definedName name="A9L1L">#REF!</definedName>
    <definedName name="A9L1R">#REF!</definedName>
    <definedName name="A9L2L">#REF!</definedName>
    <definedName name="A9L2R">#REF!</definedName>
    <definedName name="A9L3L">#REF!</definedName>
    <definedName name="A9L3R">#REF!</definedName>
    <definedName name="A9L4L">#REF!</definedName>
    <definedName name="A9L4R">#REF!</definedName>
    <definedName name="A9LFL">#REF!</definedName>
    <definedName name="A9LFR">#REF!</definedName>
    <definedName name="A9LQL">#REF!</definedName>
    <definedName name="A9LQR">#REF!</definedName>
    <definedName name="A삼">#REF!</definedName>
    <definedName name="A이">#REF!</definedName>
    <definedName name="A일">#REF!</definedName>
    <definedName name="AA" localSheetId="0">BlankMacro1</definedName>
    <definedName name="AA">BlankMacro1</definedName>
    <definedName name="Åä">#N/A</definedName>
    <definedName name="aaa">[0]!aaa</definedName>
    <definedName name="aaa.">#REF!</definedName>
    <definedName name="aaaa">#REF!</definedName>
    <definedName name="aaaa_1" hidden="1">{#N/A,#N/A,FALSE,"조골재"}</definedName>
    <definedName name="AAAA4">#REF!</definedName>
    <definedName name="AAAAA">#REF!</definedName>
    <definedName name="aaaaa_1" hidden="1">{#N/A,#N/A,FALSE,"조골재"}</definedName>
    <definedName name="AAAAA5">#REF!</definedName>
    <definedName name="aaaaaa" hidden="1">{#N/A,#N/A,FALSE,"2~8번"}</definedName>
    <definedName name="aaaaaaa">#REF!</definedName>
    <definedName name="aaaaaaaa">#REF!</definedName>
    <definedName name="AAAAAAAAA">#REF!</definedName>
    <definedName name="aaaaaaaaaa">#REF!</definedName>
    <definedName name="aaaaaaaaaa_1" hidden="1">{#N/A,#N/A,FALSE,"운반시간"}</definedName>
    <definedName name="aaaaaaaaaaa" hidden="1">{#N/A,#N/A,FALSE,"BS";#N/A,#N/A,FALSE,"PL";#N/A,#N/A,FALSE,"처분";#N/A,#N/A,FALSE,"현금";#N/A,#N/A,FALSE,"매출";#N/A,#N/A,FALSE,"원가";#N/A,#N/A,FALSE,"경영"}</definedName>
    <definedName name="aaaaaaaaaaaa" hidden="1">{#N/A,#N/A,FALSE,"BS";#N/A,#N/A,FALSE,"PL";#N/A,#N/A,FALSE,"처분";#N/A,#N/A,FALSE,"현금";#N/A,#N/A,FALSE,"매출";#N/A,#N/A,FALSE,"원가";#N/A,#N/A,FALSE,"경영"}</definedName>
    <definedName name="AAAAAAAAAAAAA">#REF!</definedName>
    <definedName name="aaaaaaaaaaaaaaa" localSheetId="0">ErrorHandler_1</definedName>
    <definedName name="aaaaaaaaaaaaaaa">ErrorHandler_1</definedName>
    <definedName name="aaaaaaaaaaaaaaaa" localSheetId="0">BlankMacro1</definedName>
    <definedName name="aaaaaaaaaaaaaaaa">BlankMacro1</definedName>
    <definedName name="aaaaaaaaaaaaaaaaaa" hidden="1">{#N/A,#N/A,FALSE,"단가표지"}</definedName>
    <definedName name="aaaaaaaaaaaaaaaaaaa">#REF!</definedName>
    <definedName name="aaaaaaaaaaaaaaaaaaaa" hidden="1">#REF!</definedName>
    <definedName name="aaaaaaaaaaaaaaaaaaaaa" hidden="1">{#N/A,#N/A,FALSE,"혼합골재"}</definedName>
    <definedName name="aaaaaaaaaaaaaaaaaaaaaa" localSheetId="0">BlankMacro1</definedName>
    <definedName name="aaaaaaaaaaaaaaaaaaaaaa">BlankMacro1</definedName>
    <definedName name="AAAAAAAAAAAAAAAAAAAAAAA" hidden="1">{#N/A,#N/A,FALSE,"이태원철근"}</definedName>
    <definedName name="aaaaav" hidden="1">{#N/A,#N/A,FALSE,"단가표지"}</definedName>
    <definedName name="aaaaqqqq">#REF!</definedName>
    <definedName name="aaaasssss" hidden="1">{#N/A,#N/A,FALSE,"2~8번"}</definedName>
    <definedName name="aaabbb">#REF!</definedName>
    <definedName name="AAAD">#REF!</definedName>
    <definedName name="aaafff" hidden="1">{"'장비'!$A$3:$M$12"}</definedName>
    <definedName name="aaazzzz">#REF!</definedName>
    <definedName name="AAB">#REF!</definedName>
    <definedName name="AAC">#REF!</definedName>
    <definedName name="AAD">#REF!,#REF!</definedName>
    <definedName name="AADF" hidden="1">{#N/A,#N/A,FALSE,"배수2"}</definedName>
    <definedName name="AAE">#REF!</definedName>
    <definedName name="aæÐRIiÞA_Iª">#N/A</definedName>
    <definedName name="AAF">#REF!</definedName>
    <definedName name="aag">#REF!</definedName>
    <definedName name="aakkk">#REF!</definedName>
    <definedName name="aami">#REF!</definedName>
    <definedName name="AAQQ" hidden="1">{#N/A,#N/A,FALSE,"전력간선"}</definedName>
    <definedName name="AASC">#REF!</definedName>
    <definedName name="AAW">#REF!</definedName>
    <definedName name="AB">#REF!</definedName>
    <definedName name="AB_1">#REF!</definedName>
    <definedName name="ABAA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BAB" hidden="1">{#N/A,#N/A,FALSE,"CCTV"}</definedName>
    <definedName name="abc">#REF!</definedName>
    <definedName name="abcd" hidden="1">#REF!</definedName>
    <definedName name="ABCE" hidden="1">{#N/A,#N/A,FALSE,"현장 NCR 분석";#N/A,#N/A,FALSE,"현장품질감사";#N/A,#N/A,FALSE,"현장품질감사"}</definedName>
    <definedName name="abd" hidden="1">{#N/A,#N/A,FALSE,"골재소요량";#N/A,#N/A,FALSE,"골재소요량"}</definedName>
    <definedName name="ABUTH">#REF!</definedName>
    <definedName name="AbutType">#REF!</definedName>
    <definedName name="ac">#REF!</definedName>
    <definedName name="aⓒ¡¨￠RIi¨­A_I¨￡">#N/A</definedName>
    <definedName name="acc" hidden="1">{#N/A,#N/A,FALSE,"BS";#N/A,#N/A,FALSE,"PL";#N/A,#N/A,FALSE,"처분";#N/A,#N/A,FALSE,"현금";#N/A,#N/A,FALSE,"매출";#N/A,#N/A,FALSE,"원가";#N/A,#N/A,FALSE,"경영"}</definedName>
    <definedName name="ACCESS">#REF!</definedName>
    <definedName name="Access_Button" hidden="1">"남가내역_data작업_List"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2">#REF!</definedName>
    <definedName name="AccessDatabase" hidden="1">"E:\WORK\VISUAL\MIRAE\LOADSYS\LoadDB.mdb"</definedName>
    <definedName name="AccessDatabase_1">"E:\WORK\VISUAL\MIRAE\LOADSYS\LoadDB.mdb"</definedName>
    <definedName name="acchd">#REF!</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TRL_A">#REF!</definedName>
    <definedName name="ACCTRL_N">#REF!</definedName>
    <definedName name="ACD">#REF!</definedName>
    <definedName name="ACD10L">#REF!</definedName>
    <definedName name="ACD10R">#REF!</definedName>
    <definedName name="ACD3L">#REF!</definedName>
    <definedName name="ACD3R">#REF!</definedName>
    <definedName name="ACD4L">#REF!</definedName>
    <definedName name="ACD4R">#REF!</definedName>
    <definedName name="ACD5L">#REF!</definedName>
    <definedName name="ACD5R">#REF!</definedName>
    <definedName name="ACD6L">#REF!</definedName>
    <definedName name="ACD6R">#REF!</definedName>
    <definedName name="ACD7L">#REF!</definedName>
    <definedName name="ACD7R">#REF!</definedName>
    <definedName name="ACD8L">#REF!</definedName>
    <definedName name="ACD8R">#REF!</definedName>
    <definedName name="ACD9L">#REF!</definedName>
    <definedName name="ACD9R">#REF!</definedName>
    <definedName name="ACDA" hidden="1">#REF!</definedName>
    <definedName name="ACE10L">#REF!</definedName>
    <definedName name="ACE10R">#REF!</definedName>
    <definedName name="ACE3L">#REF!</definedName>
    <definedName name="ACE3R">#REF!</definedName>
    <definedName name="ACE4L">#REF!</definedName>
    <definedName name="ACE4R">#REF!</definedName>
    <definedName name="ACE5L">#REF!</definedName>
    <definedName name="ACE5R">#REF!</definedName>
    <definedName name="ACE6L">#REF!</definedName>
    <definedName name="ACE6R">#REF!</definedName>
    <definedName name="ACE7L">#REF!</definedName>
    <definedName name="ACE7R">#REF!</definedName>
    <definedName name="ACE8L">#REF!</definedName>
    <definedName name="ACE8R">#REF!</definedName>
    <definedName name="ACE9L">#REF!</definedName>
    <definedName name="ACE9R">#REF!</definedName>
    <definedName name="ACH10L">#REF!</definedName>
    <definedName name="ACH10R">#REF!</definedName>
    <definedName name="ACH3L">#REF!</definedName>
    <definedName name="ACH3R">#REF!</definedName>
    <definedName name="ACH4L">#REF!</definedName>
    <definedName name="ACH4R">#REF!</definedName>
    <definedName name="ACH5L">#REF!</definedName>
    <definedName name="ACH5R">#REF!</definedName>
    <definedName name="ACH6L">#REF!</definedName>
    <definedName name="ACH6R">#REF!</definedName>
    <definedName name="ACH7L">#REF!</definedName>
    <definedName name="ACH7R">#REF!</definedName>
    <definedName name="ACH8L">#REF!</definedName>
    <definedName name="ACH8R">#REF!</definedName>
    <definedName name="ACH9L">#REF!</definedName>
    <definedName name="ACH9R">#REF!</definedName>
    <definedName name="ACRF_A">#REF!</definedName>
    <definedName name="ACRF_N">#REF!</definedName>
    <definedName name="ACSW_A">#REF!</definedName>
    <definedName name="ACSW_N">#REF!</definedName>
    <definedName name="acti_day">#REF!</definedName>
    <definedName name="acti_month">#REF!</definedName>
    <definedName name="acti_monthday">#REF!</definedName>
    <definedName name="acti_year">#REF!</definedName>
    <definedName name="Activity">#REF!</definedName>
    <definedName name="ActR">#REF!</definedName>
    <definedName name="ActR_h">#REF!</definedName>
    <definedName name="ACwvu.매출입." hidden="1">#REF!</definedName>
    <definedName name="ACX" hidden="1">#REF!</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_1" hidden="1">{#N/A,#N/A,FALSE,"이태원철근"}</definedName>
    <definedName name="ada" hidden="1">{#N/A,#N/A,FALSE,"이태원철근"}</definedName>
    <definedName name="adawrqwaxc">#REF!</definedName>
    <definedName name="ADC" hidden="1">#REF!</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D">#REF!</definedName>
    <definedName name="ADDI">#REF!</definedName>
    <definedName name="ADDN">#REF!</definedName>
    <definedName name="ADDSADA">#N/A</definedName>
    <definedName name="ADDY">#REF!</definedName>
    <definedName name="ADEDQ" hidden="1">{"'장비'!$A$3:$M$12"}</definedName>
    <definedName name="AD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a" hidden="1">{#N/A,#N/A,FALSE,"CCTV"}</definedName>
    <definedName name="adfa_1" hidden="1">{#N/A,#N/A,FALSE,"CCTV"}</definedName>
    <definedName name="adfaddhgraeh" hidden="1">{#N/A,#N/A,FALSE,"Sheet1"}</definedName>
    <definedName name="adfadfa" hidden="1">{#N/A,#N/A,FALSE,"구조2"}</definedName>
    <definedName name="ADFADSF" hidden="1">#REF!</definedName>
    <definedName name="ADFAF">#REF!,#REF!</definedName>
    <definedName name="adfasdfagsd" hidden="1">#REF!</definedName>
    <definedName name="ADFDASF">#REF!</definedName>
    <definedName name="ADFDFFDDF">#REF!</definedName>
    <definedName name="adfdge" hidden="1">{#N/A,#N/A,FALSE,"2~8번"}</definedName>
    <definedName name="ADFF" hidden="1">#REF!</definedName>
    <definedName name="ADFHSA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V" hidden="1">{#N/A,#N/A,FALSE,"전력간선"}</definedName>
    <definedName name="adfvvv" hidden="1">{"'Firr(선)'!$AS$1:$AY$62","'Firr(사)'!$AS$1:$AY$62","'Firr(회)'!$AS$1:$AY$62","'Firr(선)'!$L$1:$V$62","'Firr(사)'!$L$1:$V$62","'Firr(회)'!$L$1:$V$62"}</definedName>
    <definedName name="ADGR" hidden="1">{#N/A,#N/A,FALSE,"Sheet1"}</definedName>
    <definedName name="ADITION" hidden="1">{"'장비'!$A$3:$M$12"}</definedName>
    <definedName name="ADSDF" hidden="1">{#N/A,#N/A,TRUE,"Y생산";#N/A,#N/A,TRUE,"Y판매";#N/A,#N/A,TRUE,"Y총물량";#N/A,#N/A,TRUE,"Y능력";#N/A,#N/A,TRUE,"YKD"}</definedName>
    <definedName name="ADSDSF">#REF!</definedName>
    <definedName name="adsf" hidden="1">{#N/A,#N/A,FALSE,"Sheet1"}</definedName>
    <definedName name="adsfd" hidden="1">#REF!</definedName>
    <definedName name="adsfdf2" hidden="1">{#N/A,#N/A,FALSE,"Sheet1"}</definedName>
    <definedName name="ADSFDFS" hidden="1">#REF!</definedName>
    <definedName name="ADSFDSF" hidden="1">#REF!</definedName>
    <definedName name="ADSFFDS" hidden="1">#REF!</definedName>
    <definedName name="ADSFIOJR2OI32" hidden="1">{#N/A,#N/A,FALSE,"Sheet1"}</definedName>
    <definedName name="adsflk">#N/A</definedName>
    <definedName name="ae">#REF!</definedName>
    <definedName name="AED">#REF!</definedName>
    <definedName name="aeee" hidden="1">{#N/A,#N/A,FALSE,"CCTV"}</definedName>
    <definedName name="aer">#REF!,#REF!</definedName>
    <definedName name="aertsdgfa" hidden="1">{#N/A,#N/A,FALSE,"BS";#N/A,#N/A,FALSE,"PL";#N/A,#N/A,FALSE,"처분";#N/A,#N/A,FALSE,"현금";#N/A,#N/A,FALSE,"매출";#N/A,#N/A,FALSE,"원가";#N/A,#N/A,FALSE,"경영"}</definedName>
    <definedName name="aervbgr">#REF!</definedName>
    <definedName name="af">#REF!</definedName>
    <definedName name="AFAGA" localSheetId="0">BlankMacro1</definedName>
    <definedName name="AFAGA">BlankMacro1</definedName>
    <definedName name="afasd" hidden="1">{#N/A,#N/A,FALSE,"단가표지"}</definedName>
    <definedName name="AFASDF23" hidden="1">{#N/A,#N/A,FALSE,"Sheet1"}</definedName>
    <definedName name="afasdfasf" hidden="1">{#N/A,#N/A,FALSE,"CCTV"}</definedName>
    <definedName name="afasdfasf_1" hidden="1">{#N/A,#N/A,FALSE,"CCTV"}</definedName>
    <definedName name="AFASFF">#N/A</definedName>
    <definedName name="AFC설비">#REF!</definedName>
    <definedName name="afd" hidden="1">{#N/A,#N/A,FALSE,"운반시간"}</definedName>
    <definedName name="afdasgh" hidden="1">{#N/A,#N/A,FALSE,"CCTV"}</definedName>
    <definedName name="afdddf">#REF!</definedName>
    <definedName name="afddfg" hidden="1">{#N/A,#N/A,FALSE,"Sheet1"}</definedName>
    <definedName name="AFDEWAD" hidden="1">{#N/A,#N/A,FALSE,"혼합골재"}</definedName>
    <definedName name="AFDFD" hidden="1">#REF!</definedName>
    <definedName name="AFDFDSF">#REF!</definedName>
    <definedName name="afdfdsfd">#REF!</definedName>
    <definedName name="AFDGUYR">#REF!</definedName>
    <definedName name="AFDS">#REF!</definedName>
    <definedName name="AFDSEWR23R23" hidden="1">{#N/A,#N/A,FALSE,"Sheet1"}</definedName>
    <definedName name="AFDSF" hidden="1">{#N/A,#N/A,FALSE,"Sheet1"}</definedName>
    <definedName name="afdsf23">#REF!</definedName>
    <definedName name="afdsfdg" hidden="1">{#N/A,#N/A,FALSE,"CCTV"}</definedName>
    <definedName name="AFDSJHBFSDUH238" hidden="1">{#N/A,#N/A,FALSE,"Sheet1"}</definedName>
    <definedName name="AFDWE23" hidden="1">{#N/A,#N/A,FALSE,"Sheet1"}</definedName>
    <definedName name="AFDWERE" hidden="1">{#N/A,#N/A,FALSE,"Sheet1"}</definedName>
    <definedName name="AFEWRFWE">#REF!</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d">#REF!</definedName>
    <definedName name="afffgff" hidden="1">{#N/A,#N/A,FALSE,"CCTV"}</definedName>
    <definedName name="AFGA" hidden="1">{#N/A,#N/A,FALSE,"단가표지"}</definedName>
    <definedName name="AFS">#N/A</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_1" hidden="1">{#N/A,#N/A,FALSE,"이태원철근"}</definedName>
    <definedName name="AG통합">#REF!</definedName>
    <definedName name="AGA">#REF!</definedName>
    <definedName name="AGA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AIN">#REF!</definedName>
    <definedName name="AGD">#REF!</definedName>
    <definedName name="AGDAWE" hidden="1">{#N/A,#N/A,FALSE,"Sheet1"}</definedName>
    <definedName name="agdg">#REF!</definedName>
    <definedName name="agds">#REF!</definedName>
    <definedName name="agdump">#REF!</definedName>
    <definedName name="agedump">#REF!</definedName>
    <definedName name="agencydump">#REF!</definedName>
    <definedName name="AGENCYLY">#REF!</definedName>
    <definedName name="AGENCYPLAN">#REF!</definedName>
    <definedName name="agfg" hidden="1">{"'장비'!$A$3:$M$12"}</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as">#REF!</definedName>
    <definedName name="AGREG" hidden="1">{#N/A,#N/A,FALSE,"운반시간"}</definedName>
    <definedName name="a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_1" hidden="1">{#N/A,#N/A,FALSE,"이태원철근"}</definedName>
    <definedName name="ahaer">#REF!</definedName>
    <definedName name="AHAHAH" hidden="1">{#N/A,#N/A,FALSE,"표지목차"}</definedName>
    <definedName name="aheh" hidden="1">{#N/A,#N/A,FALSE,"이태원철근"}</definedName>
    <definedName name="AHF" hidden="1">#REF!</definedName>
    <definedName name="ahffk">{"'용역비'!$A$4:$C$8"}</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ioryoi">#REF!</definedName>
    <definedName name="ahiroal">#REF!</definedName>
    <definedName name="ahirola">#REF!</definedName>
    <definedName name="AHN">#REF!,#REF!</definedName>
    <definedName name="AHQ">#REF!</definedName>
    <definedName name="ahstr" hidden="1">{#N/A,#N/A,FALSE,"BS";#N/A,#N/A,FALSE,"PL";#N/A,#N/A,FALSE,"처분";#N/A,#N/A,FALSE,"현금";#N/A,#N/A,FALSE,"매출";#N/A,#N/A,FALSE,"원가";#N/A,#N/A,FALSE,"경영"}</definedName>
    <definedName name="AI">#REF!</definedName>
    <definedName name="ai_1" hidden="1">{#N/A,#N/A,FALSE,"이태원철근"}</definedName>
    <definedName name="AID">#REF!</definedName>
    <definedName name="ailhl">#REF!</definedName>
    <definedName name="AIR_SYSTEM">#REF!</definedName>
    <definedName name="air_trap">#REF!</definedName>
    <definedName name="AJ" hidden="1">{#N/A,#N/A,FALSE,"이태원철근"}</definedName>
    <definedName name="ajdi" hidden="1">{#N/A,#N/A,FALSE,"집계표"}</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SL">#REF!</definedName>
    <definedName name="ak" hidden="1">#REF!</definedName>
    <definedName name="ak_1" hidden="1">{#N/A,#N/A,FALSE,"이태원철근"}</definedName>
    <definedName name="AKD">#REF!</definedName>
    <definedName name="AL">#REF!</definedName>
    <definedName name="AL_스펜드럴">#REF!</definedName>
    <definedName name="AL_ANODE">#REF!</definedName>
    <definedName name="AL공사" hidden="1">#REF!</definedName>
    <definedName name="AL몰딩노">#REF!</definedName>
    <definedName name="AL몰딩설치">#REF!</definedName>
    <definedName name="AL스펜드럴노">#REF!</definedName>
    <definedName name="AL창호">#N/A</definedName>
    <definedName name="ala">#REF!,#REF!,#REF!,#REF!,#REF!,#REF!,#REF!,#REF!,#REF!,#REF!,#REF!,#REF!,#REF!,#REF!</definedName>
    <definedName name="ALCKDGH" hidden="1">{#N/A,#N/A,FALSE,"CCTV"}</definedName>
    <definedName name="alfm"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Alkali">#REF!</definedName>
    <definedName name="ALKr">#REF!</definedName>
    <definedName name="ALKs">#REF!</definedName>
    <definedName name="ALL">#N/A</definedName>
    <definedName name="ALLTO">#REF!</definedName>
    <definedName name="ALPHA">#REF!</definedName>
    <definedName name="alslsdkjfjs" hidden="1">#REF!</definedName>
    <definedName name="am">#REF!</definedName>
    <definedName name="amc">#REF!</definedName>
    <definedName name="AMD">#REF!</definedName>
    <definedName name="AMOUNT">#REF!</definedName>
    <definedName name="Amount_￦">#REF!</definedName>
    <definedName name="Amount_h">#REF!</definedName>
    <definedName name="AMP">#REF!</definedName>
    <definedName name="Amt_Contingency">#REF!</definedName>
    <definedName name="AMT_CONTINGENCY_FEE">#REF!</definedName>
    <definedName name="Amt_Demolition">#REF!</definedName>
    <definedName name="Amt_Design.Fee">#REF!</definedName>
    <definedName name="Amt_Direct.Cost">#REF!</definedName>
    <definedName name="Amt_Earth.Work">#REF!</definedName>
    <definedName name="Amt_Elec">#REF!</definedName>
    <definedName name="Amt_Ext.Civil">#REF!</definedName>
    <definedName name="Amt_Finish.Work">#REF!</definedName>
    <definedName name="Amt_Lift">#REF!</definedName>
    <definedName name="Amt_Mech">#REF!</definedName>
    <definedName name="Amt_Onsite">#REF!</definedName>
    <definedName name="Amt_Others">#REF!</definedName>
    <definedName name="Amt_PC.PS">#REF!</definedName>
    <definedName name="Amt_Pile.Work">#REF!</definedName>
    <definedName name="Amt_Project">#REF!</definedName>
    <definedName name="Amt_Sub.Struc">#REF!</definedName>
    <definedName name="Amt_Super.Struc">#REF!</definedName>
    <definedName name="AMXE08">#REF!</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_ANODE">#REF!</definedName>
    <definedName name="an1_ea">#REF!</definedName>
    <definedName name="an21_e">#REF!</definedName>
    <definedName name="an21_ea">#REF!</definedName>
    <definedName name="an22_ea">#REF!</definedName>
    <definedName name="anal_ij">#REF!</definedName>
    <definedName name="anan" localSheetId="0">BlankMacro1</definedName>
    <definedName name="anan">BlankMacro1</definedName>
    <definedName name="ANFRK2">#REF!</definedName>
    <definedName name="ANFRK3">#REF!</definedName>
    <definedName name="anfrkk">#REF!</definedName>
    <definedName name="ANG">#REF!</definedName>
    <definedName name="angle">#REF!</definedName>
    <definedName name="ANGLE_30">#REF!</definedName>
    <definedName name="ANGLE_40">#REF!</definedName>
    <definedName name="ANGLE1">#REF!</definedName>
    <definedName name="ANGLE21">#REF!</definedName>
    <definedName name="ANGLE22">#REF!</definedName>
    <definedName name="anj">#REF!</definedName>
    <definedName name="ANJDI" hidden="1">{#N/A,#N/A,FALSE,"제목"}</definedName>
    <definedName name="ANJUN">#N/A</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ODE재">#REF!</definedName>
    <definedName name="ans" hidden="1">{#N/A,#N/A,FALSE,"이태원철근"}</definedName>
    <definedName name="anscount" hidden="1">1</definedName>
    <definedName name="AO">#REF!</definedName>
    <definedName name="AOD">#REF!</definedName>
    <definedName name="ap" hidden="1">{#N/A,#N/A,FALSE,"이태원철근"}</definedName>
    <definedName name="ap_s_t">#REF!</definedName>
    <definedName name="APB">#REF!</definedName>
    <definedName name="APL">#REF!</definedName>
    <definedName name="apm">#REF!</definedName>
    <definedName name="APT">#REF!</definedName>
    <definedName name="aq" hidden="1">{#N/A,#N/A,FALSE,"CCTV"}</definedName>
    <definedName name="aqaq">#REF!</definedName>
    <definedName name="AQD">#REF!</definedName>
    <definedName name="AQE" hidden="1">{"'장비'!$A$3:$M$12"}</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 hidden="1">{#N/A,#N/A,FALSE,"운반시간"}</definedName>
    <definedName name="aray">#REF!</definedName>
    <definedName name="ARD" hidden="1">#REF!</definedName>
    <definedName name="are">#REF!</definedName>
    <definedName name="AREA">#REF!</definedName>
    <definedName name="AREA0002" hidden="1">#REF!</definedName>
    <definedName name="ARESULT">#REF!</definedName>
    <definedName name="ARG" hidden="1">{#N/A,#N/A,FALSE,"표지목차"}</definedName>
    <definedName name="ARGA" hidden="1">{#N/A,#N/A,FALSE,"단가표지"}</definedName>
    <definedName name="arhli">#REF!</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SW">#REF!</definedName>
    <definedName name="ART">#REF!</definedName>
    <definedName name="ARTAERTQRT" hidden="1">{#N/A,#N/A,FALSE,"손익표지";#N/A,#N/A,FALSE,"손익계산";#N/A,#N/A,FALSE,"일반관리비";#N/A,#N/A,FALSE,"영업외수익";#N/A,#N/A,FALSE,"영업외비용";#N/A,#N/A,FALSE,"매출액";#N/A,#N/A,FALSE,"요약손익";#N/A,#N/A,FALSE,"요약대차";#N/A,#N/A,FALSE,"매출채권현황";#N/A,#N/A,FALSE,"매출채권명세"}</definedName>
    <definedName name="as" hidden="1">#REF!</definedName>
    <definedName name="AS1_">#REF!</definedName>
    <definedName name="AS12.5">#REF!</definedName>
    <definedName name="ASA">#REF!</definedName>
    <definedName name="asaaaa" hidden="1">#REF!</definedName>
    <definedName name="asaasa">#REF!</definedName>
    <definedName name="ASADS">#REF!</definedName>
    <definedName name="ASAS">#REF!</definedName>
    <definedName name="ASasasASa" hidden="1">{"'별표'!$N$220"}</definedName>
    <definedName name="ASB">#REF!</definedName>
    <definedName name="ASC" hidden="1">#REF!</definedName>
    <definedName name="ASCO">#REF!</definedName>
    <definedName name="ASCON">#REF!</definedName>
    <definedName name="AsconW">#REF!</definedName>
    <definedName name="asczxc" hidden="1">{#N/A,#N/A,FALSE,"BS";#N/A,#N/A,FALSE,"PL";#N/A,#N/A,FALSE,"처분";#N/A,#N/A,FALSE,"현금";#N/A,#N/A,FALSE,"매출";#N/A,#N/A,FALSE,"원가";#N/A,#N/A,FALSE,"경영"}</definedName>
    <definedName name="asd" hidden="1">{#N/A,#N/A,FALSE,"BS";#N/A,#N/A,FALSE,"PL";#N/A,#N/A,FALSE,"처분";#N/A,#N/A,FALSE,"현금";#N/A,#N/A,FALSE,"매출";#N/A,#N/A,FALSE,"원가";#N/A,#N/A,FALSE,"경영"}</definedName>
    <definedName name="ASDA" hidden="1">#REF!</definedName>
    <definedName name="asdad">#REF!</definedName>
    <definedName name="asdas" hidden="1">{#N/A,#N/A,FALSE,"조골재"}</definedName>
    <definedName name="ASDAW">#N/A</definedName>
    <definedName name="asdc" hidden="1">{#N/A,#N/A,FALSE,"BS";#N/A,#N/A,FALSE,"PL";#N/A,#N/A,FALSE,"처분";#N/A,#N/A,FALSE,"현금";#N/A,#N/A,FALSE,"매출";#N/A,#N/A,FALSE,"원가";#N/A,#N/A,FALSE,"경영"}</definedName>
    <definedName name="asd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f" hidden="1">{#N/A,#N/A,FALSE,"BS";#N/A,#N/A,FALSE,"PL";#N/A,#N/A,FALSE,"처분";#N/A,#N/A,FALSE,"현금";#N/A,#N/A,FALSE,"매출";#N/A,#N/A,FALSE,"원가";#N/A,#N/A,FALSE,"경영"}</definedName>
    <definedName name="ASDF34R431R" hidden="1">{#N/A,#N/A,FALSE,"Sheet1"}</definedName>
    <definedName name="asdfads" hidden="1">{#N/A,#N/A,FALSE,"Sheet1"}</definedName>
    <definedName name="asdfadsf" hidden="1">{#N/A,#N/A,FALSE,"Sheet1"}</definedName>
    <definedName name="asdfaesfewf">#N/A</definedName>
    <definedName name="asdfasdf" hidden="1">{#N/A,#N/A,FALSE,"CCTV"}</definedName>
    <definedName name="asdfasdf_1" hidden="1">{#N/A,#N/A,FALSE,"CCTV"}</definedName>
    <definedName name="asdfasdfafdfd" hidden="1">{#N/A,#N/A,FALSE,"배수1"}</definedName>
    <definedName name="asdfasdfasdf" hidden="1">{#N/A,#N/A,FALSE,"BS";#N/A,#N/A,FALSE,"PL";#N/A,#N/A,FALSE,"처분";#N/A,#N/A,FALSE,"현금";#N/A,#N/A,FALSE,"매출";#N/A,#N/A,FALSE,"원가";#N/A,#N/A,FALSE,"경영"}</definedName>
    <definedName name="asdfasdfasdfasfcasx" hidden="1">#REF!</definedName>
    <definedName name="asdfasdfasf" hidden="1">{#N/A,#N/A,FALSE,"BS";#N/A,#N/A,FALSE,"PL";#N/A,#N/A,FALSE,"처분";#N/A,#N/A,FALSE,"현금";#N/A,#N/A,FALSE,"매출";#N/A,#N/A,FALSE,"원가";#N/A,#N/A,FALSE,"경영"}</definedName>
    <definedName name="asdfasfdasdf">#REF!</definedName>
    <definedName name="asdfd" hidden="1">#REF!</definedName>
    <definedName name="asdfds" hidden="1">#REF!</definedName>
    <definedName name="ASDFFD" hidden="1">#REF!</definedName>
    <definedName name="ASDFW" hidden="1">#REF!</definedName>
    <definedName name="asdfwer23" hidden="1">{#N/A,#N/A,FALSE,"Sheet1"}</definedName>
    <definedName name="ASD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ga" hidden="1">{#N/A,#N/A,FALSE,"이태원철근"}</definedName>
    <definedName name="asdjjkj">#REF!</definedName>
    <definedName name="asdrrrrrrrrrrrrrrrrrrrrrrr">#REF!</definedName>
    <definedName name="ASDSADASDSADASDASD" hidden="1">{#N/A,#N/A,FALSE,"지침";#N/A,#N/A,FALSE,"환경분석";#N/A,#N/A,FALSE,"Sheet16"}</definedName>
    <definedName name="asdvwefvds">#REF!</definedName>
    <definedName name="asdware">#REF!</definedName>
    <definedName name="asdwes" hidden="1">{#N/A,#N/A,FALSE,"현장 NCR 분석";#N/A,#N/A,FALSE,"현장품질감사";#N/A,#N/A,FALSE,"현장품질감사"}</definedName>
    <definedName name="asdwes_1" hidden="1">{#N/A,#N/A,FALSE,"현장 NCR 분석";#N/A,#N/A,FALSE,"현장품질감사";#N/A,#N/A,FALSE,"현장품질감사"}</definedName>
    <definedName name="ASE">#REF!</definedName>
    <definedName name="asefvqwefqe" hidden="1">#REF!</definedName>
    <definedName name="ASF" hidden="1">{#N/A,#N/A,FALSE,"2~8번"}</definedName>
    <definedName name="ASFA" hidden="1">{#N/A,#N/A,FALSE,"교리2"}</definedName>
    <definedName name="asfas" hidden="1">{#N/A,#N/A,FALSE,"표지목차"}</definedName>
    <definedName name="asfdds" hidden="1">#REF!</definedName>
    <definedName name="ASFDFDDFWW">#REF!</definedName>
    <definedName name="ASFDF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FG" hidden="1">#REF!</definedName>
    <definedName name="asfh" hidden="1">#REF!</definedName>
    <definedName name="asfq3trf" hidden="1">#REF!</definedName>
    <definedName name="ASFSDFDFFDS" hidden="1">#REF!</definedName>
    <definedName name="asftawt" hidden="1">#REF!</definedName>
    <definedName name="asfwe" hidden="1">{"'Firr(선)'!$AS$1:$AY$62","'Firr(사)'!$AS$1:$AY$62","'Firr(회)'!$AS$1:$AY$62","'Firr(선)'!$L$1:$V$62","'Firr(사)'!$L$1:$V$62","'Firr(회)'!$L$1:$V$62"}</definedName>
    <definedName name="ASG" hidden="1">#REF!</definedName>
    <definedName name="ASGDGDDFGDF" hidden="1">#REF!</definedName>
    <definedName name="ASGF" hidden="1">{#N/A,#N/A,FALSE,"2~8번"}</definedName>
    <definedName name="ASJGU" hidden="1">{#N/A,#N/A,FALSE,"현장 NCR 분석";#N/A,#N/A,FALSE,"현장품질감사";#N/A,#N/A,FALSE,"현장품질감사"}</definedName>
    <definedName name="ASL">#REF!</definedName>
    <definedName name="ASOURCE">#REF!</definedName>
    <definedName name="ASP">#REF!</definedName>
    <definedName name="ASP깨기">#REF!</definedName>
    <definedName name="ASP두께">#REF!</definedName>
    <definedName name="ASP복구">#REF!</definedName>
    <definedName name="ASP컷트">#REF!</definedName>
    <definedName name="ASPHALT">#REF!</definedName>
    <definedName name="ASPO">#REF!</definedName>
    <definedName name="asrawer" hidden="1">{#N/A,#N/A,FALSE,"BS";#N/A,#N/A,FALSE,"PL";#N/A,#N/A,FALSE,"처분";#N/A,#N/A,FALSE,"현금";#N/A,#N/A,FALSE,"매출";#N/A,#N/A,FALSE,"원가";#N/A,#N/A,FALSE,"경영"}</definedName>
    <definedName name="ASRTHRTA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s" hidden="1">#REF!</definedName>
    <definedName name="ASSUMPTIONS"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AST">#REF!</definedName>
    <definedName name="asw">#REF!</definedName>
    <definedName name="asx">#REF!</definedName>
    <definedName name="AT">#REF!</definedName>
    <definedName name="ateagh">#REF!</definedName>
    <definedName name="ATRYQYQ" hidden="1">{#N/A,#N/A,FALSE,"배수1"}</definedName>
    <definedName name="AU">#REF!</definedName>
    <definedName name="Àü">#N/A</definedName>
    <definedName name="AUAcºn">#REF!</definedName>
    <definedName name="AUD">#REF!</definedName>
    <definedName name="AUD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us">#REF!</definedName>
    <definedName name="AUTOCON_A">#REF!</definedName>
    <definedName name="AUTOCON_N">#REF!</definedName>
    <definedName name="autoexec">#REF!</definedName>
    <definedName name="AV">#REF!</definedName>
    <definedName name="AVAG" hidden="1">{#N/A,#N/A,FALSE,"현장 NCR 분석";#N/A,#N/A,FALSE,"현장품질감사";#N/A,#N/A,FALSE,"현장품질감사"}</definedName>
    <definedName name="AVGHBD">#REF!</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#REF!</definedName>
    <definedName name="AW_20.1_12.65_제작설치">#REF!</definedName>
    <definedName name="AW_23.5_12.65_제작설치">#REF!</definedName>
    <definedName name="AW_68.5_22.65_제작설치">#REF!</definedName>
    <definedName name="AWD">#REF!,#REF!</definedName>
    <definedName name="awe" hidden="1">{#N/A,#N/A,FALSE,"기안지";#N/A,#N/A,FALSE,"통신지"}</definedName>
    <definedName name="AWEGAWEG" hidden="1">#REF!</definedName>
    <definedName name="awer" hidden="1">{"'Firr(선)'!$AS$1:$AY$62","'Firr(사)'!$AS$1:$AY$62","'Firr(회)'!$AS$1:$AY$62","'Firr(선)'!$L$1:$V$62","'Firr(사)'!$L$1:$V$62","'Firr(회)'!$L$1:$V$62"}</definedName>
    <definedName name="awerawerarwe" hidden="1">{#N/A,#N/A,FALSE,"운반시간"}</definedName>
    <definedName name="awerawrae" hidden="1">{#N/A,#N/A,FALSE,"단가표지"}</definedName>
    <definedName name="AWEREW">#REF!</definedName>
    <definedName name="awet" hidden="1">{#N/A,#N/A,FALSE,"BS";#N/A,#N/A,FALSE,"PL";#N/A,#N/A,FALSE,"처분";#N/A,#N/A,FALSE,"현금";#N/A,#N/A,FALSE,"매출";#N/A,#N/A,FALSE,"원가";#N/A,#N/A,FALSE,"경영"}</definedName>
    <definedName name="AWG" hidden="1">#REF!</definedName>
    <definedName name="AWGRA" hidden="1">#REF!</definedName>
    <definedName name="AWGRWGAW" hidden="1">#REF!</definedName>
    <definedName name="awqewewe">#REF!</definedName>
    <definedName name="AWRAETEWATERA">#N/A</definedName>
    <definedName name="awrewearre" hidden="1">{#N/A,#N/A,FALSE,"단가표지"}</definedName>
    <definedName name="AWRREWR">#N/A</definedName>
    <definedName name="awrwerweraawre" hidden="1">{#N/A,#N/A,FALSE,"조골재"}</definedName>
    <definedName name="AXCQEWD">#REF!</definedName>
    <definedName name="axcZXCZXC" hidden="1">{#N/A,#N/A,FALSE,"BS";#N/A,#N/A,FALSE,"PL";#N/A,#N/A,FALSE,"처분";#N/A,#N/A,FALSE,"현금";#N/A,#N/A,FALSE,"매출";#N/A,#N/A,FALSE,"원가";#N/A,#N/A,FALSE,"경영"}</definedName>
    <definedName name="AXD"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YERYAFGFDF" hidden="1">{#N/A,#N/A,FALSE,"전력간선"}</definedName>
    <definedName name="AYYEY" hidden="1">{#N/A,#N/A,FALSE,"부대1"}</definedName>
    <definedName name="azsr">#REF!</definedName>
    <definedName name="AZX">#REF!,#REF!</definedName>
    <definedName name="B">#REF!</definedName>
    <definedName name="B_1">#REF!</definedName>
    <definedName name="B_FLG">#REF!</definedName>
    <definedName name="B.1">#REF!</definedName>
    <definedName name="B.2">#REF!</definedName>
    <definedName name="B.3">#REF!</definedName>
    <definedName name="B.4">#REF!</definedName>
    <definedName name="B.P장설치" hidden="1">{#N/A,#N/A,FALSE,"2~8번"}</definedName>
    <definedName name="B0">#REF!</definedName>
    <definedName name="B1_">#REF!</definedName>
    <definedName name="B10A1P">#REF!</definedName>
    <definedName name="b10a1t">#REF!</definedName>
    <definedName name="b10a2p">#REF!</definedName>
    <definedName name="b10a2t">#REF!</definedName>
    <definedName name="B10㎝">#REF!</definedName>
    <definedName name="B10GJamount">#REF!</definedName>
    <definedName name="B11A1P">#REF!</definedName>
    <definedName name="b11a1t">#REF!</definedName>
    <definedName name="b11a2p">#REF!</definedName>
    <definedName name="b11a2t">#REF!</definedName>
    <definedName name="B11GJamount">#REF!</definedName>
    <definedName name="B12A1P">#REF!</definedName>
    <definedName name="b12a1t">#REF!</definedName>
    <definedName name="b12a2p">#REF!</definedName>
    <definedName name="b12a2t">#REF!</definedName>
    <definedName name="B12㎝">#REF!</definedName>
    <definedName name="B12GJamount">#REF!</definedName>
    <definedName name="B13A1P">#REF!</definedName>
    <definedName name="b13a1t">#REF!</definedName>
    <definedName name="b13a2p">#REF!</definedName>
    <definedName name="b13a2t">#REF!</definedName>
    <definedName name="B13GJamount">#REF!</definedName>
    <definedName name="B14A1P">#REF!</definedName>
    <definedName name="b14a1t">#REF!</definedName>
    <definedName name="b14a2p">#REF!</definedName>
    <definedName name="b14a2t">#REF!</definedName>
    <definedName name="B14GJamount">#REF!</definedName>
    <definedName name="B15A1P">#REF!</definedName>
    <definedName name="b15a1t">#REF!</definedName>
    <definedName name="b15a2p">#REF!</definedName>
    <definedName name="b15a2t">#REF!</definedName>
    <definedName name="B15㎝">#REF!</definedName>
    <definedName name="B15GJamount">#REF!</definedName>
    <definedName name="B16A1T">#REF!</definedName>
    <definedName name="B16A2P">#REF!</definedName>
    <definedName name="B16GJamount">#REF!</definedName>
    <definedName name="B17GJamount">#REF!</definedName>
    <definedName name="B18㎝">#REF!</definedName>
    <definedName name="B18GJamount">#REF!</definedName>
    <definedName name="B19GJamount">#REF!</definedName>
    <definedName name="B1A">#REF!</definedName>
    <definedName name="B1A1P">#REF!</definedName>
    <definedName name="b1a1t">#REF!</definedName>
    <definedName name="b1a2p">#REF!</definedName>
    <definedName name="b1a2t">#REF!</definedName>
    <definedName name="B1B">#REF!</definedName>
    <definedName name="B1C">#REF!</definedName>
    <definedName name="B1GJamount">#REF!</definedName>
    <definedName name="B1WL">#REF!</definedName>
    <definedName name="B1WR">#REF!</definedName>
    <definedName name="B20㎝">#REF!</definedName>
    <definedName name="B25㎝">#REF!</definedName>
    <definedName name="B2A">#REF!</definedName>
    <definedName name="B2A1P">#REF!</definedName>
    <definedName name="b2a1t">#REF!</definedName>
    <definedName name="b2a2p">#REF!</definedName>
    <definedName name="b2a2t">#REF!</definedName>
    <definedName name="B2B">#REF!</definedName>
    <definedName name="B2GJamount">#REF!</definedName>
    <definedName name="B2WL">#REF!</definedName>
    <definedName name="B2WR">#REF!</definedName>
    <definedName name="B30A1P">#REF!</definedName>
    <definedName name="b30a1t">#REF!</definedName>
    <definedName name="b30a2p">#REF!</definedName>
    <definedName name="b30a2t">#REF!</definedName>
    <definedName name="B30㎝">#REF!</definedName>
    <definedName name="B3A">#REF!</definedName>
    <definedName name="B3A1P">#REF!</definedName>
    <definedName name="b3a1t">#REF!</definedName>
    <definedName name="b3a2p">#REF!</definedName>
    <definedName name="b3a2t">#REF!</definedName>
    <definedName name="B3B">#REF!</definedName>
    <definedName name="B3GJamount">#REF!</definedName>
    <definedName name="B4A">#REF!</definedName>
    <definedName name="B4A1P">#REF!</definedName>
    <definedName name="b4a1t">#REF!</definedName>
    <definedName name="b4a2p">#REF!</definedName>
    <definedName name="b4a2t">#REF!</definedName>
    <definedName name="B4B">#REF!</definedName>
    <definedName name="B4㎝이하">#REF!</definedName>
    <definedName name="B4GJamount">#REF!</definedName>
    <definedName name="B5A">#REF!</definedName>
    <definedName name="B5A1P">#REF!</definedName>
    <definedName name="b5a1t">#REF!</definedName>
    <definedName name="b5a2p">#REF!</definedName>
    <definedName name="b5a2t">#REF!</definedName>
    <definedName name="B5B">#REF!</definedName>
    <definedName name="B5㎝">#REF!</definedName>
    <definedName name="B5GJamount">#REF!</definedName>
    <definedName name="B6A">#REF!</definedName>
    <definedName name="B6A1P">#REF!</definedName>
    <definedName name="b6a1t">#REF!</definedName>
    <definedName name="b6a2p">#REF!</definedName>
    <definedName name="b6a2t">#REF!</definedName>
    <definedName name="B6B">#REF!</definedName>
    <definedName name="B6㎝">#REF!</definedName>
    <definedName name="B6GJamount">#REF!</definedName>
    <definedName name="B7A">#REF!</definedName>
    <definedName name="B7A1P">#REF!</definedName>
    <definedName name="b7a1t">#REF!</definedName>
    <definedName name="b7a2p">#REF!</definedName>
    <definedName name="b7a2t">#REF!</definedName>
    <definedName name="B7B">#REF!</definedName>
    <definedName name="B7㎝">#REF!</definedName>
    <definedName name="B7GJamount">#REF!</definedName>
    <definedName name="B8A">#REF!</definedName>
    <definedName name="B8A1P">#REF!</definedName>
    <definedName name="b8a1t">#REF!</definedName>
    <definedName name="b8a2p">#REF!</definedName>
    <definedName name="b8a2t">#REF!</definedName>
    <definedName name="B8㎝">#REF!</definedName>
    <definedName name="B8GJamount">#REF!</definedName>
    <definedName name="B9A">#REF!</definedName>
    <definedName name="B9A1P">#REF!</definedName>
    <definedName name="b9a1t">#REF!</definedName>
    <definedName name="b9a2p">#REF!</definedName>
    <definedName name="b9a2t">#REF!</definedName>
    <definedName name="B9GJamount">#REF!</definedName>
    <definedName name="B이">#REF!</definedName>
    <definedName name="B일">#REF!</definedName>
    <definedName name="B제로">#REF!</definedName>
    <definedName name="b포장" hidden="1">{#N/A,#N/A,FALSE,"2~8번"}</definedName>
    <definedName name="BA">#REF!</definedName>
    <definedName name="BA1P">#REF!</definedName>
    <definedName name="ba1t">#REF!</definedName>
    <definedName name="ba2p">#REF!</definedName>
    <definedName name="ba2t">#REF!</definedName>
    <definedName name="back">#REF!</definedName>
    <definedName name="back_pressure">#REF!</definedName>
    <definedName name="BAE_GWANG_GONG">#REF!</definedName>
    <definedName name="ball">#REF!</definedName>
    <definedName name="BaloonText">#REF!</definedName>
    <definedName name="bang">#REF!</definedName>
    <definedName name="BANGHO">#N/A</definedName>
    <definedName name="Barley_Quota">#REF!</definedName>
    <definedName name="BASE">#REF!</definedName>
    <definedName name="base1">#REF!</definedName>
    <definedName name="basiccell">#REF!</definedName>
    <definedName name="basin">{"'장비'!$A$3:$M$12"}</definedName>
    <definedName name="BASIS3">#REF!</definedName>
    <definedName name="BB">#REF!</definedName>
    <definedName name="BBB">#REF!,#REF!</definedName>
    <definedName name="BBBB">#REF!</definedName>
    <definedName name="bbbbb" hidden="1">{#N/A,#N/A,FALSE,"운반시간"}</definedName>
    <definedName name="BBBBBB">#REF!</definedName>
    <definedName name="bbbbbbb" hidden="1">{#N/A,#N/A,FALSE,"조골재"}</definedName>
    <definedName name="bbbbbbbbbb" hidden="1">{#N/A,#N/A,FALSE,"표지목차"}</definedName>
    <definedName name="bbbbbbbbbbbbb" hidden="1">{#N/A,#N/A,FALSE,"혼합골재"}</definedName>
    <definedName name="bbbbbg" hidden="1">{#N/A,#N/A,FALSE,"BS";#N/A,#N/A,FALSE,"PL";#N/A,#N/A,FALSE,"처분";#N/A,#N/A,FALSE,"현금";#N/A,#N/A,FALSE,"매출";#N/A,#N/A,FALSE,"원가";#N/A,#N/A,FALSE,"경영"}</definedName>
    <definedName name="BBC">#REF!</definedName>
    <definedName name="Bbf">#REF!</definedName>
    <definedName name="BBJ">#REF!</definedName>
    <definedName name="BC">#REF!</definedName>
    <definedName name="BC_1" hidden="1">{#N/A,#N/A,FALSE,"이태원철근"}</definedName>
    <definedName name="BC_2" hidden="1">{#N/A,#N/A,FALSE,"이태원철근"}</definedName>
    <definedName name="BC_3" hidden="1">{#N/A,#N/A,FALSE,"이태원철근"}</definedName>
    <definedName name="BC_4" hidden="1">{#N/A,#N/A,FALSE,"이태원철근"}</definedName>
    <definedName name="BCB">#REF!</definedName>
    <definedName name="BCD">#REF!</definedName>
    <definedName name="BCF">#REF!</definedName>
    <definedName name="bcrclcl100rt">#REF!</definedName>
    <definedName name="bcrclcl100rtrkrk">#REF!</definedName>
    <definedName name="Bcv">#REF!</definedName>
    <definedName name="BD">#REF!</definedName>
    <definedName name="BDCODE">#N/A</definedName>
    <definedName name="bdffthj" hidden="1">{#N/A,#N/A,FALSE,"BS";#N/A,#N/A,FALSE,"PL";#N/A,#N/A,FALSE,"처분";#N/A,#N/A,FALSE,"현금";#N/A,#N/A,FALSE,"매출";#N/A,#N/A,FALSE,"원가";#N/A,#N/A,FALSE,"경영"}</definedName>
    <definedName name="bdfgdgr">#REF!</definedName>
    <definedName name="bdm" hidden="1">{#N/A,#N/A,FALSE,"단가표지"}</definedName>
    <definedName name="BDP">#REF!</definedName>
    <definedName name="BE">#REF!</definedName>
    <definedName name="BEAB1">#REF!</definedName>
    <definedName name="BEAB2">#REF!</definedName>
    <definedName name="BEAB3">#REF!</definedName>
    <definedName name="BEAB4">#REF!</definedName>
    <definedName name="BEAB5">#REF!</definedName>
    <definedName name="BEAR1">#REF!</definedName>
    <definedName name="BEAR2">#REF!</definedName>
    <definedName name="BEB">#REF!</definedName>
    <definedName name="BED">#REF!</definedName>
    <definedName name="beepsound">#REF!</definedName>
    <definedName name="BEF..">#REF!</definedName>
    <definedName name="BEGIN1">#REF!</definedName>
    <definedName name="BEGIN2">#N/A</definedName>
    <definedName name="BELL" hidden="1">{#N/A,#N/A,TRUE,"Basic";#N/A,#N/A,TRUE,"EXT-TABLE";#N/A,#N/A,TRUE,"STEEL";#N/A,#N/A,TRUE,"INT-Table";#N/A,#N/A,TRUE,"STEEL";#N/A,#N/A,TRUE,"Door"}</definedName>
    <definedName name="BEST">#REF!</definedName>
    <definedName name="Beta">#REF!</definedName>
    <definedName name="Beta1">#REF!</definedName>
    <definedName name="Beta2">#REF!</definedName>
    <definedName name="Beta3">#REF!</definedName>
    <definedName name="Beta4">#REF!</definedName>
    <definedName name="betas">#REF!</definedName>
    <definedName name="BF">#REF!</definedName>
    <definedName name="BFB">#REF!</definedName>
    <definedName name="bfbfdhfdhdfgh" hidden="1">{#N/A,#N/A,FALSE,"CCTV"}</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F">#REF!</definedName>
    <definedName name="bfy" hidden="1">{#N/A,#N/A,FALSE,"단가표지"}</definedName>
    <definedName name="BG">#REF!</definedName>
    <definedName name="bgb">#REF!</definedName>
    <definedName name="bgfhggbfgh" hidden="1">{#N/A,#N/A,FALSE,"단가표지"}</definedName>
    <definedName name="BGHAHA" hidden="1">{#N/A,#N/A,FALSE,"포장2"}</definedName>
    <definedName name="bghggg">#N/A</definedName>
    <definedName name="BGP">#REF!</definedName>
    <definedName name="BH">#REF!</definedName>
    <definedName name="BH산출" hidden="1">{#N/A,#N/A,FALSE,"물량산출"}</definedName>
    <definedName name="BHB">#REF!</definedName>
    <definedName name="bhcncu" hidden="1">{#N/A,#N/A,FALSE,"혼합골재"}</definedName>
    <definedName name="bhg">#REF!</definedName>
    <definedName name="BHJ" hidden="1">{#N/A,#N/A,FALSE,"Sheet6"}</definedName>
    <definedName name="BHK">#REF!,#REF!</definedName>
    <definedName name="BHNNY">#REF!</definedName>
    <definedName name="BHOP">#REF!</definedName>
    <definedName name="BHR">#REF!</definedName>
    <definedName name="BHS">#REF!</definedName>
    <definedName name="BHU">#REF!</definedName>
    <definedName name="bhy" hidden="1">{#N/A,#N/A,FALSE,"조골재"}</definedName>
    <definedName name="BI" hidden="1">{#N/A,#N/A,FALSE,"이태원철근"}</definedName>
    <definedName name="BI_1" hidden="1">{#N/A,#N/A,FALSE,"이태원철근"}</definedName>
    <definedName name="BI_2" hidden="1">{#N/A,#N/A,FALSE,"이태원철근"}</definedName>
    <definedName name="BI_3" hidden="1">{#N/A,#N/A,FALSE,"이태원철근"}</definedName>
    <definedName name="BI_4" hidden="1">{#N/A,#N/A,FALSE,"이태원철근"}</definedName>
    <definedName name="BI_GAE_GONG">#REF!</definedName>
    <definedName name="BID">#REF!</definedName>
    <definedName name="BIGO">#REF!</definedName>
    <definedName name="BJH" hidden="1">#REF!</definedName>
    <definedName name="bjubjb">#REF!</definedName>
    <definedName name="bkbghjg">#REF!</definedName>
    <definedName name="bkd" hidden="1">{"'Sheet1'!$L$16"}</definedName>
    <definedName name="bkgyfygu">#REF!</definedName>
    <definedName name="BKI">#REF!</definedName>
    <definedName name="BL">#REF!</definedName>
    <definedName name="BLO_1">#N/A</definedName>
    <definedName name="BLOCK">#REF!</definedName>
    <definedName name="BLOCK01">#N/A</definedName>
    <definedName name="BLOCK02">#REF!</definedName>
    <definedName name="BLOCK03">#REF!</definedName>
    <definedName name="BLOCK04">#REF!</definedName>
    <definedName name="bm" hidden="1">{"'Sheet1'!$L$16"}</definedName>
    <definedName name="BM_16MM">#REF!</definedName>
    <definedName name="BM_25MM">#REF!</definedName>
    <definedName name="BM_50MM">#REF!</definedName>
    <definedName name="BM_CD25">#REF!</definedName>
    <definedName name="BM_CRANK">#REF!</definedName>
    <definedName name="BM_LV25">#REF!</definedName>
    <definedName name="BM_LW25">#REF!</definedName>
    <definedName name="BM_PART">#REF!</definedName>
    <definedName name="BM_PTCD25">#REF!</definedName>
    <definedName name="BM_PTCRANK">#REF!</definedName>
    <definedName name="BM_PTLV25">#REF!</definedName>
    <definedName name="BM_PTLW25">#REF!</definedName>
    <definedName name="BM_SHEET2">#REF!</definedName>
    <definedName name="BM.1">#REF!</definedName>
    <definedName name="BM.AFC">#REF!</definedName>
    <definedName name="BMM">#REF!</definedName>
    <definedName name="BMO">#REF!</definedName>
    <definedName name="BN" hidden="1">{#N/A,#N/A,TRUE,"1";#N/A,#N/A,TRUE,"2";#N/A,#N/A,TRUE,"3";#N/A,#N/A,TRUE,"4";#N/A,#N/A,TRUE,"5";#N/A,#N/A,TRUE,"6";#N/A,#N/A,TRUE,"7"}</definedName>
    <definedName name="BN1030SUS">#REF!</definedName>
    <definedName name="BN1060SUS">#REF!</definedName>
    <definedName name="BN1065SUS">#REF!</definedName>
    <definedName name="BN1250SUS">#REF!</definedName>
    <definedName name="BN1270SUS">#REF!</definedName>
    <definedName name="BN1275SUS">#REF!</definedName>
    <definedName name="BN16120SUS">#REF!</definedName>
    <definedName name="BN1650SUS">#REF!</definedName>
    <definedName name="BN1665SUS">#REF!</definedName>
    <definedName name="BN19100SUS">#REF!</definedName>
    <definedName name="BN19120SUS">#REF!</definedName>
    <definedName name="BN19150SUS">#REF!</definedName>
    <definedName name="BN19175SUS">#REF!</definedName>
    <definedName name="BN19200SUS">#REF!</definedName>
    <definedName name="BN1965SUS">#REF!</definedName>
    <definedName name="BN2865ST">#REF!</definedName>
    <definedName name="BN3435SUS">#REF!</definedName>
    <definedName name="bnbv" localSheetId="0">BlankMacro1</definedName>
    <definedName name="bnbv">BlankMacro1</definedName>
    <definedName name="BNFD"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nghgdhe">#N/A</definedName>
    <definedName name="BNH">#REF!</definedName>
    <definedName name="BNM">#REF!</definedName>
    <definedName name="bnn" hidden="1">{#N/A,#N/A,FALSE,"조골재"}</definedName>
    <definedName name="bns">#REF!</definedName>
    <definedName name="bnughvg">#REF!</definedName>
    <definedName name="bnv">#REF!</definedName>
    <definedName name="BO">#REF!</definedName>
    <definedName name="BO_ON_GONG">#REF!</definedName>
    <definedName name="BO_TONG_IN_BU">#REF!</definedName>
    <definedName name="BOB">#REF!</definedName>
    <definedName name="BOD">#REF!</definedName>
    <definedName name="BOD_u">#REF!</definedName>
    <definedName name="BOH10L">#REF!</definedName>
    <definedName name="BOH10R">#REF!</definedName>
    <definedName name="BOH3L">#REF!</definedName>
    <definedName name="BOH3R">#REF!</definedName>
    <definedName name="BOH4L">#REF!</definedName>
    <definedName name="BOH4R">#REF!</definedName>
    <definedName name="BOH5L">#REF!</definedName>
    <definedName name="BOH5R">#REF!</definedName>
    <definedName name="BOH6L">#REF!</definedName>
    <definedName name="BOH6R">#REF!</definedName>
    <definedName name="BOH7L">#REF!</definedName>
    <definedName name="BOH7R">#REF!</definedName>
    <definedName name="BOH8L">#REF!</definedName>
    <definedName name="BOH8R">#REF!</definedName>
    <definedName name="BOH9L">#REF!</definedName>
    <definedName name="BOH9R">#REF!</definedName>
    <definedName name="BOHEM">#N/A</definedName>
    <definedName name="BOK10L">#REF!</definedName>
    <definedName name="BOK10R">#REF!</definedName>
    <definedName name="BOK3L">#REF!</definedName>
    <definedName name="BOK3R">#REF!</definedName>
    <definedName name="BOK4L">#REF!</definedName>
    <definedName name="BOK4R">#REF!</definedName>
    <definedName name="BOK5L">#REF!</definedName>
    <definedName name="BOK5R">#REF!</definedName>
    <definedName name="BOK6L">#REF!</definedName>
    <definedName name="BOK6R">#REF!</definedName>
    <definedName name="BOK7L">#REF!</definedName>
    <definedName name="BOK7R">#REF!</definedName>
    <definedName name="BOK8L">#REF!</definedName>
    <definedName name="BOK8R">#REF!</definedName>
    <definedName name="BOK9L">#REF!</definedName>
    <definedName name="BOK9R">#REF!</definedName>
    <definedName name="BOKRI">#N/A</definedName>
    <definedName name="BOLT">#REF!</definedName>
    <definedName name="BOM_OF_ECP">#N/A</definedName>
    <definedName name="BOND">#REF!</definedName>
    <definedName name="BONG">#N/A</definedName>
    <definedName name="book">#REF!</definedName>
    <definedName name="BOOK2" hidden="1">{#N/A,#N/A,TRUE,"손익보고"}</definedName>
    <definedName name="Bored_60">#REF!</definedName>
    <definedName name="BOSS">#REF!</definedName>
    <definedName name="box">#REF!</definedName>
    <definedName name="BOX_노출">#N/A</definedName>
    <definedName name="BOX_아우트렉박스">#N/A</definedName>
    <definedName name="BOX_화인">#N/A</definedName>
    <definedName name="BOX_COVER">#N/A</definedName>
    <definedName name="BOX_PULL">#N/A</definedName>
    <definedName name="BOX_RA02">#REF!</definedName>
    <definedName name="BOX_RB02">#REF!</definedName>
    <definedName name="BOX4.0x4.0" hidden="1">{#N/A,#N/A,FALSE,"표지목차"}</definedName>
    <definedName name="BOX날개">#REF!</definedName>
    <definedName name="box단수">#REF!</definedName>
    <definedName name="box단위수량">#REF!</definedName>
    <definedName name="BPLATE250">#REF!</definedName>
    <definedName name="BPLATE300">#REF!</definedName>
    <definedName name="BPLATE350">#REF!</definedName>
    <definedName name="bq_ttl_0">#REF!</definedName>
    <definedName name="bq_ttl_1">#REF!</definedName>
    <definedName name="BR">#REF!</definedName>
    <definedName name="br_ea">#REF!</definedName>
    <definedName name="BR.1">#REF!</definedName>
    <definedName name="BRACING">#REF!</definedName>
    <definedName name="BREAK">#REF!</definedName>
    <definedName name="BREAK1">#REF!</definedName>
    <definedName name="BRG">#N/A</definedName>
    <definedName name="BringUserToAboutSheet">#REF!</definedName>
    <definedName name="BringUserToCode">#REF!</definedName>
    <definedName name="BRKRKRTDKDK">#REF!</definedName>
    <definedName name="BS">#REF!</definedName>
    <definedName name="BS_저장품" hidden="1">{#N/A,#N/A,FALSE,"BS";#N/A,#N/A,FALSE,"PL";#N/A,#N/A,FALSE,"처분";#N/A,#N/A,FALSE,"현금";#N/A,#N/A,FALSE,"매출";#N/A,#N/A,FALSE,"원가";#N/A,#N/A,FALSE,"경영"}</definedName>
    <definedName name="BS_전년" hidden="1">{#N/A,#N/A,FALSE,"지침";#N/A,#N/A,FALSE,"환경분석";#N/A,#N/A,FALSE,"Sheet16"}</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D">#REF!</definedName>
    <definedName name="BSH">#REF!</definedName>
    <definedName name="BSS">#REF!</definedName>
    <definedName name="BST">#REF!</definedName>
    <definedName name="BSV">#REF!</definedName>
    <definedName name="BT">#REF!</definedName>
    <definedName name="BTHRT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tnGetData">"GetData1"</definedName>
    <definedName name="BTP">#REF!</definedName>
    <definedName name="btyd" hidden="1">{#N/A,#N/A,FALSE,"표지목차"}</definedName>
    <definedName name="BTYPE">#N/A</definedName>
    <definedName name="bubgijk">#REF!</definedName>
    <definedName name="bubgui">#REF!</definedName>
    <definedName name="BUD">#REF!</definedName>
    <definedName name="BUDGQTY">#REF!</definedName>
    <definedName name="BudvsAct"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BUF">#REF!</definedName>
    <definedName name="BuJae1">#REF!</definedName>
    <definedName name="BuJae2">#REF!</definedName>
    <definedName name="BuJae3">#REF!</definedName>
    <definedName name="BuJae4">#REF!</definedName>
    <definedName name="BUJAE5">#REF!</definedName>
    <definedName name="BULYANGPNT">#REF!</definedName>
    <definedName name="bunfm" hidden="1">{#N/A,#N/A,FALSE,"혼합골재"}</definedName>
    <definedName name="BUNHO">#N/A</definedName>
    <definedName name="BUS_BAR">#N/A</definedName>
    <definedName name="Bust">#REF!</definedName>
    <definedName name="butterfly">#REF!</definedName>
    <definedName name="Button_1">"현장별출고현황_가동_List"</definedName>
    <definedName name="Button_131">"입찰공고현황_공고_목록"</definedName>
    <definedName name="Button_2">"현장별출고현황_가동_List1"</definedName>
    <definedName name="BV">#REF!</definedName>
    <definedName name="bvbvbvbv">#N/A</definedName>
    <definedName name="BVF">#REF!</definedName>
    <definedName name="bvgfher43" hidden="1">{#N/A,#N/A,FALSE,"Sheet1"}</definedName>
    <definedName name="bvqart" hidden="1">{#VALUE!,#N/A,FALSE,0}</definedName>
    <definedName name="bvvc">#REF!</definedName>
    <definedName name="bvx" hidden="1">{#N/A,#N/A,FALSE,"토공2"}</definedName>
    <definedName name="bvyuygy">#REF!</definedName>
    <definedName name="BW">#REF!</definedName>
    <definedName name="BWC">#REF!</definedName>
    <definedName name="BWD">#REF!</definedName>
    <definedName name="bwg" hidden="1">{#VALUE!,#N/A,FALSE,0}</definedName>
    <definedName name="bxcvbgfxy" hidden="1">{#N/A,#N/A,FALSE,"BS";#N/A,#N/A,FALSE,"PL";#N/A,#N/A,FALSE,"처분";#N/A,#N/A,FALSE,"현금";#N/A,#N/A,FALSE,"매출";#N/A,#N/A,FALSE,"원가";#N/A,#N/A,FALSE,"경영"}</definedName>
    <definedName name="bxfgggyj" hidden="1">{#N/A,#N/A,FALSE,"BS";#N/A,#N/A,FALSE,"PL";#N/A,#N/A,FALSE,"처분";#N/A,#N/A,FALSE,"현금";#N/A,#N/A,FALSE,"매출";#N/A,#N/A,FALSE,"원가";#N/A,#N/A,FALSE,"경영"}</definedName>
    <definedName name="bxfgyfjxj" hidden="1">{#N/A,#N/A,FALSE,"BS";#N/A,#N/A,FALSE,"PL";#N/A,#N/A,FALSE,"처분";#N/A,#N/A,FALSE,"현금";#N/A,#N/A,FALSE,"매출";#N/A,#N/A,FALSE,"원가";#N/A,#N/A,FALSE,"경영"}</definedName>
    <definedName name="bxfgyfthf" hidden="1">{#N/A,#N/A,FALSE,"BS";#N/A,#N/A,FALSE,"PL";#N/A,#N/A,FALSE,"처분";#N/A,#N/A,FALSE,"현금";#N/A,#N/A,FALSE,"매출";#N/A,#N/A,FALSE,"원가";#N/A,#N/A,FALSE,"경영"}</definedName>
    <definedName name="BXP">#REF!</definedName>
    <definedName name="BXR">#REF!</definedName>
    <definedName name="BXS">#REF!</definedName>
    <definedName name="bxzfda" hidden="1">{#N/A,#N/A,FALSE,"혼합골재"}</definedName>
    <definedName name="byr" hidden="1">{#N/A,#N/A,FALSE,"단가표지"}</definedName>
    <definedName name="byr45e" hidden="1">{#N/A,#N/A,FALSE,"Sheet1"}</definedName>
    <definedName name="C_">#REF!</definedName>
    <definedName name="C_1">#REF!</definedName>
    <definedName name="c_1e">#REF!</definedName>
    <definedName name="C_2">#REF!</definedName>
    <definedName name="C_2E">#REF!</definedName>
    <definedName name="C_3">#REF!</definedName>
    <definedName name="c_33">#REF!</definedName>
    <definedName name="c_4">#REF!</definedName>
    <definedName name="C_b">#REF!</definedName>
    <definedName name="c1.a1p">#REF!</definedName>
    <definedName name="c1.a1t">#REF!</definedName>
    <definedName name="c1.a2p">#REF!</definedName>
    <definedName name="c1.a2t">#REF!</definedName>
    <definedName name="c2.a1p">#REF!</definedName>
    <definedName name="c2.a1t">#REF!</definedName>
    <definedName name="c2.a2p">#REF!</definedName>
    <definedName name="c2.a2t">#REF!</definedName>
    <definedName name="CA">#N/A</definedName>
    <definedName name="ÇÃ">#N/A</definedName>
    <definedName name="CA10L">#REF!</definedName>
    <definedName name="CA10R">#REF!</definedName>
    <definedName name="CA3L">#REF!</definedName>
    <definedName name="CA3R">#REF!</definedName>
    <definedName name="CA4L">#REF!</definedName>
    <definedName name="CA4R">#REF!</definedName>
    <definedName name="CA5L">#REF!</definedName>
    <definedName name="CA5R">#REF!</definedName>
    <definedName name="CA6L">#REF!</definedName>
    <definedName name="CA6R">#REF!</definedName>
    <definedName name="CA7L">#REF!</definedName>
    <definedName name="CA7R">#REF!</definedName>
    <definedName name="CA8L">#REF!</definedName>
    <definedName name="CA8R">#REF!</definedName>
    <definedName name="CA9L">#REF!</definedName>
    <definedName name="CA9R">#REF!</definedName>
    <definedName name="cable">#REF!</definedName>
    <definedName name="cable_bm" hidden="1">{"'rev8'!$B$3:$S$203"}</definedName>
    <definedName name="CABLE_TRAY">#N/A</definedName>
    <definedName name="cable1">#REF!</definedName>
    <definedName name="CABLE2">#REF!</definedName>
    <definedName name="CAL">#N/A</definedName>
    <definedName name="cal_f_day">#REF!</definedName>
    <definedName name="CALAA">#N/A</definedName>
    <definedName name="CALAB">#N/A</definedName>
    <definedName name="CALAC">#N/A</definedName>
    <definedName name="CALBA">#N/A</definedName>
    <definedName name="CALBB">#N/A</definedName>
    <definedName name="CALBC">#N/A</definedName>
    <definedName name="CALBD">#N/A</definedName>
    <definedName name="CALBE">#N/A</definedName>
    <definedName name="CALBF">#N/A</definedName>
    <definedName name="CALBG">#REF!</definedName>
    <definedName name="CALBH">#N/A</definedName>
    <definedName name="CALBI">#N/A</definedName>
    <definedName name="CALBJ">#N/A</definedName>
    <definedName name="CALBK">#N/A</definedName>
    <definedName name="CALBL">#N/A</definedName>
    <definedName name="CALCA">#N/A</definedName>
    <definedName name="CalcAgencyPrice">#REF!</definedName>
    <definedName name="CALCB">#N/A</definedName>
    <definedName name="CALCC">#REF!</definedName>
    <definedName name="CALCD">#N/A</definedName>
    <definedName name="CALCE">#REF!</definedName>
    <definedName name="camberWork">[0]!camberWork</definedName>
    <definedName name="CANVAS">#REF!</definedName>
    <definedName name="CAP">#REF!</definedName>
    <definedName name="CAP1B"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RATE">#REF!</definedName>
    <definedName name="CAPTO">#REF!</definedName>
    <definedName name="CARD">#REF!</definedName>
    <definedName name="CARL" hidden="1">{#N/A,#N/A,FALSE,"CCTV"}</definedName>
    <definedName name="CARL1" hidden="1">{#N/A,#N/A,FALSE,"CCTV"}</definedName>
    <definedName name="CARL2" hidden="1">{#N/A,#N/A,FALSE,"CCTV"}</definedName>
    <definedName name="Case_100">#REF!</definedName>
    <definedName name="Case_80">#REF!</definedName>
    <definedName name="CASH1">#N/A</definedName>
    <definedName name="CashBalance">#REF!</definedName>
    <definedName name="CATCH_PIT">#REF!</definedName>
    <definedName name="CATEGORY">#N/A</definedName>
    <definedName name="catv" localSheetId="0">BlankMacro1</definedName>
    <definedName name="catv">BlankMacro1</definedName>
    <definedName name="CB">#REF!</definedName>
    <definedName name="CB0">#REF!</definedName>
    <definedName name="cbbcvxb">#REF!</definedName>
    <definedName name="CBC">#REF!</definedName>
    <definedName name="CBCB">#REF!</definedName>
    <definedName name="cbcvc" hidden="1">{#N/A,#N/A,FALSE,"Sheet1"}</definedName>
    <definedName name="CBS" hidden="1">{#N/A,#N/A,FALSE,"명세표"}</definedName>
    <definedName name="CBVCB">#REF!</definedName>
    <definedName name="CC">#REF!</definedName>
    <definedName name="CCC">#REF!</definedName>
    <definedName name="cccc">#REF!</definedName>
    <definedName name="ccccc" hidden="1">{#N/A,#N/A,FALSE,"2~8번"}</definedName>
    <definedName name="cccccc">#REF!</definedName>
    <definedName name="ccccccc">#REF!</definedName>
    <definedName name="cccccccccss">#REF!</definedName>
    <definedName name="ccccvcv">#REF!</definedName>
    <definedName name="ccdc">#REF!</definedName>
    <definedName name="CCF">#REF!</definedName>
    <definedName name="CCR" hidden="1">{#N/A,#N/A,FALSE,"CCTV"}</definedName>
    <definedName name="CCR빈양식" hidden="1">{#N/A,#N/A,FALSE,"CCTV"}</definedName>
    <definedName name="CCS">#N/A</definedName>
    <definedName name="CCTV" hidden="1">{#N/A,#N/A,FALSE,"포장단가"}</definedName>
    <definedName name="CCTV및장애자편의설비">#N/A</definedName>
    <definedName name="CCTV설비">#REF!</definedName>
    <definedName name="CD">#REF!</definedName>
    <definedName name="CD25_1">#REF!</definedName>
    <definedName name="CD25_2">#REF!</definedName>
    <definedName name="cdd" localSheetId="0">BlankMacro1</definedName>
    <definedName name="cdd">BlankMacro1</definedName>
    <definedName name="CDE">#REF!,#REF!</definedName>
    <definedName name="cDFcASCASDFASCX">{0,0,0,0}</definedName>
    <definedName name="cdg">#REF!</definedName>
    <definedName name="Cdnum">#REF!</definedName>
    <definedName name="ce">#REF!</definedName>
    <definedName name="CE0">#REF!</definedName>
    <definedName name="CE팀송" localSheetId="0">BlankMacro1</definedName>
    <definedName name="CE팀송">BlankMacro1</definedName>
    <definedName name="CELL">#REF!</definedName>
    <definedName name="CELLNOTE4">#REF!</definedName>
    <definedName name="CELLNOTE5">#REF!</definedName>
    <definedName name="CELLNOTE6">#REF!</definedName>
    <definedName name="Certi_unitprice">#REF!</definedName>
    <definedName name="Certi_unitprice_h">#REF!</definedName>
    <definedName name="Certi_unitprice_u">#REF!</definedName>
    <definedName name="cf">#REF!</definedName>
    <definedName name="CF0">#REF!</definedName>
    <definedName name="CF요인" hidden="1">#REF!</definedName>
    <definedName name="CFB" hidden="1">{#N/A,#N/A,FALSE,"운반시간"}</definedName>
    <definedName name="CFBGFD">#REF!</definedName>
    <definedName name="cfg">#REF!</definedName>
    <definedName name="CFR">#N/A</definedName>
    <definedName name="CG">#REF!</definedName>
    <definedName name="CG0">#REF!</definedName>
    <definedName name="cgmh" hidden="1">{"'용역비'!$A$4:$C$8"}</definedName>
    <definedName name="CGP">#REF!</definedName>
    <definedName name="CGRT">#REF!</definedName>
    <definedName name="CH">#REF!</definedName>
    <definedName name="ch_e">#REF!</definedName>
    <definedName name="ch_ea">#REF!</definedName>
    <definedName name="CHAIR">#REF!</definedName>
    <definedName name="CHANNEL">#REF!</definedName>
    <definedName name="chapter">#REF!</definedName>
    <definedName name="CHDRHKF" hidden="1">{#N/A,#N/A,FALSE,"2~8번"}</definedName>
    <definedName name="check">#REF!</definedName>
    <definedName name="CHECK150">#REF!</definedName>
    <definedName name="CHECK25">#REF!</definedName>
    <definedName name="CHECKPOINT">#REF!</definedName>
    <definedName name="chemical" hidden="1">{#N/A,#N/A,FALSE,"CCTV"}</definedName>
    <definedName name="CHGFHGF" hidden="1">{#N/A,#N/A,FALSE,"운반시간"}</definedName>
    <definedName name="CHLWHD" hidden="1">{#N/A,#N/A,FALSE,"갑지";#N/A,#N/A,FALSE,"개요";#N/A,#N/A,FALSE,"비목별";#N/A,#N/A,FALSE,"건물별";#N/A,#N/A,FALSE,"기구표";#N/A,#N/A,FALSE,"직원투입"}</definedName>
    <definedName name="CHN10L">#REF!</definedName>
    <definedName name="CHN10R">#REF!</definedName>
    <definedName name="CHN3L">#REF!</definedName>
    <definedName name="CHN3R">#REF!</definedName>
    <definedName name="CHN4L">#REF!</definedName>
    <definedName name="CHN4R">#REF!</definedName>
    <definedName name="CHN5L">#REF!</definedName>
    <definedName name="CHN5R">#REF!</definedName>
    <definedName name="CHN6L">#REF!</definedName>
    <definedName name="CHN6R">#REF!</definedName>
    <definedName name="CHN7L">#REF!</definedName>
    <definedName name="CHN7R">#REF!</definedName>
    <definedName name="CHN8L">#REF!</definedName>
    <definedName name="CHN8R">#REF!</definedName>
    <definedName name="CHN9L">#REF!</definedName>
    <definedName name="CHN9R">#REF!</definedName>
    <definedName name="ChnRate">#REF!</definedName>
    <definedName name="CHO">#N/A</definedName>
    <definedName name="CHO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10L">#REF!</definedName>
    <definedName name="CHO10R">#REF!</definedName>
    <definedName name="CHO3L">#REF!</definedName>
    <definedName name="CHO3R">#REF!</definedName>
    <definedName name="CHO4L">#REF!</definedName>
    <definedName name="CHO4R">#REF!</definedName>
    <definedName name="CHO5L">#REF!</definedName>
    <definedName name="CHO5R">#REF!</definedName>
    <definedName name="CHO6L">#REF!</definedName>
    <definedName name="CHO6R">#REF!</definedName>
    <definedName name="CHO7L">#REF!</definedName>
    <definedName name="CHO7R">#REF!</definedName>
    <definedName name="CHO8L">#REF!</definedName>
    <definedName name="CHO8R">#REF!</definedName>
    <definedName name="CHO9L">#REF!</definedName>
    <definedName name="CHO9R">#REF!</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P">#REF!</definedName>
    <definedName name="CHP10L">#REF!</definedName>
    <definedName name="CHP10R">#REF!</definedName>
    <definedName name="CHP3L">#REF!</definedName>
    <definedName name="CHP3R">#REF!</definedName>
    <definedName name="CHP4L">#REF!</definedName>
    <definedName name="CHP4R">#REF!</definedName>
    <definedName name="CHP5L">#REF!</definedName>
    <definedName name="CHP5R">#REF!</definedName>
    <definedName name="CHP6L">#REF!</definedName>
    <definedName name="CHP6R">#REF!</definedName>
    <definedName name="CHP7L">#REF!</definedName>
    <definedName name="CHP7R">#REF!</definedName>
    <definedName name="CHP8L">#REF!</definedName>
    <definedName name="CHP8R">#REF!</definedName>
    <definedName name="CHP9L">#REF!</definedName>
    <definedName name="CHP9R">#REF!</definedName>
    <definedName name="CHQ10L">#REF!</definedName>
    <definedName name="CHQ10R">#REF!</definedName>
    <definedName name="CHQ3L">#REF!</definedName>
    <definedName name="CHQ3R">#REF!</definedName>
    <definedName name="CHQ4L">#REF!</definedName>
    <definedName name="CHQ4R">#REF!</definedName>
    <definedName name="CHQ5L">#REF!</definedName>
    <definedName name="CHQ5R">#REF!</definedName>
    <definedName name="CHQ6L">#REF!</definedName>
    <definedName name="CHQ6R">#REF!</definedName>
    <definedName name="CHQ7L">#REF!</definedName>
    <definedName name="CHQ7R">#REF!</definedName>
    <definedName name="CHQ8L">#REF!</definedName>
    <definedName name="CHQ8R">#REF!</definedName>
    <definedName name="CHQ9L">#REF!</definedName>
    <definedName name="CHQ9R">#REF!</definedName>
    <definedName name="CHR">#REF!</definedName>
    <definedName name="CHR10L">#REF!</definedName>
    <definedName name="CHR10R">#REF!</definedName>
    <definedName name="CHR3L">#REF!</definedName>
    <definedName name="CHR3R">#REF!</definedName>
    <definedName name="CHR4L">#REF!</definedName>
    <definedName name="CHR4R">#REF!</definedName>
    <definedName name="CHR5L">#REF!</definedName>
    <definedName name="CHR5R">#REF!</definedName>
    <definedName name="CHR6L">#REF!</definedName>
    <definedName name="CHR6R">#REF!</definedName>
    <definedName name="CHR7L">#REF!</definedName>
    <definedName name="CHR7R">#REF!</definedName>
    <definedName name="CHR8L">#REF!</definedName>
    <definedName name="CHR8R">#REF!</definedName>
    <definedName name="CHR9L">#REF!</definedName>
    <definedName name="CHR9R">#REF!</definedName>
    <definedName name="CHS">#REF!</definedName>
    <definedName name="CHSUM10L">#REF!</definedName>
    <definedName name="CHSUM10R">#REF!</definedName>
    <definedName name="CHSUM3L">#REF!</definedName>
    <definedName name="CHSUM3R">#REF!</definedName>
    <definedName name="CHSUM4L">#REF!</definedName>
    <definedName name="CHSUM4R">#REF!</definedName>
    <definedName name="CHSUM5L">#REF!</definedName>
    <definedName name="CHSUM5R">#REF!</definedName>
    <definedName name="CHSUM6L">#REF!</definedName>
    <definedName name="CHSUM6R">#REF!</definedName>
    <definedName name="CHSUM7L">#REF!</definedName>
    <definedName name="CHSUM7R">#REF!</definedName>
    <definedName name="CHSUM8L">#REF!</definedName>
    <definedName name="CHSUM8R">#REF!</definedName>
    <definedName name="CHSUM9L">#REF!</definedName>
    <definedName name="CHSUM9R">#REF!</definedName>
    <definedName name="CHUK_RYANG_SA">#REF!</definedName>
    <definedName name="CHUL_GOL_GONG">#REF!</definedName>
    <definedName name="CHUL_GONG">#REF!</definedName>
    <definedName name="CI">#REF!</definedName>
    <definedName name="CIP" hidden="1">{#N/A,#N/A,FALSE,"CCTV"}</definedName>
    <definedName name="CIP공사산출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TY_WATER">#REF!</definedName>
    <definedName name="CIVIL">ROUND(#REF!*0.0254,3)</definedName>
    <definedName name="CJ">#REF!</definedName>
    <definedName name="CJ0">#REF!</definedName>
    <definedName name="cjfhisure" hidden="1">{#N/A,#N/A,FALSE,"혼합골재"}</definedName>
    <definedName name="CJFRHD">#REF!</definedName>
    <definedName name="cjhfuis" hidden="1">{#N/A,#N/A,FALSE,"혼합골재"}</definedName>
    <definedName name="cjhurhfs" hidden="1">{#N/A,#N/A,FALSE,"2~8번"}</definedName>
    <definedName name="cjlk">#REF!</definedName>
    <definedName name="CK">#REF!</definedName>
    <definedName name="CK0">#REF!</definedName>
    <definedName name="CKSP">#REF!</definedName>
    <definedName name="CL">#REF!</definedName>
    <definedName name="CL0">#REF!</definedName>
    <definedName name="Client">#REF!</definedName>
    <definedName name="cm">#REF!</definedName>
    <definedName name="cm철골공사시방서" hidden="1">{#N/A,#N/A,FALSE,"현장 NCR 분석";#N/A,#N/A,FALSE,"현장품질감사";#N/A,#N/A,FALSE,"현장품질감사"}</definedName>
    <definedName name="CMH" hidden="1">{#N/A,#N/A,FALSE,"Sheet1"}</definedName>
    <definedName name="Cmi">#REF!</definedName>
    <definedName name="cmit">#REF!</definedName>
    <definedName name="cmrfid"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cn" hidden="1">{"'Sheet1'!$L$16"}</definedName>
    <definedName name="CN0">#REF!</definedName>
    <definedName name="CN10TL">#REF!</definedName>
    <definedName name="CN10TR">#REF!</definedName>
    <definedName name="CN3TL">#REF!</definedName>
    <definedName name="CN3TR">#REF!</definedName>
    <definedName name="CN4TL">#REF!</definedName>
    <definedName name="CN4TR">#REF!</definedName>
    <definedName name="CN5TL">#REF!</definedName>
    <definedName name="CN5TR">#REF!</definedName>
    <definedName name="CN6TL">#REF!</definedName>
    <definedName name="CN6TR">#REF!</definedName>
    <definedName name="CN7TL">#REF!</definedName>
    <definedName name="CN7TR">#REF!</definedName>
    <definedName name="CN8TL">#REF!</definedName>
    <definedName name="CN8TR">#REF!</definedName>
    <definedName name="CN9TL">#REF!</definedName>
    <definedName name="CN9TR">#REF!</definedName>
    <definedName name="Cname">#REF!</definedName>
    <definedName name="cndfj" hidden="1">{#N/A,#N/A,FALSE,"BS";#N/A,#N/A,FALSE,"PL";#N/A,#N/A,FALSE,"처분";#N/A,#N/A,FALSE,"현금";#N/A,#N/A,FALSE,"매출";#N/A,#N/A,FALSE,"원가";#N/A,#N/A,FALSE,"경영"}</definedName>
    <definedName name="cnf" hidden="1">{#N/A,#N/A,FALSE,"이태원철근"}</definedName>
    <definedName name="cnltn" hidden="1">{"'신흥취수펌프 검토'!$M$2","'신흥취수펌프 검토'!$A$1:$AE$87"}</definedName>
    <definedName name="CNO">#REF!</definedName>
    <definedName name="CNP">#REF!</definedName>
    <definedName name="Cnum">#REF!</definedName>
    <definedName name="co">#REF!</definedName>
    <definedName name="CO0.6">#REF!</definedName>
    <definedName name="CO1.0">#REF!</definedName>
    <definedName name="CO20.0">#REF!</definedName>
    <definedName name="COC">#REF!</definedName>
    <definedName name="COD">#REF!</definedName>
    <definedName name="COD_cr">#REF!</definedName>
    <definedName name="CODcr">#REF!</definedName>
    <definedName name="code">#N/A</definedName>
    <definedName name="CODE1">#REF!</definedName>
    <definedName name="CODE2">#REF!</definedName>
    <definedName name="CODE3">#REF!</definedName>
    <definedName name="CODE4">#REF!</definedName>
    <definedName name="CODE5">#REF!</definedName>
    <definedName name="CODE6">#REF!</definedName>
    <definedName name="CODE7">#REF!</definedName>
    <definedName name="Coef">#REF!</definedName>
    <definedName name="Coef2">#REF!</definedName>
    <definedName name="COLUMN_A">#REF!</definedName>
    <definedName name="COM">#N/A</definedName>
    <definedName name="COMB">#REF!</definedName>
    <definedName name="Commission">#REF!</definedName>
    <definedName name="COMPANY">#N/A</definedName>
    <definedName name="CON">#REF!</definedName>
    <definedName name="CON_1">#REF!</definedName>
    <definedName name="CON_3">#REF!</definedName>
    <definedName name="Con_unitprice">#REF!</definedName>
    <definedName name="CON1H1">#REF!</definedName>
    <definedName name="CON2H1">#REF!</definedName>
    <definedName name="CON깨기">#REF!</definedName>
    <definedName name="CON복구">#REF!</definedName>
    <definedName name="CON컷트">#REF!</definedName>
    <definedName name="CONC">#N/A</definedName>
    <definedName name="Conc_A">#REF!</definedName>
    <definedName name="Conc_C">#REF!</definedName>
    <definedName name="CONCEPT">#REF!</definedName>
    <definedName name="COND_1">#REF!</definedName>
    <definedName name="COND_3">#REF!</definedName>
    <definedName name="Cons_equip" hidden="1">{"'장비'!$A$3:$M$12"}</definedName>
    <definedName name="CONSOL">#REF!</definedName>
    <definedName name="CONSOLE" hidden="1">{#N/A,#N/A,TRUE,"진도율산정기준";#N/A,#N/A,TRUE,"S_CUR";#N/A,#N/A,TRUE,"사업공통"}</definedName>
    <definedName name="CONSTANT">#REF!</definedName>
    <definedName name="CONT">#REF!</definedName>
    <definedName name="CONT_NO">#N/A</definedName>
    <definedName name="Continue">#REF!</definedName>
    <definedName name="Contractor">#REF!</definedName>
    <definedName name="CONTROL" hidden="1">{"'PROFORMA'!$A$1:$H$120"}</definedName>
    <definedName name="contt">#REF!</definedName>
    <definedName name="COPY">#N/A</definedName>
    <definedName name="COPY990">#REF!</definedName>
    <definedName name="cordaddr">#REF!</definedName>
    <definedName name="cordaddr1">#REF!</definedName>
    <definedName name="COST" hidden="1">#REF!</definedName>
    <definedName name="COST_CODE">#REF!</definedName>
    <definedName name="Cost_Temp.Equip">#REF!</definedName>
    <definedName name="COST2" hidden="1">{#N/A,#N/A,TRUE,"Basic";#N/A,#N/A,TRUE,"EXT-TABLE";#N/A,#N/A,TRUE,"STEEL";#N/A,#N/A,TRUE,"INT-Table";#N/A,#N/A,TRUE,"STEEL";#N/A,#N/A,TRUE,"Door"}</definedName>
    <definedName name="costr">#REF!</definedName>
    <definedName name="COSTT" hidden="1">#REF!</definedName>
    <definedName name="COUNT">#REF!</definedName>
    <definedName name="COUNT1">#REF!</definedName>
    <definedName name="COUNT2">#REF!</definedName>
    <definedName name="COUNT3">#REF!</definedName>
    <definedName name="CP">#REF!</definedName>
    <definedName name="cp_fnc">#REF!</definedName>
    <definedName name="cp_i_blk">#REF!</definedName>
    <definedName name="CP1_">#N/A</definedName>
    <definedName name="CP2_">#N/A</definedName>
    <definedName name="CP3_">#REF!</definedName>
    <definedName name="CPcheckcell">#REF!</definedName>
    <definedName name="cpi">#REF!</definedName>
    <definedName name="cpl_5">#REF!</definedName>
    <definedName name="cpl_5t">#REF!</definedName>
    <definedName name="cpl_5tc">#REF!</definedName>
    <definedName name="CPLG">#REF!</definedName>
    <definedName name="cpmprojaddr">#REF!</definedName>
    <definedName name="cpmprojapprover">#REF!</definedName>
    <definedName name="cpmprojcompoday">#REF!</definedName>
    <definedName name="cpmprojcomposer">#REF!</definedName>
    <definedName name="cpmprojduration">#REF!</definedName>
    <definedName name="cpmprojname">#REF!</definedName>
    <definedName name="CPU_시험기사">#REF!</definedName>
    <definedName name="CPU시험사001">#REF!</definedName>
    <definedName name="CPU시험사002">#REF!</definedName>
    <definedName name="CPU시험사011">#REF!</definedName>
    <definedName name="CPU시험사982">#REF!</definedName>
    <definedName name="CPU시험사991">#REF!</definedName>
    <definedName name="CPU시험사992">#REF!</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R">#REF!</definedName>
    <definedName name="CRa">#REF!</definedName>
    <definedName name="CRANE">#REF!</definedName>
    <definedName name="CRANK1">#REF!</definedName>
    <definedName name="CRANK2">#REF!</definedName>
    <definedName name="CRb">#REF!</definedName>
    <definedName name="cri_01">#REF!</definedName>
    <definedName name="cri_02">#REF!</definedName>
    <definedName name="cri_03">#REF!</definedName>
    <definedName name="cri_CP_is_CA">#REF!</definedName>
    <definedName name="cri_gjtitle">#REF!</definedName>
    <definedName name="cri_ij_co">#REF!</definedName>
    <definedName name="cri_now_iv">#REF!</definedName>
    <definedName name="cri_out">#REF!</definedName>
    <definedName name="cri_pnt">#REF!</definedName>
    <definedName name="cri_top">#REF!</definedName>
    <definedName name="_xlnm.Criteria">#REF!</definedName>
    <definedName name="Criteria_MI">#REF!</definedName>
    <definedName name="CRT">#REF!</definedName>
    <definedName name="CRT자료">#REF!</definedName>
    <definedName name="crtrcd">#REF!</definedName>
    <definedName name="crxd">#REF!</definedName>
    <definedName name="cs">#REF!</definedName>
    <definedName name="Csr">#REF!</definedName>
    <definedName name="CSS">#N/A</definedName>
    <definedName name="CT">#N/A</definedName>
    <definedName name="CTC">#REF!</definedName>
    <definedName name="CTL">#REF!</definedName>
    <definedName name="CTR">#REF!</definedName>
    <definedName name="CTTRV">#N/A</definedName>
    <definedName name="CUR">#REF!</definedName>
    <definedName name="Currency">#REF!</definedName>
    <definedName name="CURRENT_1">#REF!</definedName>
    <definedName name="CURRENT_2">#REF!</definedName>
    <definedName name="CURRENT_3">#REF!</definedName>
    <definedName name="CUSTOM">#N/A</definedName>
    <definedName name="CUT10L">#REF!</definedName>
    <definedName name="CUT10R">#REF!</definedName>
    <definedName name="CUT3L">#REF!</definedName>
    <definedName name="CUT3R">#REF!</definedName>
    <definedName name="CUT4L">#REF!</definedName>
    <definedName name="CUT4R">#REF!</definedName>
    <definedName name="CUT5L">#REF!</definedName>
    <definedName name="CUT5R">#REF!</definedName>
    <definedName name="CUT6L">#REF!</definedName>
    <definedName name="CUT6R">#REF!</definedName>
    <definedName name="CUT7L">#REF!</definedName>
    <definedName name="CUT7R">#REF!</definedName>
    <definedName name="CUT8L">#REF!</definedName>
    <definedName name="CUT8R">#REF!</definedName>
    <definedName name="CUT9L">#REF!</definedName>
    <definedName name="CUT9R">#REF!</definedName>
    <definedName name="cv">#REF!</definedName>
    <definedName name="CV14_2C">#REF!</definedName>
    <definedName name="CV14_4C">#REF!</definedName>
    <definedName name="CV38재">#REF!</definedName>
    <definedName name="CV5.5_2">#REF!</definedName>
    <definedName name="CV5.5_4C">#REF!</definedName>
    <definedName name="CV8_2C">#REF!</definedName>
    <definedName name="CV8_4C">#REF!</definedName>
    <definedName name="CV8재">#REF!</definedName>
    <definedName name="CVB">#REF!,#REF!</definedName>
    <definedName name="cvbcv" hidden="1">{"'옥포덕포실행'!$Q$245"}</definedName>
    <definedName name="cvc" hidden="1">#REF!</definedName>
    <definedName name="CVCBCB">#N/A</definedName>
    <definedName name="cvcvcvncvbn">#REF!</definedName>
    <definedName name="cvd">#REF!</definedName>
    <definedName name="CVDSD">#REF!</definedName>
    <definedName name="CVG">#REF!,#REF!</definedName>
    <definedName name="cvgfdget34" hidden="1">{#N/A,#N/A,FALSE,"Sheet1"}</definedName>
    <definedName name="cvhjb2yuui23" hidden="1">{#N/A,#N/A,FALSE,"Sheet1"}</definedName>
    <definedName name="CVV">#REF!</definedName>
    <definedName name="cvx">#REF!</definedName>
    <definedName name="CVXCV">{"'Sheet1'!$A$4:$M$21","'Sheet1'!$J$17:$K$19"}</definedName>
    <definedName name="cvzvzsdfga" hidden="1">{#N/A,#N/A,FALSE,"BS";#N/A,#N/A,FALSE,"PL";#N/A,#N/A,FALSE,"처분";#N/A,#N/A,FALSE,"현금";#N/A,#N/A,FALSE,"매출";#N/A,#N/A,FALSE,"원가";#N/A,#N/A,FALSE,"경영"}</definedName>
    <definedName name="CWALL">#REF!</definedName>
    <definedName name="cx">#REF!</definedName>
    <definedName name="CX10L">#REF!</definedName>
    <definedName name="CX10R">#REF!</definedName>
    <definedName name="CX3L">#REF!</definedName>
    <definedName name="CX3R">#REF!</definedName>
    <definedName name="CX4L">#REF!</definedName>
    <definedName name="CX4R">#REF!</definedName>
    <definedName name="CX5L">#REF!</definedName>
    <definedName name="CX5R">#REF!</definedName>
    <definedName name="CX6L">#REF!</definedName>
    <definedName name="CX6R">#REF!</definedName>
    <definedName name="CX7L">#REF!</definedName>
    <definedName name="CX7R">#REF!</definedName>
    <definedName name="CX8L">#REF!</definedName>
    <definedName name="CX8R">#REF!</definedName>
    <definedName name="CX9L">#REF!</definedName>
    <definedName name="CX9R">#REF!</definedName>
    <definedName name="cxbvv" hidden="1">{#N/A,#N/A,FALSE,"표지목차"}</definedName>
    <definedName name="Cxc" hidden="1">#REF!</definedName>
    <definedName name="cxee" hidden="1">{"'Firr(선)'!$AS$1:$AY$62","'Firr(사)'!$AS$1:$AY$62","'Firr(회)'!$AS$1:$AY$62","'Firr(선)'!$L$1:$V$62","'Firr(사)'!$L$1:$V$62","'Firr(회)'!$L$1:$V$62"}</definedName>
    <definedName name="cxgfrdfc" hidden="1">{#N/A,#N/A,FALSE,"CCTV"}</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kljdsof" hidden="1">{#N/A,#N/A,FALSE,"Sheet1"}</definedName>
    <definedName name="cxvzxv" hidden="1">#REF!</definedName>
    <definedName name="cxvzxvqse">#N/A</definedName>
    <definedName name="cxzbhvc" hidden="1">{#N/A,#N/A,FALSE,"현장 NCR 분석";#N/A,#N/A,FALSE,"현장품질감사";#N/A,#N/A,FALSE,"현장품질감사"}</definedName>
    <definedName name="cxzv" hidden="1">{"'블럭식-일반'!$E$26","'블럭식-일반'!$C$26:$F$27"}</definedName>
    <definedName name="CY10L">#REF!</definedName>
    <definedName name="CY10R">#REF!</definedName>
    <definedName name="CY3L">#REF!</definedName>
    <definedName name="CY3R">#REF!</definedName>
    <definedName name="CY4L">#REF!</definedName>
    <definedName name="CY4R">#REF!</definedName>
    <definedName name="CY5L">#REF!</definedName>
    <definedName name="CY5R">#REF!</definedName>
    <definedName name="CY6L">#REF!</definedName>
    <definedName name="CY6R">#REF!</definedName>
    <definedName name="CY7L">#REF!</definedName>
    <definedName name="CY7R">#REF!</definedName>
    <definedName name="CY8L">#REF!</definedName>
    <definedName name="CY8R">#REF!</definedName>
    <definedName name="CY9L">#REF!</definedName>
    <definedName name="CY9R">#REF!</definedName>
    <definedName name="CYA10L">#REF!</definedName>
    <definedName name="CYA10R">#REF!</definedName>
    <definedName name="CYA3L">#REF!</definedName>
    <definedName name="CYA3R">#REF!</definedName>
    <definedName name="CYA4L">#REF!</definedName>
    <definedName name="CYA4R">#REF!</definedName>
    <definedName name="CYA5L">#REF!</definedName>
    <definedName name="CYA5R">#REF!</definedName>
    <definedName name="CYA6L">#REF!</definedName>
    <definedName name="CYA6R">#REF!</definedName>
    <definedName name="CYA7L">#REF!</definedName>
    <definedName name="CYA7R">#REF!</definedName>
    <definedName name="CYA8L">#REF!</definedName>
    <definedName name="CYA8R">#REF!</definedName>
    <definedName name="CYA9L">#REF!</definedName>
    <definedName name="CYA9R">#REF!</definedName>
    <definedName name="CYB10L">#REF!</definedName>
    <definedName name="CYB10R">#REF!</definedName>
    <definedName name="CYB3L">#REF!</definedName>
    <definedName name="CYB3R">#REF!</definedName>
    <definedName name="CYB4L">#REF!</definedName>
    <definedName name="CYB4R">#REF!</definedName>
    <definedName name="CYB5L">#REF!</definedName>
    <definedName name="CYB5R">#REF!</definedName>
    <definedName name="CYB6L">#REF!</definedName>
    <definedName name="CYB6R">#REF!</definedName>
    <definedName name="CYB7L">#REF!</definedName>
    <definedName name="CYB7R">#REF!</definedName>
    <definedName name="CYB8L">#REF!</definedName>
    <definedName name="CYB8R">#REF!</definedName>
    <definedName name="CYB9L">#REF!</definedName>
    <definedName name="CYB9R">#REF!</definedName>
    <definedName name="CYC10L">#REF!</definedName>
    <definedName name="CYC10R">#REF!</definedName>
    <definedName name="CYC3L">#REF!</definedName>
    <definedName name="CYC3R">#REF!</definedName>
    <definedName name="CYC4L">#REF!</definedName>
    <definedName name="CYC4R">#REF!</definedName>
    <definedName name="CYC5L">#REF!</definedName>
    <definedName name="CYC5R">#REF!</definedName>
    <definedName name="CYC6L">#REF!</definedName>
    <definedName name="CYC6R">#REF!</definedName>
    <definedName name="CYC7L">#REF!</definedName>
    <definedName name="CYC7R">#REF!</definedName>
    <definedName name="CYC8L">#REF!</definedName>
    <definedName name="CYC8R">#REF!</definedName>
    <definedName name="CYC9L">#REF!</definedName>
    <definedName name="CYC9R">#REF!</definedName>
    <definedName name="CYY10L">#REF!</definedName>
    <definedName name="CYY10R">#REF!</definedName>
    <definedName name="CYY3L">#REF!</definedName>
    <definedName name="CYY3R">#REF!</definedName>
    <definedName name="CYY4L">#REF!</definedName>
    <definedName name="CYY4R">#REF!</definedName>
    <definedName name="CYY5L">#REF!</definedName>
    <definedName name="CYY5R">#REF!</definedName>
    <definedName name="CYY6L">#REF!</definedName>
    <definedName name="CYY6R">#REF!</definedName>
    <definedName name="CYY7L">#REF!</definedName>
    <definedName name="CYY7R">#REF!</definedName>
    <definedName name="CYY8L">#REF!</definedName>
    <definedName name="CYY8R">#REF!</definedName>
    <definedName name="CYY9L">#REF!</definedName>
    <definedName name="CYY9R">#REF!</definedName>
    <definedName name="CZSVX">#REF!</definedName>
    <definedName name="D">#REF!</definedName>
    <definedName name="D_1">#REF!</definedName>
    <definedName name="D_2">#REF!</definedName>
    <definedName name="D_3">#REF!</definedName>
    <definedName name="D_4">#REF!</definedName>
    <definedName name="d_errchk">#REF!</definedName>
    <definedName name="D_FE">#REF!</definedName>
    <definedName name="D_FO">#REF!</definedName>
    <definedName name="D.1">#REF!</definedName>
    <definedName name="D.2">#REF!</definedName>
    <definedName name="D.TOTAL.">#REF!</definedName>
    <definedName name="D.TOTAL..">#REF!</definedName>
    <definedName name="D01_">#REF!</definedName>
    <definedName name="D02_">#REF!</definedName>
    <definedName name="D021161명지남양주" hidden="1">#REF!</definedName>
    <definedName name="D03_">#REF!</definedName>
    <definedName name="D04_">#REF!</definedName>
    <definedName name="d1_e">#REF!</definedName>
    <definedName name="d1_ea">#REF!</definedName>
    <definedName name="D10L">#REF!</definedName>
    <definedName name="D10R">#REF!</definedName>
    <definedName name="D12_">#N/A</definedName>
    <definedName name="D13.">#REF!</definedName>
    <definedName name="D13..">#REF!</definedName>
    <definedName name="D16.">#REF!</definedName>
    <definedName name="D16..">#REF!</definedName>
    <definedName name="D19.">#REF!</definedName>
    <definedName name="D19..">#REF!</definedName>
    <definedName name="D2_E">#REF!</definedName>
    <definedName name="D20_">#N/A</definedName>
    <definedName name="D22.">#REF!</definedName>
    <definedName name="D22..">#REF!</definedName>
    <definedName name="D22421345" hidden="1">{#N/A,#N/A,FALSE,"Sheet1"}</definedName>
    <definedName name="D25.">#REF!</definedName>
    <definedName name="D25..">#REF!</definedName>
    <definedName name="D29.">#REF!</definedName>
    <definedName name="D29..">#REF!</definedName>
    <definedName name="d3_e">#REF!</definedName>
    <definedName name="d3_ea">#REF!</definedName>
    <definedName name="D3L">#REF!</definedName>
    <definedName name="D3R">#REF!</definedName>
    <definedName name="d4_e">#REF!</definedName>
    <definedName name="d4_ea">#REF!</definedName>
    <definedName name="D400MM">#REF!</definedName>
    <definedName name="D4L">#REF!</definedName>
    <definedName name="D4R">#REF!</definedName>
    <definedName name="D5L">#REF!</definedName>
    <definedName name="D5R">#REF!</definedName>
    <definedName name="D6L">#REF!</definedName>
    <definedName name="D6R">#REF!</definedName>
    <definedName name="d6t5h" hidden="1">{#N/A,#N/A,FALSE,"조골재"}</definedName>
    <definedName name="D7L">#REF!</definedName>
    <definedName name="D7R">#REF!</definedName>
    <definedName name="D8L">#REF!</definedName>
    <definedName name="D8R">#REF!</definedName>
    <definedName name="D9L">#REF!</definedName>
    <definedName name="D9R">#REF!</definedName>
    <definedName name="D열">#REF!</definedName>
    <definedName name="d을지">#REF!</definedName>
    <definedName name="DA" localSheetId="0">BlankMacro1</definedName>
    <definedName name="DA">BlankMacro1</definedName>
    <definedName name="DAA">#REF!</definedName>
    <definedName name="daafdd" hidden="1">{#N/A,#N/A,FALSE,"Sheet1"}</definedName>
    <definedName name="dada">#REF!</definedName>
    <definedName name="DADD">#REF!</definedName>
    <definedName name="daf" hidden="1">#REF!</definedName>
    <definedName name="dafaf">#REF!</definedName>
    <definedName name="dafdgd" hidden="1">{#N/A,#N/A,FALSE,"Sheet1"}</definedName>
    <definedName name="DAM">#N/A</definedName>
    <definedName name="DAMPER">#REF!</definedName>
    <definedName name="DAN">#REF!</definedName>
    <definedName name="DANGA">#REF!,#REF!</definedName>
    <definedName name="DANGA_">#REF!,#REF!</definedName>
    <definedName name="DANGA1">#REF!</definedName>
    <definedName name="DANGA10">#REF!</definedName>
    <definedName name="DANGA100">#REF!</definedName>
    <definedName name="DANGA101">#REF!</definedName>
    <definedName name="DANGA102">#REF!</definedName>
    <definedName name="DANGA103">#REF!</definedName>
    <definedName name="DANGA104">#REF!</definedName>
    <definedName name="DANGA105">#REF!</definedName>
    <definedName name="DANGA106">#REF!</definedName>
    <definedName name="DANGA107">#REF!</definedName>
    <definedName name="DANGA108">#REF!</definedName>
    <definedName name="DANGA109">#REF!</definedName>
    <definedName name="DANGA11">#REF!</definedName>
    <definedName name="DANGA110">#REF!</definedName>
    <definedName name="DANGA111">#REF!</definedName>
    <definedName name="DANGA112">#REF!</definedName>
    <definedName name="DANGA113">#REF!</definedName>
    <definedName name="DANGA114">#REF!</definedName>
    <definedName name="DANGA115">#REF!</definedName>
    <definedName name="DANGA116">#REF!</definedName>
    <definedName name="DANGA117">#REF!</definedName>
    <definedName name="DANGA118">#REF!</definedName>
    <definedName name="DANGA119">#REF!</definedName>
    <definedName name="DANGA12">#REF!</definedName>
    <definedName name="DANGA120">#REF!</definedName>
    <definedName name="DANGA121">#REF!</definedName>
    <definedName name="DANGA122">#REF!</definedName>
    <definedName name="DANGA123">#REF!</definedName>
    <definedName name="DANGA124">#REF!</definedName>
    <definedName name="DANGA125">#REF!</definedName>
    <definedName name="DANGA126">#REF!</definedName>
    <definedName name="DANGA127">#REF!</definedName>
    <definedName name="DANGA128">#REF!</definedName>
    <definedName name="DANGA129">#REF!</definedName>
    <definedName name="DANGA13">#REF!</definedName>
    <definedName name="DANGA130">#REF!</definedName>
    <definedName name="DANGA131">#REF!</definedName>
    <definedName name="DANGA132">#REF!</definedName>
    <definedName name="DANGA133">#REF!</definedName>
    <definedName name="DANGA134">#REF!</definedName>
    <definedName name="DANGA135">#REF!</definedName>
    <definedName name="DANGA136">#REF!</definedName>
    <definedName name="DANGA137">#REF!</definedName>
    <definedName name="DANGA138">#REF!</definedName>
    <definedName name="DANGA139">#REF!</definedName>
    <definedName name="DANGA14">#REF!</definedName>
    <definedName name="DANGA140">#REF!</definedName>
    <definedName name="DANGA141">#REF!</definedName>
    <definedName name="DANGA142">#REF!</definedName>
    <definedName name="DANGA143">#REF!</definedName>
    <definedName name="DANGA144">#REF!</definedName>
    <definedName name="DANGA145">#REF!</definedName>
    <definedName name="DANGA146">#REF!</definedName>
    <definedName name="DANGA147">#REF!</definedName>
    <definedName name="DANGA148">#REF!</definedName>
    <definedName name="DANGA149">#REF!</definedName>
    <definedName name="DANGA15">#REF!</definedName>
    <definedName name="DANGA150">#REF!</definedName>
    <definedName name="DANGA151">#REF!</definedName>
    <definedName name="DANGA152">#REF!</definedName>
    <definedName name="DANGA153">#REF!</definedName>
    <definedName name="DANGA154">#REF!</definedName>
    <definedName name="DANGA155">#REF!</definedName>
    <definedName name="DANGA156">#REF!</definedName>
    <definedName name="DANGA157">#REF!</definedName>
    <definedName name="DANGA158">#REF!</definedName>
    <definedName name="DANGA159">#REF!</definedName>
    <definedName name="DANGA16">#REF!</definedName>
    <definedName name="DANGA160">#REF!</definedName>
    <definedName name="DANGA161">#REF!</definedName>
    <definedName name="DANGA162">#REF!</definedName>
    <definedName name="DANGA163">#REF!</definedName>
    <definedName name="DANGA164">#REF!</definedName>
    <definedName name="DANGA165">#REF!</definedName>
    <definedName name="DANGA166">#REF!</definedName>
    <definedName name="DANGA167">#REF!</definedName>
    <definedName name="DANGA168">#REF!</definedName>
    <definedName name="DANGA169">#REF!</definedName>
    <definedName name="DANGA17">#REF!</definedName>
    <definedName name="DANGA170">#REF!</definedName>
    <definedName name="DANGA171">#REF!</definedName>
    <definedName name="DANGA172">#REF!</definedName>
    <definedName name="DANGA173">#REF!</definedName>
    <definedName name="DANGA174">#REF!</definedName>
    <definedName name="DANGA175">#REF!</definedName>
    <definedName name="DANGA176">#REF!</definedName>
    <definedName name="DANGA177">#REF!</definedName>
    <definedName name="DANGA178">#REF!</definedName>
    <definedName name="DANGA179">#REF!</definedName>
    <definedName name="DANGA18">#REF!</definedName>
    <definedName name="DANGA180">#REF!</definedName>
    <definedName name="DANGA181">#REF!</definedName>
    <definedName name="DANGA182">#REF!</definedName>
    <definedName name="DANGA183">#REF!</definedName>
    <definedName name="DANGA184">#REF!</definedName>
    <definedName name="DANGA185">#REF!</definedName>
    <definedName name="DANGA186">#REF!</definedName>
    <definedName name="DANGA187">#REF!</definedName>
    <definedName name="DANGA188">#REF!</definedName>
    <definedName name="DANGA189">#REF!</definedName>
    <definedName name="DANGA19">#REF!</definedName>
    <definedName name="DANGA190">#REF!</definedName>
    <definedName name="DANGA191">#REF!</definedName>
    <definedName name="DANGA192">#REF!</definedName>
    <definedName name="DANGA193">#REF!</definedName>
    <definedName name="DANGA194">#REF!</definedName>
    <definedName name="DANGA195">#REF!</definedName>
    <definedName name="DANGA196">#REF!</definedName>
    <definedName name="DANGA197">#REF!</definedName>
    <definedName name="DANGA198">#REF!</definedName>
    <definedName name="DANGA199">#REF!</definedName>
    <definedName name="danga2">#REF!,#REF!</definedName>
    <definedName name="DANGA20">#REF!</definedName>
    <definedName name="DANGA200">#REF!</definedName>
    <definedName name="DANGA201">#REF!</definedName>
    <definedName name="DANGA202">#REF!</definedName>
    <definedName name="DANGA203">#REF!</definedName>
    <definedName name="DANGA204">#REF!</definedName>
    <definedName name="DANGA205">#REF!</definedName>
    <definedName name="DANGA206">#REF!</definedName>
    <definedName name="DANGA207">#REF!</definedName>
    <definedName name="DANGA208">#REF!</definedName>
    <definedName name="DANGA209">#REF!</definedName>
    <definedName name="DANGA21">#REF!</definedName>
    <definedName name="DANGA210">#REF!</definedName>
    <definedName name="DANGA211">#REF!</definedName>
    <definedName name="DANGA212">#REF!</definedName>
    <definedName name="DANGA213">#REF!</definedName>
    <definedName name="DANGA214">#REF!</definedName>
    <definedName name="DANGA215">#REF!</definedName>
    <definedName name="DANGA216">#REF!</definedName>
    <definedName name="DANGA217">#REF!</definedName>
    <definedName name="DANGA218">#REF!</definedName>
    <definedName name="DANGA219">#REF!</definedName>
    <definedName name="DANGA22">#REF!</definedName>
    <definedName name="DANGA220">#REF!</definedName>
    <definedName name="DANGA221">#REF!</definedName>
    <definedName name="DANGA222">#REF!</definedName>
    <definedName name="DANGA223">#REF!</definedName>
    <definedName name="DANGA224">#REF!</definedName>
    <definedName name="DANGA225">#REF!</definedName>
    <definedName name="DANGA226">#REF!</definedName>
    <definedName name="DANGA227">#REF!</definedName>
    <definedName name="DANGA228">#REF!</definedName>
    <definedName name="DANGA23">#REF!</definedName>
    <definedName name="DANGA24">#REF!</definedName>
    <definedName name="DANGA25">#REF!</definedName>
    <definedName name="DANGA26">#REF!</definedName>
    <definedName name="DANGA27">#REF!</definedName>
    <definedName name="DANGA28">#REF!</definedName>
    <definedName name="DANGA29">#REF!</definedName>
    <definedName name="DANGA3">#REF!</definedName>
    <definedName name="DANGA30">#REF!</definedName>
    <definedName name="DANGA31">#REF!</definedName>
    <definedName name="DANGA32">#REF!</definedName>
    <definedName name="DANGA33">#REF!</definedName>
    <definedName name="DANGA34">#REF!</definedName>
    <definedName name="DANGA35">#REF!</definedName>
    <definedName name="DANGA36">#REF!</definedName>
    <definedName name="DANGA37">#REF!</definedName>
    <definedName name="DANGA38">#REF!</definedName>
    <definedName name="DANGA39">#REF!</definedName>
    <definedName name="DANGA4">#REF!</definedName>
    <definedName name="DANGA40">#REF!</definedName>
    <definedName name="DANGA41">#REF!</definedName>
    <definedName name="DANGA42">#REF!</definedName>
    <definedName name="DANGA43">#REF!</definedName>
    <definedName name="DANGA44">#REF!</definedName>
    <definedName name="DANGA45">#REF!</definedName>
    <definedName name="DANGA46">#REF!</definedName>
    <definedName name="DANGA47">#REF!</definedName>
    <definedName name="DANGA48">#REF!</definedName>
    <definedName name="DANGA49">#REF!</definedName>
    <definedName name="DANGA5">#REF!</definedName>
    <definedName name="DANGA50">#REF!</definedName>
    <definedName name="DANGA51">#REF!</definedName>
    <definedName name="DANGA52">#REF!</definedName>
    <definedName name="DANGA53">#REF!</definedName>
    <definedName name="DANGA54">#REF!</definedName>
    <definedName name="DANGA55">#REF!</definedName>
    <definedName name="DANGA56">#REF!</definedName>
    <definedName name="DANGA57">#REF!</definedName>
    <definedName name="DANGA58">#REF!</definedName>
    <definedName name="DANGA59">#REF!</definedName>
    <definedName name="DANGA6">#REF!</definedName>
    <definedName name="DANGA60">#REF!</definedName>
    <definedName name="DANGA61">#REF!</definedName>
    <definedName name="DANGA62">#REF!</definedName>
    <definedName name="DANGA63">#REF!</definedName>
    <definedName name="DANGA64">#REF!</definedName>
    <definedName name="DANGA65">#REF!</definedName>
    <definedName name="DANGA66">#REF!</definedName>
    <definedName name="DANGA67">#REF!</definedName>
    <definedName name="DANGA68">#REF!</definedName>
    <definedName name="DANGA69">#REF!</definedName>
    <definedName name="DANGA7">#REF!</definedName>
    <definedName name="DANGA70">#REF!</definedName>
    <definedName name="DANGA71">#REF!</definedName>
    <definedName name="DANGA72">#REF!</definedName>
    <definedName name="DANGA73">#REF!</definedName>
    <definedName name="DANGA74">#REF!</definedName>
    <definedName name="DANGA75">#REF!</definedName>
    <definedName name="DANGA76">#REF!</definedName>
    <definedName name="DANGA77">#REF!</definedName>
    <definedName name="DANGA78">#REF!</definedName>
    <definedName name="DANGA79">#REF!</definedName>
    <definedName name="DANGA8">#REF!</definedName>
    <definedName name="DANGA80">#REF!</definedName>
    <definedName name="DANGA81">#REF!</definedName>
    <definedName name="DANGA82">#REF!</definedName>
    <definedName name="DANGA83">#REF!</definedName>
    <definedName name="DANGA84">#REF!</definedName>
    <definedName name="DANGA85">#REF!</definedName>
    <definedName name="DANGA86">#REF!</definedName>
    <definedName name="DANGA87">#REF!</definedName>
    <definedName name="DANGA88">#REF!</definedName>
    <definedName name="DANGA89">#REF!</definedName>
    <definedName name="DANGA9">#REF!</definedName>
    <definedName name="DANGA90">#REF!</definedName>
    <definedName name="DANGA91">#REF!</definedName>
    <definedName name="DANGA92">#REF!</definedName>
    <definedName name="DANGA93">#REF!</definedName>
    <definedName name="DANGA94">#REF!</definedName>
    <definedName name="DANGA95">#REF!</definedName>
    <definedName name="DANGA96">#REF!</definedName>
    <definedName name="DANGA97">#REF!</definedName>
    <definedName name="DANGA98">#REF!</definedName>
    <definedName name="DANGA99">#REF!</definedName>
    <definedName name="DanW">#REF!</definedName>
    <definedName name="DANWI">#N/A</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 hidden="1">{#N/A,#N/A,FALSE,"지침";#N/A,#N/A,FALSE,"환경분석";#N/A,#N/A,FALSE,"Sheet16"}</definedName>
    <definedName name="DASDF" hidden="1">#REF!</definedName>
    <definedName name="dasf">#REF!</definedName>
    <definedName name="dasf323232" hidden="1">{#N/A,#N/A,FALSE,"Sheet1"}</definedName>
    <definedName name="DASFDASF">#REF!</definedName>
    <definedName name="dasfdsds">#N/A</definedName>
    <definedName name="DAT">#REF!</definedName>
    <definedName name="data">#REF!</definedName>
    <definedName name="DATA_">#N/A</definedName>
    <definedName name="Data_Area">#REF!</definedName>
    <definedName name="data_block">#REF!</definedName>
    <definedName name="data_block2">#REF!</definedName>
    <definedName name="Data6.14" hidden="1">{#N/A,#N/A,FALSE,"ENG'G(보호계전기)"}</definedName>
    <definedName name="datab">#REF!</definedName>
    <definedName name="databas">#REF!</definedName>
    <definedName name="_xlnm.Database">#REF!</definedName>
    <definedName name="Database_MI">#REF!</definedName>
    <definedName name="Database?">#REF!</definedName>
    <definedName name="DATABASE1">#REF!</definedName>
    <definedName name="database2">#REF!</definedName>
    <definedName name="databaseii">#REF!</definedName>
    <definedName name="dataww" hidden="1">#REF!</definedName>
    <definedName name="date">#REF!</definedName>
    <definedName name="Date_Bidding">#REF!</definedName>
    <definedName name="date_errchk">#REF!</definedName>
    <definedName name="date_errval">#REF!</definedName>
    <definedName name="DATE1">#REF!</definedName>
    <definedName name="date2">#REF!</definedName>
    <definedName name="DATR">#REF!</definedName>
    <definedName name="DaWk7">#REF!</definedName>
    <definedName name="DAY">#N/A</definedName>
    <definedName name="DB">#REF!</definedName>
    <definedName name="DB_18">#REF!</definedName>
    <definedName name="DB_24">#REF!</definedName>
    <definedName name="DB계약대비율">#REF!</definedName>
    <definedName name="DBA" hidden="1">{#N/A,#N/A,FALSE,"현장 NCR 분석";#N/A,#N/A,FALSE,"현장품질감사";#N/A,#N/A,FALSE,"현장품질감사"}</definedName>
    <definedName name="DBDFV" hidden="1">{#N/A,#N/A,FALSE,"운반시간"}</definedName>
    <definedName name="dbhy21u3i2" hidden="1">{#N/A,#N/A,FALSE,"Sheet1"}</definedName>
    <definedName name="dbnd" hidden="1">{#N/A,#N/A,FALSE,"CCTV"}</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PIPE">#REF!</definedName>
    <definedName name="dcc">#REF!</definedName>
    <definedName name="dclkiorewjkpodg" hidden="1">{#N/A,#N/A,FALSE,"Sheet1"}</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D">#REF!</definedName>
    <definedName name="DDAFASDFSD" hidden="1">{#N/A,#N/A,FALSE,"Sheet1"}</definedName>
    <definedName name="DDC">#REF!</definedName>
    <definedName name="DDCC비">#REF!</definedName>
    <definedName name="DDD">#REF!</definedName>
    <definedName name="ddd.3번." hidden="1">{#N/A,#N/A,FALSE,"2~8번"}</definedName>
    <definedName name="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A" localSheetId="0">BlankMacro1</definedName>
    <definedName name="DDDDA">BlankMacro1</definedName>
    <definedName name="DDDDBBBB" hidden="1">{#N/A,#N/A,FALSE,"현장 NCR 분석";#N/A,#N/A,FALSE,"현장품질감사";#N/A,#N/A,FALSE,"현장품질감사"}</definedName>
    <definedName name="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 hidden="1">#REF!</definedName>
    <definedName name="ddddddddd" hidden="1">{#N/A,#N/A,FALSE,"전력간선"}</definedName>
    <definedName name="ddddddddddd" hidden="1">#REF!</definedName>
    <definedName name="DDDDDDDDDDDDD">#REF!</definedName>
    <definedName name="dddddddddddddd" hidden="1">{#N/A,#N/A,TRUE,"Basic";#N/A,#N/A,TRUE,"EXT-TABLE";#N/A,#N/A,TRUE,"STEEL";#N/A,#N/A,TRUE,"INT-Table";#N/A,#N/A,TRUE,"STEEL";#N/A,#N/A,TRUE,"Door"}</definedName>
    <definedName name="dddddddddddddddd" hidden="1">#REF!</definedName>
    <definedName name="dddddddddddddddddd" hidden="1">{#N/A,#N/A,FALSE,"CCTV"}</definedName>
    <definedName name="ddddddddddddddddddddddddddddddddddddddddd" hidden="1">{#N/A,#N/A,FALSE,"골재소요량";#N/A,#N/A,FALSE,"골재소요량"}</definedName>
    <definedName name="dddddddddddddddddddddddddddddddddddddddddddddddd" hidden="1">{#N/A,#N/A,FALSE,"이태원철근"}</definedName>
    <definedName name="DDDF">#REF!</definedName>
    <definedName name="DDE">#REF!</definedName>
    <definedName name="DDF" localSheetId="0">BlankMacro1</definedName>
    <definedName name="DDF">BlankMacro1</definedName>
    <definedName name="DDFD" hidden="1">{#N/A,#N/A,FALSE,"CCTV"}</definedName>
    <definedName name="ddffa" hidden="1">{#N/A,#N/A,FALSE,"배수2"}</definedName>
    <definedName name="ddfj2323" hidden="1">#REF!</definedName>
    <definedName name="ddfjrteawe">#REF!</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J" hidden="1">{#N/A,#N/A,FALSE,"골재소요량";#N/A,#N/A,FALSE,"골재소요량"}</definedName>
    <definedName name="DDO">#REF!</definedName>
    <definedName name="DDR">#N/A</definedName>
    <definedName name="DDS" localSheetId="0">BlankMacro1</definedName>
    <definedName name="DDS">BlankMacro1</definedName>
    <definedName name="DDW" localSheetId="0">BlankMacro1</definedName>
    <definedName name="DDW">BlankMacro1</definedName>
    <definedName name="DE">#REF!</definedName>
    <definedName name="DEA">#REF!</definedName>
    <definedName name="DEC.GH">#REF!</definedName>
    <definedName name="DECK">#REF!</definedName>
    <definedName name="deck_ea">#REF!</definedName>
    <definedName name="DECK_PLATE">#REF!</definedName>
    <definedName name="dedewe" hidden="1">{#N/A,#N/A,FALSE,"요약";#N/A,#N/A,FALSE,"보고목차";#N/A,#N/A,FALSE,"1)서비스접수";#N/A,#N/A,FALSE,"2)상담";#N/A,#N/A,FALSE,"2.월별접수추이현황";#N/A,#N/A,FALSE,"3.상담내용";#N/A,#N/A,FALSE,"4.미처리현황"}</definedName>
    <definedName name="DEL_CHK">#N/A</definedName>
    <definedName name="DelDC">#REF!</definedName>
    <definedName name="DelDm">#REF!</definedName>
    <definedName name="DELI">#N/A</definedName>
    <definedName name="Delivery">#REF!</definedName>
    <definedName name="DelType">#REF!</definedName>
    <definedName name="DEMO">#REF!</definedName>
    <definedName name="deptLookup">#REF!</definedName>
    <definedName name="dere" hidden="1">{#N/A,#N/A,FALSE,"운반시간"}</definedName>
    <definedName name="derwr" hidden="1">{"'Firr(선)'!$AS$1:$AY$62","'Firr(사)'!$AS$1:$AY$62","'Firr(회)'!$AS$1:$AY$62","'Firr(선)'!$L$1:$V$62","'Firr(사)'!$L$1:$V$62","'Firr(회)'!$L$1:$V$62"}</definedName>
    <definedName name="DESC">#N/A</definedName>
    <definedName name="descrip" hidden="1">#REF!</definedName>
    <definedName name="DESCRIPTIO">#N/A</definedName>
    <definedName name="Description">#REF!</definedName>
    <definedName name="desfju3232" hidden="1">{#N/A,#N/A,FALSE,"Sheet1"}</definedName>
    <definedName name="DETAIL">#N/A</definedName>
    <definedName name="deteq43531q" hidden="1">{#N/A,#N/A,FALSE,"Sheet1"}</definedName>
    <definedName name="DF">#REF!</definedName>
    <definedName name="DF_1" hidden="1">{#N/A,#N/A,FALSE,"현장 NCR 분석";#N/A,#N/A,FALSE,"현장품질감사";#N/A,#N/A,FALSE,"현장품질감사"}</definedName>
    <definedName name="df2r33232" hidden="1">{#N/A,#N/A,FALSE,"Sheet1"}</definedName>
    <definedName name="df3w7yu32" hidden="1">{#N/A,#N/A,FALSE,"Sheet1"}</definedName>
    <definedName name="dfa" hidden="1">#REF!</definedName>
    <definedName name="dfad">#REF!</definedName>
    <definedName name="DFADFAFAFASDF" hidden="1">{#N/A,#N/A,FALSE,"이태원철근"}</definedName>
    <definedName name="dfaf" hidden="1">{"'장비'!$A$3:$M$12"}</definedName>
    <definedName name="DFAGAG" hidden="1">{#N/A,#N/A,FALSE,"혼합골재"}</definedName>
    <definedName name="dfakdf" hidden="1">#REF!</definedName>
    <definedName name="dfas"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DFASDF" hidden="1">#REF!</definedName>
    <definedName name="dfasdfas">#REF!</definedName>
    <definedName name="DFASDFDS" hidden="1">{#N/A,#N/A,FALSE,"손익표지";#N/A,#N/A,FALSE,"손익계산";#N/A,#N/A,FALSE,"일반관리비";#N/A,#N/A,FALSE,"영업외수익";#N/A,#N/A,FALSE,"영업외비용";#N/A,#N/A,FALSE,"매출액";#N/A,#N/A,FALSE,"요약손익";#N/A,#N/A,FALSE,"요약대차";#N/A,#N/A,FALSE,"매출채권현황";#N/A,#N/A,FALSE,"매출채권명세"}</definedName>
    <definedName name="DFASFD" hidden="1">{#N/A,#N/A,FALSE,"골재소요량";#N/A,#N/A,FALSE,"골재소요량"}</definedName>
    <definedName name="dfasfdasfdasfasd" hidden="1">{"'산출근거'!$B$4:$D$8"}</definedName>
    <definedName name="DFBGDHBFGBHDFHV">{0,0,0,0}</definedName>
    <definedName name="dfd" hidden="1">{#N/A,#N/A,FALSE,"Sheet6"}</definedName>
    <definedName name="dfdafasq3" hidden="1">{#N/A,#N/A,FALSE,"Sheet1"}</definedName>
    <definedName name="DFDASFGDASG" hidden="1">{#N/A,#N/A,FALSE,"단가표지"}</definedName>
    <definedName name="DFDDFE" hidden="1">#REF!</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D" hidden="1">{#N/A,#N/A,FALSE,"결의서";#N/A,#N/A,FALSE,"내역서";#N/A,#N/A,FALSE,"도급예상";#N/A,#N/A,FALSE,"시방서"}</definedName>
    <definedName name="DFDFDF" hidden="1">{#N/A,#N/A,FALSE,"단가표지"}</definedName>
    <definedName name="dfdfdfd"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DFDFf" hidden="1">{#N/A,#N/A,FALSE,"조골재"}</definedName>
    <definedName name="DFDFFD" hidden="1">{#N/A,#N/A,FALSE,"CCTV"}</definedName>
    <definedName name="DFDFQEQET" hidden="1">{#N/A,#N/A,FALSE,"Sheet1"}</definedName>
    <definedName name="dfdfw234" hidden="1">{#N/A,#N/A,FALSE,"Sheet1"}</definedName>
    <definedName name="DFDG" hidden="1">#REF!</definedName>
    <definedName name="DFDK" hidden="1">#REF!</definedName>
    <definedName name="DFDSADFADSF" hidden="1">{#N/A,#N/A,FALSE,"2~8번"}</definedName>
    <definedName name="DFDSAFDFD" hidden="1">{#N/A,#N/A,FALSE,"부대1"}</definedName>
    <definedName name="DFDSAFSFG" hidden="1">{#N/A,#N/A,FALSE,"구조2"}</definedName>
    <definedName name="DFDSAGFDSAG" hidden="1">{#N/A,#N/A,FALSE,"혼합골재"}</definedName>
    <definedName name="dfdsasd" hidden="1">{#N/A,#N/A,FALSE,"Sheet1"}</definedName>
    <definedName name="DFDSFD" hidden="1">{#N/A,#N/A,FALSE,"속도"}</definedName>
    <definedName name="DFDSFDFDFD" hidden="1">{#N/A,#N/A,FALSE,"구조1"}</definedName>
    <definedName name="DFDSFDS" hidden="1">{#N/A,#N/A,FALSE,"부대2"}</definedName>
    <definedName name="dfdsfwe42" hidden="1">{#N/A,#N/A,FALSE,"Sheet1"}</definedName>
    <definedName name="dfdsrer233" hidden="1">{#N/A,#N/A,FALSE,"Sheet1"}</definedName>
    <definedName name="dfdsrw34r3w245" hidden="1">{#N/A,#N/A,FALSE,"Sheet1"}</definedName>
    <definedName name="DFDSSF" hidden="1">{#N/A,#N/A,FALSE,"이정표"}</definedName>
    <definedName name="DFEE" hidden="1">#REF!</definedName>
    <definedName name="dfer2w42342" hidden="1">{#N/A,#N/A,FALSE,"Sheet1"}</definedName>
    <definedName name="dfesrw332" hidden="1">{#N/A,#N/A,FALSE,"Sheet1"}</definedName>
    <definedName name="dfetet3" hidden="1">{#N/A,#N/A,FALSE,"Sheet1"}</definedName>
    <definedName name="dfewrewqrqew">#N/A</definedName>
    <definedName name="dff">#REF!</definedName>
    <definedName name="DFFD" hidden="1">{#N/A,#N/A,FALSE,"CCTV"}</definedName>
    <definedName name="dffdff"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DFFEWRW332R32R" hidden="1">{#N/A,#N/A,FALSE,"Sheet1"}</definedName>
    <definedName name="DFFF" hidden="1">{#N/A,#N/A,FALSE,"속도"}</definedName>
    <definedName name="dffffffffe" hidden="1">#REF!</definedName>
    <definedName name="dffryryt" hidden="1">{#N/A,#N/A,FALSE,"속도"}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4335336" hidden="1">{#N/A,#N/A,FALSE,"Sheet1"}</definedName>
    <definedName name="DFG4T245T143" hidden="1">{#N/A,#N/A,FALSE,"Sheet1"}</definedName>
    <definedName name="DFGADSGAFDG" hidden="1">{#N/A,#N/A,FALSE,"운반시간"}</definedName>
    <definedName name="dfgbh23" hidden="1">{#N/A,#N/A,FALSE,"Sheet1"}</definedName>
    <definedName name="DFGDFEWR2" hidden="1">{#N/A,#N/A,FALSE,"Sheet1"}</definedName>
    <definedName name="dfgdfg" hidden="1">{#N/A,#N/A,FALSE,"전력간선"}</definedName>
    <definedName name="DFGDFGD" hidden="1">#REF!</definedName>
    <definedName name="dfgdfhdfh">#REF!</definedName>
    <definedName name="DFGDFS">#REF!</definedName>
    <definedName name="DFGEG324432" hidden="1">{#N/A,#N/A,FALSE,"Sheet1"}</definedName>
    <definedName name="dfgfd">#REF!</definedName>
    <definedName name="dfgfdgfbgrd" hidden="1">{#N/A,#N/A,FALSE,"지침";#N/A,#N/A,FALSE,"환경분석";#N/A,#N/A,FALSE,"Sheet16"}</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ghj"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fghk"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DFGN" hidden="1">{#N/A,#N/A,FALSE,"조골재"}</definedName>
    <definedName name="DFGQ3" hidden="1">{#N/A,#N/A,FALSE,"Sheet1"}</definedName>
    <definedName name="dfh" hidden="1">{#N/A,#N/A,FALSE,"BS";#N/A,#N/A,FALSE,"PL";#N/A,#N/A,FALSE,"처분";#N/A,#N/A,FALSE,"현금";#N/A,#N/A,FALSE,"매출";#N/A,#N/A,FALSE,"원가";#N/A,#N/A,FALSE,"경영"}</definedName>
    <definedName name="dfh732r7832" hidden="1">{#N/A,#N/A,FALSE,"Sheet1"}</definedName>
    <definedName name="dfha">#REF!</definedName>
    <definedName name="DFHB">#N/A</definedName>
    <definedName name="dfhj" hidden="1">{#N/A,#N/A,FALSE,"BS";#N/A,#N/A,FALSE,"PL";#N/A,#N/A,FALSE,"처분";#N/A,#N/A,FALSE,"현금";#N/A,#N/A,FALSE,"매출";#N/A,#N/A,FALSE,"원가";#N/A,#N/A,FALSE,"경영"}</definedName>
    <definedName name="dfhks" hidden="1">{#N/A,#N/A,FALSE,"단가표지"}</definedName>
    <definedName name="DF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j2w7823e\" hidden="1">{#N/A,#N/A,FALSE,"Sheet1"}</definedName>
    <definedName name="DFJH3238KDF" hidden="1">{#N/A,#N/A,FALSE,"Sheet1"}</definedName>
    <definedName name="dfjhfhgu23">#REF!</definedName>
    <definedName name="dfjhu21" hidden="1">{#N/A,#N/A,FALSE,"Sheet1"}</definedName>
    <definedName name="DFJLKDSKF" hidden="1">{#N/A,#N/A,FALSE,"골재소요량";#N/A,#N/A,FALSE,"골재소요량"}</definedName>
    <definedName name="dfkjfejfejpo">#REF!</definedName>
    <definedName name="DFKKFS" hidden="1">#REF!</definedName>
    <definedName name="dfr" hidden="1">{#N/A,#N/A,FALSE,"BS";#N/A,#N/A,FALSE,"PL";#N/A,#N/A,FALSE,"처분";#N/A,#N/A,FALSE,"현금";#N/A,#N/A,FALSE,"매출";#N/A,#N/A,FALSE,"원가";#N/A,#N/A,FALSE,"경영"}</definedName>
    <definedName name="dfreg324" hidden="1">{#N/A,#N/A,FALSE,"Sheet1"}</definedName>
    <definedName name="DFRGS">#N/A</definedName>
    <definedName name="DFS">#REF!</definedName>
    <definedName name="DFS3434R33" hidden="1">{#N/A,#N/A,FALSE,"Sheet1"}</definedName>
    <definedName name="DFS34R34R443" hidden="1">{#N/A,#N/A,FALSE,"Sheet1"}</definedName>
    <definedName name="DFS8932R878R32" hidden="1">{#N/A,#N/A,FALSE,"Sheet1"}</definedName>
    <definedName name="DFSAFG">#REF!</definedName>
    <definedName name="DFSD">#REF!</definedName>
    <definedName name="DFSDE">#REF!</definedName>
    <definedName name="dfsdf" hidden="1">{#N/A,#N/A,FALSE,"CCTV"}</definedName>
    <definedName name="dfsdfh" hidden="1">{#N/A,#N/A,FALSE,"전력간선"}</definedName>
    <definedName name="DFSDFS" hidden="1">{#N/A,#N/A,TRUE,"토적및재료집계";#N/A,#N/A,TRUE,"토적및재료집계";#N/A,#N/A,TRUE,"단위량"}</definedName>
    <definedName name="dfsdfsdfsdf" hidden="1">#REF!</definedName>
    <definedName name="dfsdrwe4234" hidden="1">{#N/A,#N/A,FALSE,"Sheet1"}</definedName>
    <definedName name="dfsds">#REF!</definedName>
    <definedName name="dfsf" hidden="1">#REF!</definedName>
    <definedName name="dfshdf23e" hidden="1">{#N/A,#N/A,FALSE,"Sheet1"}</definedName>
    <definedName name="dfsr23" hidden="1">{#N/A,#N/A,FALSE,"Sheet1"}</definedName>
    <definedName name="DFSSA" hidden="1">{#N/A,#N/A,FALSE,"운반시간"}</definedName>
    <definedName name="DFSW323" hidden="1">{#N/A,#N/A,FALSE,"Sheet1"}</definedName>
    <definedName name="DFSW5R3245R" hidden="1">{#N/A,#N/A,FALSE,"Sheet1"}</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t3wtr2" hidden="1">{#N/A,#N/A,FALSE,"Sheet1"}</definedName>
    <definedName name="DFT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TG3ERT34" hidden="1">{#N/A,#N/A,FALSE,"Sheet1"}</definedName>
    <definedName name="dfuygyu231" hidden="1">{#N/A,#N/A,FALSE,"Sheet1"}</definedName>
    <definedName name="DFVGD">#REF!</definedName>
    <definedName name="dfwer" hidden="1">{"'Firr(선)'!$AS$1:$AY$62","'Firr(사)'!$AS$1:$AY$62","'Firr(회)'!$AS$1:$AY$62","'Firr(선)'!$L$1:$V$62","'Firr(사)'!$L$1:$V$62","'Firr(회)'!$L$1:$V$62"}</definedName>
    <definedName name="dfyrgr" hidden="1">{#N/A,#N/A,FALSE,"단가표지"}</definedName>
    <definedName name="dfyu32ui" hidden="1">{#N/A,#N/A,FALSE,"Sheet1"}</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a" hidden="1">#REF!</definedName>
    <definedName name="dgasg" hidden="1">{#N/A,#N/A,FALSE,"조골재"}</definedName>
    <definedName name="DGBGFHRT">#N/A</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FGFGDG" hidden="1">{#N/A,#N/A,FALSE,"배수1"}</definedName>
    <definedName name="dgdfh4643" hidden="1">{#N/A,#N/A,FALSE,"Sheet1"}</definedName>
    <definedName name="dgdghds" hidden="1">{#N/A,#N/A,FALSE,"CCTV"}</definedName>
    <definedName name="dgdsatesaraq534" hidden="1">{#N/A,#N/A,FALSE,"Sheet1"}</definedName>
    <definedName name="dgdst3ew523" hidden="1">{#N/A,#N/A,FALSE,"Sheet1"}</definedName>
    <definedName name="dgf" hidden="1">{"'산출근거'!$B$4:$D$8"}</definedName>
    <definedName name="dgf43qt134">#REF!</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eqt34q5431" hidden="1">{#N/A,#N/A,FALSE,"Sheet1"}</definedName>
    <definedName name="dgfg">#REF!</definedName>
    <definedName name="dgfgf" hidden="1">{#N/A,#N/A,FALSE,"2~8번"}</definedName>
    <definedName name="dgfgjgj" hidden="1">{#N/A,#N/A,FALSE,"CCTV"}</definedName>
    <definedName name="dgfs." hidden="1">{#N/A,#N/A,FALSE,"포장2"}</definedName>
    <definedName name="dgfsdet324" hidden="1">{#N/A,#N/A,FALSE,"Sheet1"}</definedName>
    <definedName name="DGFSGA" hidden="1">#REF!</definedName>
    <definedName name="dggertrret34" hidden="1">{#N/A,#N/A,FALSE,"Sheet1"}</definedName>
    <definedName name="DGH" hidden="1">{#N/A,#N/A,FALSE,"조골재"}</definedName>
    <definedName name="dghjfgn" hidden="1">{#N/A,#N/A,FALSE,"BS";#N/A,#N/A,FALSE,"PL";#N/A,#N/A,FALSE,"처분";#N/A,#N/A,FALSE,"현금";#N/A,#N/A,FALSE,"매출";#N/A,#N/A,FALSE,"원가";#N/A,#N/A,FALSE,"경영"}</definedName>
    <definedName name="DGJGH" hidden="1">{#N/A,#N/A,FALSE,"운반시간"}</definedName>
    <definedName name="dgrdgreqte34" hidden="1">{#N/A,#N/A,FALSE,"Sheet1"}</definedName>
    <definedName name="dgrdtreqt345dfdc" hidden="1">{#N/A,#N/A,FALSE,"Sheet1"}</definedName>
    <definedName name="DGRET34" hidden="1">{#N/A,#N/A,FALSE,"Sheet1"}</definedName>
    <definedName name="DGRT">#REF!</definedName>
    <definedName name="DGT3Q4R532" hidden="1">{#N/A,#N/A,FALSE,"Sheet1"}</definedName>
    <definedName name="DGV">#REF!</definedName>
    <definedName name="DGVAFD">#REF!</definedName>
    <definedName name="d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dh" hidden="1">{#N/A,#N/A,FALSE,"현장 NCR 분석";#N/A,#N/A,FALSE,"현장품질감사";#N/A,#N/A,FALSE,"현장품질감사"}</definedName>
    <definedName name="dhgdfgfd" hidden="1">{#N/A,#N/A,FALSE,"견적조건";#N/A,#N/A,FALSE,"산출근거"}</definedName>
    <definedName name="DHGF" hidden="1">{#N/A,#N/A,FALSE,"2~8번"}</definedName>
    <definedName name="dhirl">#REF!</definedName>
    <definedName name="dhj" hidden="1">{"'용역비'!$A$4:$C$8"}</definedName>
    <definedName name="DHS">#REF!</definedName>
    <definedName name="dhtn">#REF!</definedName>
    <definedName name="dhuyg332" hidden="1">{#N/A,#N/A,FALSE,"Sheet1"}</definedName>
    <definedName name="DI">#REF!</definedName>
    <definedName name="DIA">#REF!</definedName>
    <definedName name="dia_mm">#REF!</definedName>
    <definedName name="DIAA">#REF!</definedName>
    <definedName name="diameter">#REF!</definedName>
    <definedName name="DIAP10.1L">#REF!</definedName>
    <definedName name="DIAP10.1R">#REF!</definedName>
    <definedName name="DIAP10L">#REF!</definedName>
    <definedName name="DIAP10R">#REF!</definedName>
    <definedName name="DIAP3.1L">#REF!</definedName>
    <definedName name="DIAP3.1R">#REF!</definedName>
    <definedName name="DIAP3L">#REF!</definedName>
    <definedName name="DIAP3R">#REF!</definedName>
    <definedName name="DIAP4.1L">#REF!</definedName>
    <definedName name="DIAP4.1R">#REF!</definedName>
    <definedName name="DIAP4L">#REF!</definedName>
    <definedName name="DIAP4R">#REF!</definedName>
    <definedName name="DIAP5.1L">#REF!</definedName>
    <definedName name="DIAP5.1R">#REF!</definedName>
    <definedName name="DIAP5L">#REF!</definedName>
    <definedName name="DIAP5R">#REF!</definedName>
    <definedName name="DIAP6.1L">#REF!</definedName>
    <definedName name="DIAP6.1R">#REF!</definedName>
    <definedName name="DIAP6L">#REF!</definedName>
    <definedName name="DIAP6R">#REF!</definedName>
    <definedName name="DIAP7.1L">#REF!</definedName>
    <definedName name="DIAP7.1R">#REF!</definedName>
    <definedName name="DIAP7L">#REF!</definedName>
    <definedName name="DIAP7R">#REF!</definedName>
    <definedName name="DIAP8.1L">#REF!</definedName>
    <definedName name="DIAP8.1R">#REF!</definedName>
    <definedName name="DIAP8L">#REF!</definedName>
    <definedName name="DIAP8R">#REF!</definedName>
    <definedName name="DIAP9.1L">#REF!</definedName>
    <definedName name="DIAP9.1R">#REF!</definedName>
    <definedName name="DIAP9L">#REF!</definedName>
    <definedName name="DIAP9R">#REF!</definedName>
    <definedName name="diaphragm">#REF!</definedName>
    <definedName name="diel">#REF!</definedName>
    <definedName name="Dij">#REF!</definedName>
    <definedName name="DIRECTION">#REF!</definedName>
    <definedName name="dist" hidden="1">#REF!</definedName>
    <definedName name="dist_bin1" hidden="1">#REF!</definedName>
    <definedName name="dist_value1" hidden="1">#REF!</definedName>
    <definedName name="DISTANCE">#REF!</definedName>
    <definedName name="DISTRIBUTOR">#REF!</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AJSL">#REF!,#REF!</definedName>
    <definedName name="djd">#REF!</definedName>
    <definedName name="djdj" hidden="1">{#N/A,#N/A,FALSE,"BS";#N/A,#N/A,FALSE,"PL";#N/A,#N/A,FALSE,"처분";#N/A,#N/A,FALSE,"현금";#N/A,#N/A,FALSE,"매출";#N/A,#N/A,FALSE,"원가";#N/A,#N/A,FALSE,"경영"}</definedName>
    <definedName name="djdjdj">{"서울냉천 3차( 5. 6-7).xls","Sheet1"}</definedName>
    <definedName name="djdjdj9">{"서울냉천 3차( 5. 6-7).xls","Sheet1"}</definedName>
    <definedName name="djdlof" hidden="1">{#N/A,#N/A,FALSE,"지침";#N/A,#N/A,FALSE,"환경분석";#N/A,#N/A,FALSE,"Sheet16"}</definedName>
    <definedName name="DJFH" hidden="1">{#N/A,#N/A,FALSE,"단가표지"}</definedName>
    <definedName name="djfjf" hidden="1">{#N/A,#N/A,FALSE,"구조2"}</definedName>
    <definedName name="djf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fkdfjkdjfkd" hidden="1">{#N/A,#N/A,FALSE,"Sheet1"}</definedName>
    <definedName name="djflkdslfj" hidden="1">#REF!</definedName>
    <definedName name="djhr3232" hidden="1">{#N/A,#N/A,FALSE,"Sheet1"}</definedName>
    <definedName name="djioe">#REF!</definedName>
    <definedName name="DJKC">#REF!,#REF!</definedName>
    <definedName name="DJKNHVF">#REF!</definedName>
    <definedName name="DJL">#N/A</definedName>
    <definedName name="djnf" hidden="1">{#N/A,#N/A,FALSE,"지침";#N/A,#N/A,FALSE,"환경분석";#N/A,#N/A,FALSE,"Sheet16"}</definedName>
    <definedName name="DJUHLDUUQ" hidden="1">{#N/A,#N/A,FALSE,"이태원철근"}</definedName>
    <definedName name="DJYDTYJ" hidden="1">#REF!</definedName>
    <definedName name="DK" hidden="1">{#N/A,#N/A,FALSE,"기안지";#N/A,#N/A,FALSE,"통신지"}</definedName>
    <definedName name="DKC" hidden="1">{#N/A,#N/A,FALSE,"현장 NCR 분석";#N/A,#N/A,FALSE,"현장품질감사";#N/A,#N/A,FALSE,"현장품질감사"}</definedName>
    <definedName name="DKD" localSheetId="0">BlankMacro1</definedName>
    <definedName name="DKD">BlankMacro1</definedName>
    <definedName name="DKDJKJ" hidden="1">{#N/A,#N/A,FALSE,"기안지";#N/A,#N/A,FALSE,"통신지"}</definedName>
    <definedName name="dkdk">#REF!</definedName>
    <definedName name="dkdkdkdkd" hidden="1">{#N/A,#N/A,FALSE,"명세표"}</definedName>
    <definedName name="dkdkjf" hidden="1">#REF!</definedName>
    <definedName name="dkdkkdd"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DKE" localSheetId="0">BlankMacro1</definedName>
    <definedName name="DKE">BlankMacro1</definedName>
    <definedName name="DKFDKF" hidden="1">#REF!</definedName>
    <definedName name="dkfjir" hidden="1">{#N/A,#N/A,FALSE,"단가표지"}</definedName>
    <definedName name="dkfjlekr" hidden="1">{#N/A,#N/A,FALSE,"2~8번"}</definedName>
    <definedName name="DKFK">[0]!DKFK</definedName>
    <definedName name="dkja">{"Book1","수시.XLS"}</definedName>
    <definedName name="dkjdls" hidden="1">{#N/A,#N/A,FALSE,"제목"}</definedName>
    <definedName name="DKJFL" localSheetId="0">BlankMacro1</definedName>
    <definedName name="DKJFL">BlankMacro1</definedName>
    <definedName name="DKJKF">#REF!</definedName>
    <definedName name="dkkjkjkjk" hidden="1">{#N/A,#N/A,FALSE,"Sheet1"}</definedName>
    <definedName name="dkls" hidden="1">{#N/A,#N/A,TRUE,"토적및재료집계";#N/A,#N/A,TRUE,"토적및재료집계";#N/A,#N/A,TRUE,"단위량"}</definedName>
    <definedName name="dkor">#REF!</definedName>
    <definedName name="dkorr">#REF!</definedName>
    <definedName name="dks">#REF!</definedName>
    <definedName name="DKSG" hidden="1">#REF!</definedName>
    <definedName name="DKSGMLWJD" hidden="1">#REF!</definedName>
    <definedName name="dks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KD" localSheetId="0">BlankMacro1</definedName>
    <definedName name="DKSKD">BlankMacro1</definedName>
    <definedName name="DKSR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{"Book1","TOTAL.xls"}</definedName>
    <definedName name="DLALWL" hidden="1">#REF!</definedName>
    <definedName name="DLAWHDDLF">#REF!</definedName>
    <definedName name="DLD" hidden="1">{"'산출근거'!$B$4:$D$8"}</definedName>
    <definedName name="DLDK" hidden="1">{#N/A,#N/A,FALSE,"표지목차"}</definedName>
    <definedName name="dldld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ldldll" hidden="1">#REF!</definedName>
    <definedName name="dldnjsdl" hidden="1">{#N/A,#N/A,FALSE,"지침";#N/A,#N/A,FALSE,"환경분석";#N/A,#N/A,FALSE,"Sheet16"}</definedName>
    <definedName name="dldyddn" hidden="1">{"'별표'!$N$220"}</definedName>
    <definedName name="DLF">#N/A</definedName>
    <definedName name="dlfdnl" hidden="1">{"'제10장(표)'!$A$5:$L$10"}</definedName>
    <definedName name="DLFE">#REF!</definedName>
    <definedName name="dlff" hidden="1">{#N/A,#N/A,FALSE,"운반시간"}</definedName>
    <definedName name="dlfl" hidden="1">{#N/A,#N/A,FALSE,"지침";#N/A,#N/A,FALSE,"환경분석";#N/A,#N/A,FALSE,"Sheet16"}</definedName>
    <definedName name="DLFO">#REF!</definedName>
    <definedName name="DLGKSFWN" hidden="1">#REF!</definedName>
    <definedName name="dljf" hidden="1">#REF!</definedName>
    <definedName name="dlocal">#REF!</definedName>
    <definedName name="dlocalr">#REF!</definedName>
    <definedName name="dlq">#N/A</definedName>
    <definedName name="dlqckf2">#N/A</definedName>
    <definedName name="DLR" hidden="1">{#N/A,#N/A,FALSE,"배수1"}</definedName>
    <definedName name="dls">#REF!</definedName>
    <definedName name="DLSTKEHD" hidden="1">{#N/A,#N/A,FALSE,"조골재"}</definedName>
    <definedName name="DLSTKFH" hidden="1">{#N/A,#N/A,FALSE,"골재소요량";#N/A,#N/A,FALSE,"골재소요량"}</definedName>
    <definedName name="DLTKDGUD" hidden="1">{#N/A,#N/A,FALSE,"2~8번"}</definedName>
    <definedName name="DM">#REF!</definedName>
    <definedName name="dma" hidden="1">{#N/A,#N/A,FALSE,"단가표지"}</definedName>
    <definedName name="dmnfurt" hidden="1">{#N/A,#N/A,FALSE,"2~8번"}</definedName>
    <definedName name="DMsum">#REF!</definedName>
    <definedName name="DMZ">#REF!,#REF!</definedName>
    <definedName name="dn" hidden="1">{#N/A,#N/A,FALSE,"혼합골재"}</definedName>
    <definedName name="dn_1" hidden="1">{#N/A,#N/A,FALSE,"혼합골재"}</definedName>
    <definedName name="DNFLF" hidden="1">{#N/A,#N/A,FALSE,"지침";#N/A,#N/A,FALSE,"환경분석";#N/A,#N/A,FALSE,"Sheet16"}</definedName>
    <definedName name="DNFLSKF" localSheetId="0">ErrorHandler_1</definedName>
    <definedName name="DNFLSKF">ErrorHandler_1</definedName>
    <definedName name="dnghngn" hidden="1">{#N/A,#N/A,FALSE,"BS";#N/A,#N/A,FALSE,"PL";#N/A,#N/A,FALSE,"처분";#N/A,#N/A,FALSE,"현금";#N/A,#N/A,FALSE,"매출";#N/A,#N/A,FALSE,"원가";#N/A,#N/A,FALSE,"경영"}</definedName>
    <definedName name="DNH">#REF!</definedName>
    <definedName name="DNJDGNGJHNJDGH">{0,0,0,0}</definedName>
    <definedName name="DNJRM" hidden="1">{#N/A,#N/A,FALSE,"혼합골재"}</definedName>
    <definedName name="DNJSRKSODURTJ" hidden="1">{#N/A,#N/A,FALSE,"CCTV"}</definedName>
    <definedName name="DNS">#REF!</definedName>
    <definedName name="DO">#REF!</definedName>
    <definedName name="DO_JANG_GONG">#REF!</definedName>
    <definedName name="DOCK" hidden="1">#REF!</definedName>
    <definedName name="Document_array">{"Book1","TOTAL.xls"}</definedName>
    <definedName name="Document_arrayl">{"서울냉천 3차( 5. 6-7).xls","Sheet1"}</definedName>
    <definedName name="doehadi">#REF!</definedName>
    <definedName name="DOGUB">#REF!</definedName>
    <definedName name="Dolar">#REF!</definedName>
    <definedName name="dolar2">#REF!</definedName>
    <definedName name="DON">#REF!</definedName>
    <definedName name="Dong">#REF!</definedName>
    <definedName name="DONG1">#REF!</definedName>
    <definedName name="DONG2">#REF!</definedName>
    <definedName name="dongbu" hidden="1">{#N/A,#N/A,FALSE,"현장 NCR 분석";#N/A,#N/A,FALSE,"현장품질감사";#N/A,#N/A,FALSE,"현장품질감사"}</definedName>
    <definedName name="doo">{"Book1","부대-(표지판,데리,가드).xls","부대-(낙,차,중분대).xls"}</definedName>
    <definedName name="DOOR">#N/A</definedName>
    <definedName name="doorsill">#REF!,#REF!,#REF!</definedName>
    <definedName name="dor">#REF!</definedName>
    <definedName name="DORO">#REF!,#REF!</definedName>
    <definedName name="DOSE">#N/A</definedName>
    <definedName name="DOWEL">#REF!</definedName>
    <definedName name="Dp">#REF!</definedName>
    <definedName name="DpFKDL" hidden="1">{#N/A,#N/A,FALSE,"이태원철근"}</definedName>
    <definedName name="DPI">#REF!</definedName>
    <definedName name="dr" hidden="1">#REF!</definedName>
    <definedName name="drain_trap">#REF!</definedName>
    <definedName name="DRAINNOZZLE">#REF!</definedName>
    <definedName name="DRAINPOT">#REF!</definedName>
    <definedName name="DRAW">#REF!</definedName>
    <definedName name="DRAW_COM">#REF!</definedName>
    <definedName name="DRAW_COM2">#REF!</definedName>
    <definedName name="DRAW_SINGLE">#REF!</definedName>
    <definedName name="DRAW_TICK">#REF!</definedName>
    <definedName name="DRDRSSF">#REF!</definedName>
    <definedName name="DRFEF" hidden="1">{#N/A,#N/A,FALSE,"골재소요량";#N/A,#N/A,FALSE,"골재소요량"}</definedName>
    <definedName name="drfuyh327832" hidden="1">{#N/A,#N/A,FALSE,"Sheet1"}</definedName>
    <definedName name="DRIVE">#REF!</definedName>
    <definedName name="DRJDRTH" hidden="1">#REF!</definedName>
    <definedName name="drkjhkjh" hidden="1">#REF!</definedName>
    <definedName name="DROW">#N/A</definedName>
    <definedName name="drsg">#REF!</definedName>
    <definedName name="DRsum">#REF!</definedName>
    <definedName name="DRTRTDKGMUKRT">#REF!</definedName>
    <definedName name="DS">#REF!</definedName>
    <definedName name="DS823R78382R" hidden="1">{#N/A,#N/A,FALSE,"Sheet1"}</definedName>
    <definedName name="DSA" hidden="1">{#N/A,#N/A,FALSE,"포장1";#N/A,#N/A,FALSE,"포장1"}</definedName>
    <definedName name="DSAA" hidden="1">{#N/A,#N/A,FALSE,"물량산출"}</definedName>
    <definedName name="dsada"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dsaf" hidden="1">{#N/A,#N/A,FALSE,"조골재"}</definedName>
    <definedName name="dsaf_1" hidden="1">{#N/A,#N/A,FALSE,"조골재"}</definedName>
    <definedName name="DSAFAHSDHFDHF" hidden="1">{#N/A,#N/A,FALSE,"손익표지";#N/A,#N/A,FALSE,"손익계산";#N/A,#N/A,FALSE,"일반관리비";#N/A,#N/A,FALSE,"영업외수익";#N/A,#N/A,FALSE,"영업외비용";#N/A,#N/A,FALSE,"매출액";#N/A,#N/A,FALSE,"요약손익";#N/A,#N/A,FALSE,"요약대차";#N/A,#N/A,FALSE,"매출채권현황";#N/A,#N/A,FALSE,"매출채권명세"}</definedName>
    <definedName name="DSC">#REF!</definedName>
    <definedName name="DSCFDSF">#REF!</definedName>
    <definedName name="ds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ds" hidden="1">{#N/A,#N/A,FALSE,"CCTV"}</definedName>
    <definedName name="dsdsaDSddsddA">{"'자리배치도'!$AG$1:$CI$28"}</definedName>
    <definedName name="dsdsd" hidden="1">{#N/A,#N/A,FALSE,"운반시간"}</definedName>
    <definedName name="DSDSHTRW4567" hidden="1">{#N/A,#N/A,FALSE,"Sheet1"}</definedName>
    <definedName name="DSE">#REF!</definedName>
    <definedName name="DSec1MMax">#REF!</definedName>
    <definedName name="DSec1MMin">#REF!</definedName>
    <definedName name="DSec1PMax">#REF!</definedName>
    <definedName name="DSec1PMin">#REF!</definedName>
    <definedName name="DSec1SMax">#REF!</definedName>
    <definedName name="DSec1SMin">#REF!</definedName>
    <definedName name="DSec2MMax">#REF!</definedName>
    <definedName name="DSec2MMin">#REF!</definedName>
    <definedName name="DSec2PMax">#REF!</definedName>
    <definedName name="DSec2PMin">#REF!</definedName>
    <definedName name="DSec2SMax">#REF!</definedName>
    <definedName name="DSec2SMin">#REF!</definedName>
    <definedName name="DSec3MMax">#REF!</definedName>
    <definedName name="DSec3MMin">#REF!</definedName>
    <definedName name="DSec3PMax">#REF!</definedName>
    <definedName name="DSec3PMin">#REF!</definedName>
    <definedName name="DSec3SMax">#REF!</definedName>
    <definedName name="DSec3SMin">#REF!</definedName>
    <definedName name="DSec4MMax">#REF!</definedName>
    <definedName name="DSec4MMin">#REF!</definedName>
    <definedName name="DSec4PMax">#REF!</definedName>
    <definedName name="DSec4PMin">#REF!</definedName>
    <definedName name="DSec4SMax">#REF!</definedName>
    <definedName name="DSec4SMin">#REF!</definedName>
    <definedName name="DSec5MMax">#REF!</definedName>
    <definedName name="DSec5MMin">#REF!</definedName>
    <definedName name="DSec5PMax">#REF!</definedName>
    <definedName name="DSec5PMin">#REF!</definedName>
    <definedName name="DSec5SMax">#REF!</definedName>
    <definedName name="DSec5SMin">#REF!</definedName>
    <definedName name="DSec6MMax">#REF!</definedName>
    <definedName name="DSec6MMin">#REF!</definedName>
    <definedName name="DSec6PMax">#REF!</definedName>
    <definedName name="DSec6PMin">#REF!</definedName>
    <definedName name="DSec6SMax">#REF!</definedName>
    <definedName name="DSec6SMin">#REF!</definedName>
    <definedName name="DSec7MMax">#REF!</definedName>
    <definedName name="DSec7MMin">#REF!</definedName>
    <definedName name="DSec7PMax">#REF!</definedName>
    <definedName name="DSec7PMIn">#REF!</definedName>
    <definedName name="DSec7SMax">#REF!</definedName>
    <definedName name="DSec7SMin">#REF!</definedName>
    <definedName name="DSF" hidden="1">{#N/A,#N/A,FALSE,"골재소요량";#N/A,#N/A,FALSE,"골재소요량"}</definedName>
    <definedName name="DSF_1" hidden="1">{#N/A,#N/A,FALSE,"골재소요량";#N/A,#N/A,FALSE,"골재소요량"}</definedName>
    <definedName name="DSF23434523" hidden="1">{#N/A,#N/A,FALSE,"Sheet1"}</definedName>
    <definedName name="dsf23ds23fkjd3eq" hidden="1">{#N/A,#N/A,FALSE,"Sheet1"}</definedName>
    <definedName name="dsf345t1t">#REF!</definedName>
    <definedName name="DSF34Q3434F" hidden="1">{#N/A,#N/A,FALSE,"Sheet1"}</definedName>
    <definedName name="dsf7327832few" hidden="1">{#N/A,#N/A,FALSE,"Sheet1"}</definedName>
    <definedName name="DSF87FDSA82378432" hidden="1">{#N/A,#N/A,FALSE,"Sheet1"}</definedName>
    <definedName name="DSFASD" hidden="1">{#N/A,#N/A,FALSE,"BS";#N/A,#N/A,FALSE,"PL";#N/A,#N/A,FALSE,"처분";#N/A,#N/A,FALSE,"현금";#N/A,#N/A,FALSE,"매출";#N/A,#N/A,FALSE,"원가";#N/A,#N/A,FALSE,"경영"}</definedName>
    <definedName name="DSFC">#REF!</definedName>
    <definedName name="DSFD">#REF!</definedName>
    <definedName name="dsfewar233" hidden="1">{#N/A,#N/A,FALSE,"Sheet1"}</definedName>
    <definedName name="dsfewf32" hidden="1">{#N/A,#N/A,FALSE,"Sheet1"}</definedName>
    <definedName name="DSFF7324773" hidden="1">{#N/A,#N/A,FALSE,"Sheet1"}</definedName>
    <definedName name="DSFG" hidden="1">{#N/A,#N/A,FALSE,"2~8번"}</definedName>
    <definedName name="DSFGB">#N/A</definedName>
    <definedName name="dsfgrewg">#REF!</definedName>
    <definedName name="DSFGSDF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H2IRHI23" hidden="1">{#N/A,#N/A,FALSE,"Sheet1"}</definedName>
    <definedName name="dsfh32t6723" hidden="1">{#N/A,#N/A,FALSE,"Sheet1"}</definedName>
    <definedName name="dsfh82723" hidden="1">{#N/A,#N/A,FALSE,"Sheet1"}</definedName>
    <definedName name="dsfhgty2323e" hidden="1">{#N/A,#N/A,FALSE,"Sheet1"}</definedName>
    <definedName name="DSFHU3HRU32" hidden="1">{#N/A,#N/A,FALSE,"Sheet1"}</definedName>
    <definedName name="dsfhui2323" hidden="1">{#N/A,#N/A,FALSE,"Sheet1"}</definedName>
    <definedName name="dsfhuid" hidden="1">{#N/A,#N/A,FALSE,"단가표지"}</definedName>
    <definedName name="dsfi237823" hidden="1">{#N/A,#N/A,FALSE,"Sheet1"}</definedName>
    <definedName name="dsfijo32233" hidden="1">#REF!</definedName>
    <definedName name="dsfiu232332" hidden="1">{#N/A,#N/A,FALSE,"Sheet1"}</definedName>
    <definedName name="dsfiu238923" hidden="1">{#N/A,#N/A,FALSE,"Sheet1"}</definedName>
    <definedName name="dsfj78232" hidden="1">{#N/A,#N/A,FALSE,"Sheet1"}</definedName>
    <definedName name="DSFJH23IH23" hidden="1">{#N/A,#N/A,FALSE,"Sheet1"}</definedName>
    <definedName name="dsfjhwq" hidden="1">{#N/A,#N/A,FALSE,"Sheet1"}</definedName>
    <definedName name="dsfjhy7887" hidden="1">{#N/A,#N/A,FALSE,"Sheet1"}</definedName>
    <definedName name="dsfjkweui32" hidden="1">{#N/A,#N/A,FALSE,"Sheet1"}</definedName>
    <definedName name="dsfklasdfdsf">#N/A</definedName>
    <definedName name="DSFQ34R34F4F3" hidden="1">{#N/A,#N/A,FALSE,"Sheet1"}</definedName>
    <definedName name="dsfqfqewf">#N/A</definedName>
    <definedName name="DSFR">#REF!</definedName>
    <definedName name="dsfs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fsdffsdfsdf" hidden="1">{#N/A,#N/A,FALSE,"ENG'G(보호계전기)"}</definedName>
    <definedName name="DSFSFSSSSS" hidden="1">#N/A</definedName>
    <definedName name="dsfuy3267232" hidden="1">{#N/A,#N/A,FALSE,"Sheet1"}</definedName>
    <definedName name="dsfuyhdfds" hidden="1">{#N/A,#N/A,FALSE,"Sheet1"}</definedName>
    <definedName name="DSFWER23" hidden="1">{#N/A,#N/A,FALSE,"Sheet1"}</definedName>
    <definedName name="dsfy23r32" hidden="1">{#N/A,#N/A,FALSE,"Sheet1"}</definedName>
    <definedName name="dsfy2r3y32" hidden="1">{#N/A,#N/A,FALSE,"Sheet1"}</definedName>
    <definedName name="dsfyg6721" hidden="1">{#N/A,#N/A,FALSE,"Sheet1"}</definedName>
    <definedName name="dsfyr38723" hidden="1">{#N/A,#N/A,FALSE,"Sheet1"}</definedName>
    <definedName name="dsfyuew7y73232" hidden="1">{#N/A,#N/A,FALSE,"Sheet1"}</definedName>
    <definedName name="dsfyug77821e2" hidden="1">{#N/A,#N/A,FALSE,"Sheet1"}</definedName>
    <definedName name="dsfyuhgh2r33232">#REF!</definedName>
    <definedName name="dsfyut326723" hidden="1">{#N/A,#N/A,FALSE,"Sheet1"}</definedName>
    <definedName name="DSG34TR3Q" hidden="1">{#N/A,#N/A,FALSE,"Sheet1"}</definedName>
    <definedName name="dsg3wy32" hidden="1">{#N/A,#N/A,FALSE,"Sheet1"}</definedName>
    <definedName name="DSGDFG" hidden="1">{#N/A,#N/A,FALSE,"기안지";#N/A,#N/A,FALSE,"통신지"}</definedName>
    <definedName name="dsgfggg" hidden="1">#REF!</definedName>
    <definedName name="dsgfsdgs" hidden="1">#REF!</definedName>
    <definedName name="DSGHE" hidden="1">{#N/A,#N/A,FALSE,"단가표지"}</definedName>
    <definedName name="dsgsdg" hidden="1">#REF!</definedName>
    <definedName name="dshfguygu3232" hidden="1">{#N/A,#N/A,FALSE,"Sheet1"}</definedName>
    <definedName name="dshjh3223" hidden="1">{#N/A,#N/A,FALSE,"Sheet1"}</definedName>
    <definedName name="dshu23" hidden="1">{#N/A,#N/A,FALSE,"Sheet1"}</definedName>
    <definedName name="dshu783fdsf" hidden="1">{#N/A,#N/A,FALSE,"Sheet1"}</definedName>
    <definedName name="dshug6723" hidden="1">{#N/A,#N/A,FALSE,"Sheet1"}</definedName>
    <definedName name="dsj23u82332" hidden="1">{#N/A,#N/A,FALSE,"Sheet1"}</definedName>
    <definedName name="dsjdfjk4" hidden="1">#REF!</definedName>
    <definedName name="dsjflas" hidden="1">{#N/A,#N/A,TRUE,"토적및재료집계";#N/A,#N/A,TRUE,"토적및재료집계";#N/A,#N/A,TRUE,"단위량"}</definedName>
    <definedName name="dsjfwue7823" hidden="1">{#N/A,#N/A,FALSE,"Sheet1"}</definedName>
    <definedName name="dsjheh2323" hidden="1">{#N/A,#N/A,FALSE,"Sheet1"}</definedName>
    <definedName name="dsjhhjdfdsa" hidden="1">{#N/A,#N/A,FALSE,"Sheet1"}</definedName>
    <definedName name="dsjhudsf78" hidden="1">{#N/A,#N/A,FALSE,"Sheet1"}</definedName>
    <definedName name="dsji7232" hidden="1">{#N/A,#N/A,FALSE,"Sheet1"}</definedName>
    <definedName name="DSJK23UI8923" hidden="1">{#N/A,#N/A,FALSE,"Sheet1"}</definedName>
    <definedName name="DSO">#REF!</definedName>
    <definedName name="dsrw434" hidden="1">{#N/A,#N/A,FALSE,"Sheet1"}</definedName>
    <definedName name="dss">#REF!</definedName>
    <definedName name="DSSD" hidden="1">{#N/A,#N/A,FALSE,"2~8번"}</definedName>
    <definedName name="DSSDS" hidden="1">{#N/A,#N/A,FALSE,"명세표"}</definedName>
    <definedName name="dstf7823e" hidden="1">{#N/A,#N/A,FALSE,"Sheet1"}</definedName>
    <definedName name="dsujh2378" hidden="1">{#N/A,#N/A,FALSE,"Sheet1"}</definedName>
    <definedName name="dsuyhe32y7823" hidden="1">{#N/A,#N/A,FALSE,"Sheet1"}</definedName>
    <definedName name="dsv">#REF!</definedName>
    <definedName name="DSVP">#REF!</definedName>
    <definedName name="DSWD">#REF!</definedName>
    <definedName name="dsy32y32" hidden="1">{#N/A,#N/A,FALSE,"Sheet1"}</definedName>
    <definedName name="dsyu63w632" hidden="1">{#N/A,#N/A,FALSE,"Sheet1"}</definedName>
    <definedName name="dsyuy23et28" hidden="1">{#N/A,#N/A,FALSE,"Sheet1"}</definedName>
    <definedName name="dtㅕㅏㅡㅕㅛ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cn">#REF!</definedName>
    <definedName name="dtcnr">#REF!</definedName>
    <definedName name="dtfg4ey452q" hidden="1">{#N/A,#N/A,FALSE,"Sheet1"}</definedName>
    <definedName name="dtfgrtn" hidden="1">{#N/A,#N/A,FALSE,"단가표지"}</definedName>
    <definedName name="dtgadtgret534" hidden="1">{#N/A,#N/A,FALSE,"Sheet1"}</definedName>
    <definedName name="dtj" hidden="1">#REF!</definedName>
    <definedName name="dtotal">#REF!</definedName>
    <definedName name="dtotalr">#REF!</definedName>
    <definedName name="dtrhgnb" hidden="1">{#N/A,#N/A,FALSE,"2~8번"}</definedName>
    <definedName name="DTYJTH" hidden="1">#REF!</definedName>
    <definedName name="dtyndghj" hidden="1">#REF!</definedName>
    <definedName name="dual_plate_check">#REF!</definedName>
    <definedName name="DUCK">#REF!</definedName>
    <definedName name="DUCK.XLS">#REF!</definedName>
    <definedName name="DUCT" hidden="1">{#N/A,#N/A,FALSE,"Sheet1"}</definedName>
    <definedName name="DUCT_GONG">#REF!</definedName>
    <definedName name="DUCT공">#REF!</definedName>
    <definedName name="dudwhd" hidden="1">{#N/A,#N/A,FALSE,"CCTV"}</definedName>
    <definedName name="duk">#REF!</definedName>
    <definedName name="dukr">#REF!</definedName>
    <definedName name="dumppr">#REF!</definedName>
    <definedName name="duplex_strainer">#REF!</definedName>
    <definedName name="durt" hidden="1">{#N/A,#N/A,FALSE,"골재소요량";#N/A,#N/A,FALSE,"골재소요량"}</definedName>
    <definedName name="dustmq" hidden="1">{#N/A,#N/A,FALSE,"이태원철근"}</definedName>
    <definedName name="DUT" hidden="1">#REF!</definedName>
    <definedName name="DVBGHDVDFGBSDFN">{0,0,0,0}</definedName>
    <definedName name="dvd">#REF!</definedName>
    <definedName name="dvffff" hidden="1">{#N/A,#N/A,FALSE,"BS";#N/A,#N/A,FALSE,"PL";#N/A,#N/A,FALSE,"처분";#N/A,#N/A,FALSE,"현금";#N/A,#N/A,FALSE,"매출";#N/A,#N/A,FALSE,"원가";#N/A,#N/A,FALSE,"경영"}</definedName>
    <definedName name="DVGDFS">#REF!</definedName>
    <definedName name="dvjhewfy23" hidden="1">{#N/A,#N/A,FALSE,"Sheet1"}</definedName>
    <definedName name="DVZZ">#REF!</definedName>
    <definedName name="DW" hidden="1">{#N/A,#N/A,FALSE,"배수2"}</definedName>
    <definedName name="DW9_">#N/A</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FW" hidden="1">#REF!</definedName>
    <definedName name="DWG_NO">#REF!</definedName>
    <definedName name="DWGNO">#REF!</definedName>
    <definedName name="DWQDQ" hidden="1">{#N/A,#N/A,FALSE,"운반시간"}</definedName>
    <definedName name="DWS" localSheetId="0">BlankMacro1</definedName>
    <definedName name="DWS">BlankMacro1</definedName>
    <definedName name="DX10L">#REF!</definedName>
    <definedName name="DX10R">#REF!</definedName>
    <definedName name="DX3L">#REF!</definedName>
    <definedName name="DX3R">#REF!</definedName>
    <definedName name="DX4L">#REF!</definedName>
    <definedName name="DX4R">#REF!</definedName>
    <definedName name="DX5L">#REF!</definedName>
    <definedName name="DX5R">#REF!</definedName>
    <definedName name="DX6L">#REF!</definedName>
    <definedName name="DX6R">#REF!</definedName>
    <definedName name="DX7L">#REF!</definedName>
    <definedName name="DX7R">#REF!</definedName>
    <definedName name="DX8L">#REF!</definedName>
    <definedName name="DX8R">#REF!</definedName>
    <definedName name="DX9L">#REF!</definedName>
    <definedName name="DX9R">#REF!</definedName>
    <definedName name="dxbjhu2323" hidden="1">{#N/A,#N/A,FALSE,"Sheet1"}</definedName>
    <definedName name="dxfdsaF" hidden="1">{#N/A,#N/A,FALSE,"단가표지"}</definedName>
    <definedName name="dxfdswe53w" hidden="1">{#N/A,#N/A,FALSE,"Sheet1"}</definedName>
    <definedName name="DXFFFS" hidden="1">{#N/A,#N/A,FALSE,"지침";#N/A,#N/A,FALSE,"환경분석";#N/A,#N/A,FALSE,"Sheet16"}</definedName>
    <definedName name="dxsghh2323" hidden="1">{#N/A,#N/A,FALSE,"Sheet1"}</definedName>
    <definedName name="DY10L">#REF!</definedName>
    <definedName name="DY10R">#REF!</definedName>
    <definedName name="DY3L">#REF!</definedName>
    <definedName name="DY3R">#REF!</definedName>
    <definedName name="DY4L">#REF!</definedName>
    <definedName name="DY4R">#REF!</definedName>
    <definedName name="DY5L">#REF!</definedName>
    <definedName name="DY5R">#REF!</definedName>
    <definedName name="DY6L">#REF!</definedName>
    <definedName name="DY6R">#REF!</definedName>
    <definedName name="DY7L">#REF!</definedName>
    <definedName name="DY7R">#REF!</definedName>
    <definedName name="DY8L">#REF!</definedName>
    <definedName name="DY8R">#REF!</definedName>
    <definedName name="DY9L">#REF!</definedName>
    <definedName name="DY9R">#REF!</definedName>
    <definedName name="dyu78r327832" hidden="1">{#N/A,#N/A,FALSE,"Sheet1"}</definedName>
    <definedName name="DZGD">#REF!</definedName>
    <definedName name="E">#N/A</definedName>
    <definedName name="E_1">#REF!</definedName>
    <definedName name="e_2">#REF!</definedName>
    <definedName name="E_DES">#REF!</definedName>
    <definedName name="E_IV">#REF!</definedName>
    <definedName name="E_mail.주소">#REF!</definedName>
    <definedName name="E_WON">#REF!</definedName>
    <definedName name="e1_e">#REF!</definedName>
    <definedName name="e1_ea">#REF!</definedName>
    <definedName name="E10M">#REF!</definedName>
    <definedName name="E10P">#REF!</definedName>
    <definedName name="E11M">#REF!</definedName>
    <definedName name="E11P">#REF!</definedName>
    <definedName name="E12M">#REF!</definedName>
    <definedName name="E12P">#REF!</definedName>
    <definedName name="E13M">#REF!</definedName>
    <definedName name="E13P">#REF!</definedName>
    <definedName name="E14M">#REF!</definedName>
    <definedName name="E14P">#REF!</definedName>
    <definedName name="E14S1">#REF!</definedName>
    <definedName name="E15M">#REF!</definedName>
    <definedName name="E15P">#REF!</definedName>
    <definedName name="E16M">#REF!</definedName>
    <definedName name="E16P">#REF!</definedName>
    <definedName name="E17M">#REF!</definedName>
    <definedName name="E17P">#REF!</definedName>
    <definedName name="E18M">#REF!</definedName>
    <definedName name="E18P">#REF!</definedName>
    <definedName name="E19M">#REF!</definedName>
    <definedName name="E19P">#REF!</definedName>
    <definedName name="E1E">#REF!</definedName>
    <definedName name="E1M">#REF!</definedName>
    <definedName name="E1P">#REF!</definedName>
    <definedName name="e2_e">#REF!</definedName>
    <definedName name="e2_ea">#REF!</definedName>
    <definedName name="E20M">#REF!</definedName>
    <definedName name="E20P">#REF!</definedName>
    <definedName name="E21M">#REF!</definedName>
    <definedName name="E21P">#REF!</definedName>
    <definedName name="E22M">#REF!</definedName>
    <definedName name="E22P">#REF!</definedName>
    <definedName name="E23M">#REF!</definedName>
    <definedName name="E23P">#REF!</definedName>
    <definedName name="E24M">#REF!</definedName>
    <definedName name="E24P">#REF!</definedName>
    <definedName name="E25M">#REF!</definedName>
    <definedName name="E25P">#REF!</definedName>
    <definedName name="E26E">#REF!</definedName>
    <definedName name="E26M">#REF!</definedName>
    <definedName name="E26P">#REF!</definedName>
    <definedName name="E27E">#REF!</definedName>
    <definedName name="E27M">#REF!</definedName>
    <definedName name="E27P">#REF!</definedName>
    <definedName name="E28E">#REF!</definedName>
    <definedName name="E28M">#REF!</definedName>
    <definedName name="E28P">#REF!</definedName>
    <definedName name="E29M">#REF!</definedName>
    <definedName name="E29P">#REF!</definedName>
    <definedName name="E2E">#REF!</definedName>
    <definedName name="E2M">#REF!</definedName>
    <definedName name="E2P">#REF!</definedName>
    <definedName name="E30M">#REF!</definedName>
    <definedName name="E30P">#REF!</definedName>
    <definedName name="E31E">#REF!</definedName>
    <definedName name="E31M">#REF!</definedName>
    <definedName name="E31P">#REF!</definedName>
    <definedName name="E32E">#REF!</definedName>
    <definedName name="E32M">#REF!</definedName>
    <definedName name="E32P">#REF!</definedName>
    <definedName name="E33E">#REF!</definedName>
    <definedName name="E33M">#REF!</definedName>
    <definedName name="E33P">#REF!</definedName>
    <definedName name="E34E">#REF!</definedName>
    <definedName name="E34M">#REF!</definedName>
    <definedName name="E34P">#REF!</definedName>
    <definedName name="E35M">#REF!</definedName>
    <definedName name="E35P">#REF!</definedName>
    <definedName name="E36M">#REF!</definedName>
    <definedName name="E36P">#REF!</definedName>
    <definedName name="E37M">#REF!</definedName>
    <definedName name="E37P">#REF!</definedName>
    <definedName name="E38M">#REF!</definedName>
    <definedName name="E38P">#REF!</definedName>
    <definedName name="E39M">#REF!</definedName>
    <definedName name="E39P">#REF!</definedName>
    <definedName name="E3단가" hidden="1">{#N/A,#N/A,TRUE,"MATERIAL COST"}</definedName>
    <definedName name="E3P">#REF!</definedName>
    <definedName name="E3RE">#REF!</definedName>
    <definedName name="E40M">#REF!</definedName>
    <definedName name="E40P">#REF!</definedName>
    <definedName name="E41M">#REF!</definedName>
    <definedName name="E41P">#REF!</definedName>
    <definedName name="E42M">#REF!</definedName>
    <definedName name="E42P">#REF!</definedName>
    <definedName name="E43M">#REF!</definedName>
    <definedName name="E43P">#REF!</definedName>
    <definedName name="E44M">#REF!</definedName>
    <definedName name="E44P">#REF!</definedName>
    <definedName name="E45M">#REF!</definedName>
    <definedName name="E45P">#REF!</definedName>
    <definedName name="E46M">#REF!</definedName>
    <definedName name="E46P">#REF!</definedName>
    <definedName name="E47M">#REF!</definedName>
    <definedName name="E47P">#REF!</definedName>
    <definedName name="E48M">#REF!</definedName>
    <definedName name="E48P">#REF!</definedName>
    <definedName name="E49M">#REF!</definedName>
    <definedName name="E49P">#REF!</definedName>
    <definedName name="E4M">#REF!</definedName>
    <definedName name="E4P">#REF!</definedName>
    <definedName name="E50M">#REF!</definedName>
    <definedName name="E50P">#REF!</definedName>
    <definedName name="E51E">#REF!</definedName>
    <definedName name="E52M">#REF!</definedName>
    <definedName name="E52P">#REF!</definedName>
    <definedName name="E53M">#REF!</definedName>
    <definedName name="E53P">#REF!</definedName>
    <definedName name="E54M">#REF!</definedName>
    <definedName name="E54P">#REF!</definedName>
    <definedName name="E55M">#REF!</definedName>
    <definedName name="E55P">#REF!</definedName>
    <definedName name="E56M">#REF!</definedName>
    <definedName name="E56P">#REF!</definedName>
    <definedName name="E57M">#REF!</definedName>
    <definedName name="E57P">#REF!</definedName>
    <definedName name="E58M">#REF!</definedName>
    <definedName name="E58P">#REF!</definedName>
    <definedName name="E59M">#REF!</definedName>
    <definedName name="E59P">#REF!</definedName>
    <definedName name="E5M">#REF!</definedName>
    <definedName name="E5P">#REF!</definedName>
    <definedName name="E5S1">#REF!</definedName>
    <definedName name="E60M">#REF!</definedName>
    <definedName name="E60P">#REF!</definedName>
    <definedName name="E61M">#REF!</definedName>
    <definedName name="E61P">#REF!</definedName>
    <definedName name="E62M">#REF!</definedName>
    <definedName name="E62P">#REF!</definedName>
    <definedName name="E63M">#REF!</definedName>
    <definedName name="E63P">#REF!</definedName>
    <definedName name="E64M">#REF!</definedName>
    <definedName name="E64P">#REF!</definedName>
    <definedName name="E65M">#REF!</definedName>
    <definedName name="E65P">#REF!</definedName>
    <definedName name="E66M">#REF!</definedName>
    <definedName name="E66P">#REF!</definedName>
    <definedName name="E67M">#REF!</definedName>
    <definedName name="E67P">#REF!</definedName>
    <definedName name="E68M">#REF!</definedName>
    <definedName name="E6M">#REF!</definedName>
    <definedName name="E6P">#REF!</definedName>
    <definedName name="E7M">#REF!</definedName>
    <definedName name="E7P">#REF!</definedName>
    <definedName name="E8M">#REF!</definedName>
    <definedName name="E8P">#REF!</definedName>
    <definedName name="E9M">#REF!</definedName>
    <definedName name="E9P">#REF!</definedName>
    <definedName name="EA">#REF!</definedName>
    <definedName name="eakyung" hidden="1">{#N/A,#N/A,FALSE,"현장 NCR 분석";#N/A,#N/A,FALSE,"현장품질감사";#N/A,#N/A,FALSE,"현장품질감사"}</definedName>
    <definedName name="EARCA">#N/A</definedName>
    <definedName name="EARCB">#N/A</definedName>
    <definedName name="eargfvv">#REF!</definedName>
    <definedName name="EARGGWDRH" hidden="1">{#N/A,#N/A,FALSE,"Sheet1"}</definedName>
    <definedName name="Earth_p60">#REF!</definedName>
    <definedName name="Earth_p70">#REF!</definedName>
    <definedName name="Earth_p90">#REF!</definedName>
    <definedName name="earthp">#REF!</definedName>
    <definedName name="EATWHS">#N/A</definedName>
    <definedName name="eawrwerraew" hidden="1">{#N/A,#N/A,FALSE,"조골재"}</definedName>
    <definedName name="EB">#REF!</definedName>
    <definedName name="EBRS1" hidden="1">#REF!</definedName>
    <definedName name="Ec">#REF!</definedName>
    <definedName name="Ec3Span">#REF!</definedName>
    <definedName name="Ecenter">#REF!</definedName>
    <definedName name="Ecenter1">#REF!</definedName>
    <definedName name="eCIiIi¨­A_I¨￡">#N/A</definedName>
    <definedName name="eCIiIiÞA_Iª">#N/A</definedName>
    <definedName name="èÇÍïÍïÞÀ_Íª">#N/A</definedName>
    <definedName name="EC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 hidden="1">{#N/A,#N/A,FALSE,"2~8번"}</definedName>
    <definedName name="ed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DC">#REF!,#REF!</definedName>
    <definedName name="EDD">#N/A</definedName>
    <definedName name="eddd" hidden="1">{#N/A,#N/A,FALSE,"CCTV"}</definedName>
    <definedName name="EDE">#REF!</definedName>
    <definedName name="EDEDE" hidden="1">{#N/A,#N/A,FALSE,"교리2"}</definedName>
    <definedName name="edew">#REF!</definedName>
    <definedName name="EDFQDE" hidden="1">{"'장비'!$A$3:$M$12"}</definedName>
    <definedName name="edgh">#REF!</definedName>
    <definedName name="edit__home__del__branch_\f">#REF!</definedName>
    <definedName name="Edit_ChnRate">#REF!</definedName>
    <definedName name="edsd" hidden="1">{"Header",#N/A,TRUE,"Summary";"ProjectInfo",#N/A,TRUE,"Total Value"}</definedName>
    <definedName name="edssqq" hidden="1">{#N/A,#N/A,FALSE,"혼합골재"}</definedName>
    <definedName name="EDT">#N/A</definedName>
    <definedName name="edtgh">#REF!</definedName>
    <definedName name="ee" hidden="1">{#N/A,#N/A,FALSE,"단가표지"}</definedName>
    <definedName name="EED">#REF!</definedName>
    <definedName name="EEDD">#REF!</definedName>
    <definedName name="EEE" hidden="1">{#N/A,#N/A,FALSE,"Sheet6"}</definedName>
    <definedName name="eee_1" hidden="1">{#N/A,#N/A,FALSE,"2~8번"}</definedName>
    <definedName name="eee.송운" hidden="1">{#N/A,#N/A,FALSE,"운반시간"}</definedName>
    <definedName name="eee.송운_1" hidden="1">{#N/A,#N/A,FALSE,"운반시간"}</definedName>
    <definedName name="eee.송운_2" hidden="1">{#N/A,#N/A,FALSE,"운반시간"}</definedName>
    <definedName name="eee.송운_3" hidden="1">{#N/A,#N/A,FALSE,"운반시간"}</definedName>
    <definedName name="EEEE">#REF!</definedName>
    <definedName name="eeeee" hidden="1">{#N/A,#N/A,FALSE,"운반시간"}</definedName>
    <definedName name="eeeeee"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eeeeeee">#N/A</definedName>
    <definedName name="eeeeeeeee" localSheetId="0">BlankMacro1</definedName>
    <definedName name="eeeeeeeee">BlankMacro1</definedName>
    <definedName name="EEEEEEEEEE" hidden="1">{#N/A,#N/A,FALSE,"운반시간"}</definedName>
    <definedName name="eeeeeeeeeeeee" hidden="1">{#N/A,#N/A,FALSE,"배수2"}</definedName>
    <definedName name="eeeeer" hidden="1">{#N/A,#N/A,FALSE,"BS";#N/A,#N/A,FALSE,"PL";#N/A,#N/A,FALSE,"처분";#N/A,#N/A,FALSE,"현금";#N/A,#N/A,FALSE,"매출";#N/A,#N/A,FALSE,"원가";#N/A,#N/A,FALSE,"경영"}</definedName>
    <definedName name="eefefew" hidden="1">{#N/A,#N/A,FALSE,"2~8번"}</definedName>
    <definedName name="eerr" hidden="1">{#N/A,#N/A,FALSE,"배수2"}</definedName>
    <definedName name="EEWTNNGF">#N/A</definedName>
    <definedName name="EF">#REF!</definedName>
    <definedName name="ef_val">#REF!</definedName>
    <definedName name="EF324R235R" hidden="1">{#N/A,#N/A,FALSE,"Sheet1"}</definedName>
    <definedName name="Efd">#REF!</definedName>
    <definedName name="Efd_h">#REF!</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G">{"'용역비'!$A$4:$C$8"}</definedName>
    <definedName name="efgerger">#N/A</definedName>
    <definedName name="efh">#REF!</definedName>
    <definedName name="efqf" hidden="1">{#N/A,#N/A,FALSE,"Sheet1"}</definedName>
    <definedName name="eg" hidden="1">{#N/A,#N/A,FALSE,"혼합골재"}</definedName>
    <definedName name="EGE">{"'용역비'!$A$4:$C$8"}</definedName>
    <definedName name="EGEA" hidden="1">{#N/A,#N/A,FALSE,"단가표지"}</definedName>
    <definedName name="egegeg" hidden="1">{#N/A,#N/A,FALSE,"운반시간"}</definedName>
    <definedName name="EGERG">#REF!</definedName>
    <definedName name="egfcghg">#REF!</definedName>
    <definedName name="EGG">#REF!</definedName>
    <definedName name="eggggggggg" hidden="1">{#N/A,#N/A,FALSE,"포장2"}</definedName>
    <definedName name="egt">#REF!</definedName>
    <definedName name="eh" hidden="1">{#N/A,#N/A,FALSE,"현장 NCR 분석";#N/A,#N/A,FALSE,"현장품질감사";#N/A,#N/A,FALSE,"현장품질감사"}</definedName>
    <definedName name="ehrma" hidden="1">0</definedName>
    <definedName name="ehyt">#REF!</definedName>
    <definedName name="ei">#REF!</definedName>
    <definedName name="EII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ineilfc" hidden="1">{#N/A,#N/A,FALSE,"단가표지"}</definedName>
    <definedName name="ej" hidden="1">{"'용역비'!$A$4:$C$8"}</definedName>
    <definedName name="ejnui" hidden="1">{#N/A,#N/A,FALSE,"골재소요량";#N/A,#N/A,FALSE,"골재소요량"}</definedName>
    <definedName name="EK" hidden="1">#REF!</definedName>
    <definedName name="EKEKEKEKEKEKEKEKEKEKEKEK" hidden="1">{#N/A,#N/A,FALSE,"이태원철근"}</definedName>
    <definedName name="EKEKEKEKEKEKEKEKEKEKEKEK_1" hidden="1">{#N/A,#N/A,FALSE,"이태원철근"}</definedName>
    <definedName name="EKEKEKEKEKEKEKEKEKEKEKEK_2" hidden="1">{#N/A,#N/A,FALSE,"이태원철근"}</definedName>
    <definedName name="EKEKEKEKEKEKEKEKEKEKEKEK_3" hidden="1">{#N/A,#N/A,FALSE,"이태원철근"}</definedName>
    <definedName name="ekfk" hidden="1">{#N/A,#N/A,FALSE,"현장 NCR 분석";#N/A,#N/A,FALSE,"현장품질감사";#N/A,#N/A,FALSE,"현장품질감사"}</definedName>
    <definedName name="ekrk" hidden="1">{#N/A,#N/A,FALSE,"이태원철근"}</definedName>
    <definedName name="EL">#REF!</definedName>
    <definedName name="EL1A1P">#REF!</definedName>
    <definedName name="el1a1t">#REF!</definedName>
    <definedName name="el1a2p">#REF!</definedName>
    <definedName name="el1a2t">#REF!</definedName>
    <definedName name="EL2A1P">#REF!</definedName>
    <definedName name="el2a1t">#REF!</definedName>
    <definedName name="el2a2p">#REF!</definedName>
    <definedName name="el2a2t">#REF!</definedName>
    <definedName name="EL3A1P">#REF!</definedName>
    <definedName name="el3a1t">#REF!</definedName>
    <definedName name="el3a2p">#REF!</definedName>
    <definedName name="el3a2t">#REF!</definedName>
    <definedName name="ELBOW_187">#REF!</definedName>
    <definedName name="ELBOW_287">#REF!</definedName>
    <definedName name="ELBOW_45">#REF!</definedName>
    <definedName name="ELBOW_F67">#REF!</definedName>
    <definedName name="ELBOW_M67">#REF!</definedName>
    <definedName name="ELBOW250">#REF!</definedName>
    <definedName name="ELBOW300">#REF!</definedName>
    <definedName name="ELBOW350">#REF!</definedName>
    <definedName name="ELC">#REF!</definedName>
    <definedName name="electrical" hidden="1">{#N/A,#N/A,FALSE,"CCTV"}</definedName>
    <definedName name="ELEV">#REF!</definedName>
    <definedName name="ELEV개구부미장">#REF!</definedName>
    <definedName name="ELEV개구부미장노">#REF!</definedName>
    <definedName name="ELEVATOR">#REF!</definedName>
    <definedName name="ELFE">#REF!</definedName>
    <definedName name="ELG">#REF!</definedName>
    <definedName name="ELI">#REF!</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LMES">#REF!</definedName>
    <definedName name="ELP">#REF!</definedName>
    <definedName name="em">#REF!</definedName>
    <definedName name="EMDRLR">#N/A</definedName>
    <definedName name="en" hidden="1">{#N/A,#N/A,FALSE,"변경관리예산";#N/A,#N/A,FALSE,"변경장비예산";#N/A,#N/A,FALSE,"변경준설예산";#N/A,#N/A,FALSE,"변경철구예산"}</definedName>
    <definedName name="ENCOST">#N/A</definedName>
    <definedName name="end">#REF!</definedName>
    <definedName name="end_day">#REF!</definedName>
    <definedName name="end_month">#REF!</definedName>
    <definedName name="end_year">#REF!</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#REF!</definedName>
    <definedName name="eodj">#REF!</definedName>
    <definedName name="EOL">#REF!</definedName>
    <definedName name="eotkd" hidden="1">#N/A</definedName>
    <definedName name="EP_1">#REF!</definedName>
    <definedName name="EP_2">#REF!</definedName>
    <definedName name="EP_3">#REF!</definedName>
    <definedName name="EP_4">#REF!</definedName>
    <definedName name="Epc">#REF!</definedName>
    <definedName name="Epc3Span">#REF!</definedName>
    <definedName name="epl_15">#REF!</definedName>
    <definedName name="epl_15t">#REF!</definedName>
    <definedName name="eqe" hidden="1">{#N/A,#N/A,FALSE,"속도"}</definedName>
    <definedName name="EQPT_Rate">#REF!</definedName>
    <definedName name="eqrte">#REF!</definedName>
    <definedName name="equip">#REF!</definedName>
    <definedName name="EQUP">#REF!</definedName>
    <definedName name="EQWE" localSheetId="0">BlankMacro1</definedName>
    <definedName name="EQWE">BlankMacro1</definedName>
    <definedName name="EQWF" hidden="1">{#N/A,#N/A,FALSE,"단가표지"}</definedName>
    <definedName name="ER" hidden="1">{#N/A,#N/A,FALSE,"CCTV"}</definedName>
    <definedName name="erawer" hidden="1">#REF!</definedName>
    <definedName name="ERD">#N/A</definedName>
    <definedName name="erer" hidden="1">#REF!</definedName>
    <definedName name="erere">#REF!</definedName>
    <definedName name="ererer" hidden="1">#REF!</definedName>
    <definedName name="ererfdf">#N/A</definedName>
    <definedName name="ERETRG" hidden="1">#REF!</definedName>
    <definedName name="EREW">#N/A</definedName>
    <definedName name="erg" hidden="1">{#N/A,#N/A,FALSE,"BS";#N/A,#N/A,FALSE,"PL";#N/A,#N/A,FALSE,"처분";#N/A,#N/A,FALSE,"현금";#N/A,#N/A,FALSE,"매출";#N/A,#N/A,FALSE,"원가";#N/A,#N/A,FALSE,"경영"}</definedName>
    <definedName name="ERGFD">#REF!</definedName>
    <definedName name="erggagtaqreg" hidden="1">{#N/A,#N/A,FALSE,"Sheet1"}</definedName>
    <definedName name="ergh4511463" hidden="1">{#N/A,#N/A,FALSE,"Sheet1"}</definedName>
    <definedName name="ERGR">#REF!</definedName>
    <definedName name="erhli">#REF!</definedName>
    <definedName name="erhth">#REF!</definedName>
    <definedName name="ERQ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qhhhhhhhhh" hidden="1">{#N/A,#N/A,FALSE,"배수1"}</definedName>
    <definedName name="ERR">#REF!</definedName>
    <definedName name="ErrName045352756">#REF!</definedName>
    <definedName name="ErrName053504526" hidden="1">{#VALUE!,#N/A,FALSE,0}</definedName>
    <definedName name="ErrName263792931" hidden="1">{#VALUE!,#N/A,FALSE,0}</definedName>
    <definedName name="ErrName289665043" hidden="1">{#VALUE!,#N/A,FALSE,0}</definedName>
    <definedName name="ErrName414032697">#REF!</definedName>
    <definedName name="ErrName468700110" hidden="1">{#VALUE!,#N/A,FALSE,0}</definedName>
    <definedName name="ErrName622696697" hidden="1">{#VALUE!,#N/A,FALSE,0}</definedName>
    <definedName name="ErrName824602126" hidden="1">{#VALUE!,#N/A,FALSE,0}</definedName>
    <definedName name="ER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t.ega" hidden="1">{#N/A,#N/A,FALSE,"구조1"}</definedName>
    <definedName name="ertcbbcv" hidden="1">{#N/A,#N/A,FALSE,"Sheet1"}</definedName>
    <definedName name="ERTER">#N/A</definedName>
    <definedName name="ERTERTE" hidden="1">{#N/A,#N/A,FALSE,"단가표지"}</definedName>
    <definedName name="ERTERTQ" hidden="1">{#N/A,#N/A,FALSE,"골재소요량";#N/A,#N/A,FALSE,"골재소요량"}</definedName>
    <definedName name="ertrt" hidden="1">{#N/A,#N/A,FALSE,"부대1"}</definedName>
    <definedName name="ERTSG" hidden="1">{#N/A,#N/A,FALSE,"단가표지"}</definedName>
    <definedName name="ertwers" hidden="1">{#N/A,#N/A,FALSE,"BS";#N/A,#N/A,FALSE,"PL";#N/A,#N/A,FALSE,"처분";#N/A,#N/A,FALSE,"현금";#N/A,#N/A,FALSE,"매출";#N/A,#N/A,FALSE,"원가";#N/A,#N/A,FALSE,"경영"}</definedName>
    <definedName name="ertwertwtwet" hidden="1">{#N/A,#N/A,FALSE,"BS";#N/A,#N/A,FALSE,"PL";#N/A,#N/A,FALSE,"처분";#N/A,#N/A,FALSE,"현금";#N/A,#N/A,FALSE,"매출";#N/A,#N/A,FALSE,"원가";#N/A,#N/A,FALSE,"경영"}</definedName>
    <definedName name="ER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tyertye" hidden="1">{"'용역비'!$A$4:$C$8"}</definedName>
    <definedName name="eru" hidden="1">{#N/A,#N/A,FALSE,"조골재"}</definedName>
    <definedName name="erw" hidden="1">#REF!</definedName>
    <definedName name="erwer" hidden="1">#REF!</definedName>
    <definedName name="erwerarawe" hidden="1">{#N/A,#N/A,FALSE,"표지목차"}</definedName>
    <definedName name="erwerer" hidden="1">{#N/A,#N/A,FALSE,"운반시간"}</definedName>
    <definedName name="erwerwe" hidden="1">#REF!</definedName>
    <definedName name="ER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yry" hidden="1">{#N/A,#N/A,FALSE,"손익표지";#N/A,#N/A,FALSE,"손익계산";#N/A,#N/A,FALSE,"일반관리비";#N/A,#N/A,FALSE,"영업외수익";#N/A,#N/A,FALSE,"영업외비용";#N/A,#N/A,FALSE,"매출액";#N/A,#N/A,FALSE,"요약손익";#N/A,#N/A,FALSE,"요약대차";#N/A,#N/A,FALSE,"매출채권현황";#N/A,#N/A,FALSE,"매출채권명세"}</definedName>
    <definedName name="erzsr">#REF!</definedName>
    <definedName name="es">#REF!</definedName>
    <definedName name="es_block">#REF!</definedName>
    <definedName name="ES_start">#REF!</definedName>
    <definedName name="es_val">#REF!</definedName>
    <definedName name="ES노임">#REF!</definedName>
    <definedName name="Esd">#REF!</definedName>
    <definedName name="Esd_h">#REF!</definedName>
    <definedName name="esfyy23ey2" hidden="1">{#N/A,#N/A,FALSE,"Sheet1"}</definedName>
    <definedName name="Eslab">#REF!</definedName>
    <definedName name="ESRSFGG">#N/A</definedName>
    <definedName name="esteban" hidden="1">{#N/A,#N/A,FALSE,"골재소요량";#N/A,#N/A,FALSE,"골재소요량"}</definedName>
    <definedName name="esuy2323" hidden="1">{#N/A,#N/A,FALSE,"Sheet1"}</definedName>
    <definedName name="eswdrfas" hidden="1">{#N/A,#N/A,FALSE,"단가표지"}</definedName>
    <definedName name="et" hidden="1">{"'Sheet1'!$L$16"}</definedName>
    <definedName name="ETC">#REF!</definedName>
    <definedName name="etcrcd">#REF!</definedName>
    <definedName name="ETGFGHSRTYHSR">#N/A</definedName>
    <definedName name="ETGFHFY">#N/A</definedName>
    <definedName name="etgjneje">#N/A</definedName>
    <definedName name="etgjtyttty">#N/A</definedName>
    <definedName name="ethhf">#N/A</definedName>
    <definedName name="ethil">#REF!</definedName>
    <definedName name="ethiow">#REF!</definedName>
    <definedName name="etr">#REF!</definedName>
    <definedName name="ETT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TWE" hidden="1">{#N/A,#N/A,FALSE,"Sheet6"}</definedName>
    <definedName name="ETWEGF" hidden="1">{#N/A,#N/A,FALSE,"Sheet6"}</definedName>
    <definedName name="ety" hidden="1">{#N/A,#N/A,FALSE,"구조1"}</definedName>
    <definedName name="ETYETY">{"'용역비'!$A$4:$C$8"}</definedName>
    <definedName name="etyj" hidden="1">{"'용역비'!$A$4:$C$8"}</definedName>
    <definedName name="etyjj" hidden="1">{"'용역비'!$A$4:$C$8"}</definedName>
    <definedName name="etyjnbet">#N/A</definedName>
    <definedName name="ETYJTYJ">{"'용역비'!$A$4:$C$8"}</definedName>
    <definedName name="EURO">#REF!</definedName>
    <definedName name="EV" hidden="1">#REF!</definedName>
    <definedName name="EVEN">#REF!,#REF!,#REF!,#REF!,#REF!,#REF!,#REF!,#REF!,#REF!,#REF!,#REF!,#REF!,#REF!,#REF!,#REF!,#REF!,#REF!,#REF!</definedName>
    <definedName name="ew" hidden="1">{#N/A,#N/A,FALSE,"혼합골재"}</definedName>
    <definedName name="EWAFADS" hidden="1">#REF!</definedName>
    <definedName name="ewbfafdsasf">#N/A</definedName>
    <definedName name="EWDCV" hidden="1">#REF!</definedName>
    <definedName name="EWDWQD">#REF!</definedName>
    <definedName name="ewe" hidden="1">{#N/A,#N/A,FALSE,"조골재"}</definedName>
    <definedName name="EWEF">[0]!EWEF</definedName>
    <definedName name="ewerwer" hidden="1">{#N/A,#N/A,FALSE,"이태원철근"}</definedName>
    <definedName name="EWF">#REF!,#REF!</definedName>
    <definedName name="EWFDA" hidden="1">#REF!</definedName>
    <definedName name="EWFDSVF">#REF!</definedName>
    <definedName name="ewooisdjfoijoidx" hidden="1">{#N/A,#N/A,FALSE,"Sheet1"}</definedName>
    <definedName name="ewpoklknadsfjk" hidden="1">{#N/A,#N/A,FALSE,"Sheet1"}</definedName>
    <definedName name="ewq" hidden="1">{"'Firr(선)'!$AS$1:$AY$62","'Firr(사)'!$AS$1:$AY$62","'Firr(회)'!$AS$1:$AY$62","'Firr(선)'!$L$1:$V$62","'Firr(사)'!$L$1:$V$62","'Firr(회)'!$L$1:$V$62"}</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wrarawerw" hidden="1">{#N/A,#N/A,FALSE,"조골재"}</definedName>
    <definedName name="EWRDWQ">#REF!</definedName>
    <definedName name="ewrew" hidden="1">#REF!</definedName>
    <definedName name="ewrewqrr">#N/A</definedName>
    <definedName name="ewrkljflkaf" hidden="1">{#N/A,#N/A,FALSE,"Sheet1"}</definedName>
    <definedName name="EWRWE" hidden="1">{"'장비'!$A$3:$M$12"}</definedName>
    <definedName name="ewrweq" hidden="1">{"'장비'!$A$3:$M$12"}</definedName>
    <definedName name="EWRWERW">#REF!</definedName>
    <definedName name="ewrwr" hidden="1">{#N/A,#N/A,FALSE,"손익표지";#N/A,#N/A,FALSE,"손익계산";#N/A,#N/A,FALSE,"일반관리비";#N/A,#N/A,FALSE,"영업외수익";#N/A,#N/A,FALSE,"영업외비용";#N/A,#N/A,FALSE,"매출액";#N/A,#N/A,FALSE,"요약손익";#N/A,#N/A,FALSE,"요약대차";#N/A,#N/A,FALSE,"매출채권현황";#N/A,#N/A,FALSE,"매출채권명세"}</definedName>
    <definedName name="EWTFGJTRHS">#N/A</definedName>
    <definedName name="ewtu">#REF!</definedName>
    <definedName name="EWTWV" hidden="1">{#N/A,#N/A,FALSE,"Sheet6"}</definedName>
    <definedName name="ewwer234" hidden="1">{#N/A,#N/A,FALSE,"Sheet1"}</definedName>
    <definedName name="EWYY" hidden="1">{#N/A,#N/A,FALSE,"표지"}</definedName>
    <definedName name="EX" hidden="1">{#N/A,#N/A,FALSE,"CCTV"}</definedName>
    <definedName name="ex_joint">#REF!</definedName>
    <definedName name="Exca_unitprice">#REF!</definedName>
    <definedName name="Exca_unitprice_h">#REF!</definedName>
    <definedName name="Exca_unitprice_u">#REF!</definedName>
    <definedName name="EXCEL">#REF!</definedName>
    <definedName name="Excel_BuiltIn_Criteria">#REF!</definedName>
    <definedName name="Excel_BuiltIn_Database">#REF!</definedName>
    <definedName name="Excel_BuiltIn_Print_Area">#REF!</definedName>
    <definedName name="Excel_BuiltIn_Print_Titles">#REF!</definedName>
    <definedName name="Excel_BuiltIn_Recorder">#REF!</definedName>
    <definedName name="Exchange_Rate">#REF!</definedName>
    <definedName name="EXE">#N/A</definedName>
    <definedName name="EXP120.J">#REF!</definedName>
    <definedName name="EXPANSION">#REF!</definedName>
    <definedName name="EXTANK" hidden="1">#REF!</definedName>
    <definedName name="_xlnm.Extract">#REF!</definedName>
    <definedName name="Extract_MI">#REF!</definedName>
    <definedName name="ey">#N/A</definedName>
    <definedName name="EYITT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yteyt" hidden="1">{#N/A,#N/A,FALSE,"CCTV"}</definedName>
    <definedName name="eytje" hidden="1">#REF!</definedName>
    <definedName name="eytre" hidden="1">{#N/A,#N/A,FALSE,"CCTV"}</definedName>
    <definedName name="eyu" hidden="1">{#N/A,#N/A,FALSE,"운반시간"}</definedName>
    <definedName name="eyuhjtrjy">#N/A</definedName>
    <definedName name="f">#REF!</definedName>
    <definedName name="F_CODE">#N/A</definedName>
    <definedName name="F_CODE1">#REF!</definedName>
    <definedName name="F_DES">#REF!</definedName>
    <definedName name="F_DESC">#N/A</definedName>
    <definedName name="F_EQ">#N/A</definedName>
    <definedName name="F_EQ0">#N/A</definedName>
    <definedName name="F_FORM">#N/A</definedName>
    <definedName name="F_INT1">#N/A</definedName>
    <definedName name="F_LA">#N/A</definedName>
    <definedName name="F_LA0">#N/A</definedName>
    <definedName name="F_LVL">#N/A</definedName>
    <definedName name="F_MA">#N/A</definedName>
    <definedName name="F_MA0">#N/A</definedName>
    <definedName name="F_MEMO">#N/A</definedName>
    <definedName name="F_PAGE">#N/A</definedName>
    <definedName name="F_QINC">#REF!</definedName>
    <definedName name="F_QMOD">#REF!</definedName>
    <definedName name="F_QQTY">#REF!</definedName>
    <definedName name="F_QUNIT">#REF!</definedName>
    <definedName name="F_QVAL">#N/A</definedName>
    <definedName name="F_REMK">#N/A</definedName>
    <definedName name="F_SEQ">#N/A</definedName>
    <definedName name="F_SIZE">#N/A</definedName>
    <definedName name="F_SOS">#N/A</definedName>
    <definedName name="F_TMOD">#REF!</definedName>
    <definedName name="F_TQTY">#N/A</definedName>
    <definedName name="F_TUNIT">#REF!</definedName>
    <definedName name="F_UNIT">#N/A</definedName>
    <definedName name="F10LX">#REF!</definedName>
    <definedName name="F10LY">#REF!</definedName>
    <definedName name="F10RX">#REF!</definedName>
    <definedName name="F10RY">#REF!</definedName>
    <definedName name="F1F">#REF!</definedName>
    <definedName name="F2F">#REF!</definedName>
    <definedName name="F32IUW3EHR323" hidden="1">{#N/A,#N/A,FALSE,"Sheet1"}</definedName>
    <definedName name="F3ER143" hidden="1">{#N/A,#N/A,FALSE,"Sheet1"}</definedName>
    <definedName name="F3F">#REF!</definedName>
    <definedName name="F3LX">#REF!</definedName>
    <definedName name="F3LY">#REF!</definedName>
    <definedName name="F3RX">#REF!</definedName>
    <definedName name="F3RY">#REF!</definedName>
    <definedName name="f45346t" hidden="1">{#N/A,#N/A,FALSE,"Sheet1"}</definedName>
    <definedName name="F4LX">#REF!</definedName>
    <definedName name="F4LY">#REF!</definedName>
    <definedName name="F4RX">#REF!</definedName>
    <definedName name="F4RY">#REF!</definedName>
    <definedName name="F5LX">#REF!</definedName>
    <definedName name="F5LY">#REF!</definedName>
    <definedName name="F5RX">#REF!</definedName>
    <definedName name="F5RY">#REF!</definedName>
    <definedName name="F6LX">#REF!</definedName>
    <definedName name="F6LY">#REF!</definedName>
    <definedName name="F6RX">#REF!</definedName>
    <definedName name="F6RY">#REF!</definedName>
    <definedName name="F7LX">#REF!</definedName>
    <definedName name="F7LY">#REF!</definedName>
    <definedName name="F7RX">#REF!</definedName>
    <definedName name="F7RY">#REF!</definedName>
    <definedName name="F8LX">#REF!</definedName>
    <definedName name="F8LY">#REF!</definedName>
    <definedName name="F8RX">#REF!</definedName>
    <definedName name="F8RY">#REF!</definedName>
    <definedName name="F90M">#REF!</definedName>
    <definedName name="F90S">#REF!</definedName>
    <definedName name="F9LX">#REF!</definedName>
    <definedName name="F9LY">#REF!</definedName>
    <definedName name="F9RX">#REF!</definedName>
    <definedName name="F9RY">#REF!</definedName>
    <definedName name="F댐M">#REF!</definedName>
    <definedName name="F댐S">#REF!</definedName>
    <definedName name="F이">#REF!</definedName>
    <definedName name="F일">#REF!</definedName>
    <definedName name="F후M">#REF!</definedName>
    <definedName name="F후S">#REF!</definedName>
    <definedName name="Fㅗㅎㄱ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ㅠ3827">#N/A</definedName>
    <definedName name="FAB상부" hidden="1">{#N/A,#N/A,FALSE,"단가표지"}</definedName>
    <definedName name="fact">#REF!</definedName>
    <definedName name="fact1">#REF!</definedName>
    <definedName name="FacterDead">#REF!</definedName>
    <definedName name="FacterLive">#REF!</definedName>
    <definedName name="factor">#REF!</definedName>
    <definedName name="factor1">#REF!</definedName>
    <definedName name="FADFD23" hidden="1">{#N/A,#N/A,FALSE,"Sheet1"}</definedName>
    <definedName name="fadfwer324" hidden="1">{#N/A,#N/A,FALSE,"Sheet1"}</definedName>
    <definedName name="FAF" hidden="1">{#N/A,#N/A,FALSE,"지침";#N/A,#N/A,FALSE,"환경분석";#N/A,#N/A,FALSE,"Sheet16"}</definedName>
    <definedName name="fan">#REF!</definedName>
    <definedName name="FAN견적의뢰" hidden="1">{#N/A,#N/A,FALSE,"기안지";#N/A,#N/A,FALSE,"통신지"}</definedName>
    <definedName name="fasdgf" hidden="1">{#N/A,#N/A,FALSE,"BS";#N/A,#N/A,FALSE,"PL";#N/A,#N/A,FALSE,"처분";#N/A,#N/A,FALSE,"현금";#N/A,#N/A,FALSE,"매출";#N/A,#N/A,FALSE,"원가";#N/A,#N/A,FALSE,"경영"}</definedName>
    <definedName name="fasf23" hidden="1">{#N/A,#N/A,FALSE,"Sheet1"}</definedName>
    <definedName name="fasfs" hidden="1">{#N/A,#N/A,FALSE,"CCTV"}</definedName>
    <definedName name="fasfsdfsdfasdfsdfsd" hidden="1">{#N/A,#N/A,TRUE,"Basic";#N/A,#N/A,TRUE,"EXT-TABLE";#N/A,#N/A,TRUE,"STEEL";#N/A,#N/A,TRUE,"INT-Table";#N/A,#N/A,TRUE,"STEEL";#N/A,#N/A,TRUE,"Door"}</definedName>
    <definedName name="FASFSFSF" hidden="1">{#N/A,#N/A,FALSE,"지침";#N/A,#N/A,FALSE,"환경분석";#N/A,#N/A,FALSE,"Sheet16"}</definedName>
    <definedName name="FAWRE">#REF!</definedName>
    <definedName name="fax">#REF!</definedName>
    <definedName name="FB">#REF!</definedName>
    <definedName name="FBALJUC">#N/A</definedName>
    <definedName name="fbfmki" hidden="1">{#N/A,#N/A,FALSE,"단가표지"}</definedName>
    <definedName name="fbj" hidden="1">{#N/A,#N/A,FALSE,"CCTV"}</definedName>
    <definedName name="FBM">#REF!</definedName>
    <definedName name="FBSFDBF">#REF!</definedName>
    <definedName name="fbum" hidden="1">{#N/A,#N/A,FALSE,"조골재"}</definedName>
    <definedName name="fbvdbsvbcbxb">#N/A</definedName>
    <definedName name="FC">#REF!</definedName>
    <definedName name="FCFFCF" hidden="1">{#N/A,#N/A,FALSE,"이정표"}</definedName>
    <definedName name="fcgr324" hidden="1">{#N/A,#N/A,FALSE,"Sheet1"}</definedName>
    <definedName name="Fci">#REF!</definedName>
    <definedName name="fck">#REF!</definedName>
    <definedName name="FD">#REF!</definedName>
    <definedName name="FD32R32R" hidden="1">{#N/A,#N/A,FALSE,"Sheet1"}</definedName>
    <definedName name="fd3451345">#REF!</definedName>
    <definedName name="FDA8FDS8745" hidden="1">{#N/A,#N/A,FALSE,"Sheet1"}</definedName>
    <definedName name="fdaf">#N/A</definedName>
    <definedName name="FDASFDSAF" localSheetId="0">BlankMacro1</definedName>
    <definedName name="FDASFDSAF">BlankMacro1</definedName>
    <definedName name="FDASGR34T" hidden="1">{#N/A,#N/A,FALSE,"Sheet1"}</definedName>
    <definedName name="FDBGDF">#N/A</definedName>
    <definedName name="fdbuy2332" hidden="1">{#N/A,#N/A,FALSE,"Sheet1"}</definedName>
    <definedName name="FDCOMP1">#N/A</definedName>
    <definedName name="FDCOMP2">#N/A</definedName>
    <definedName name="FDCOST">#N/A</definedName>
    <definedName name="fddasfafd">#REF!</definedName>
    <definedName name="fddfhdfhdgh" hidden="1">{#N/A,#N/A,FALSE,"CCTV"}</definedName>
    <definedName name="fddgf" hidden="1">#REF!</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F">#N/A</definedName>
    <definedName name="fdesr3w4234" hidden="1">{#N/A,#N/A,FALSE,"Sheet1"}</definedName>
    <definedName name="fdf" hidden="1">{#N/A,#N/A,FALSE,"CCTV"}</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 hidden="1">{#N/A,#N/A,FALSE,"CCTV"}</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S">#REF!,#REF!</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GEREW23" hidden="1">{#N/A,#N/A,FALSE,"Sheet1"}</definedName>
    <definedName name="fdfs">#REF!</definedName>
    <definedName name="FDFTER435" hidden="1">{#N/A,#N/A,FALSE,"Sheet1"}</definedName>
    <definedName name="FDG" hidden="1">{#N/A,#N/A,FALSE,"제목"}</definedName>
    <definedName name="FDG2ET431T13" hidden="1">{#N/A,#N/A,FALSE,"Sheet1"}</definedName>
    <definedName name="FDG34434343" hidden="1">{#N/A,#N/A,FALSE,"Sheet1"}</definedName>
    <definedName name="fdgd" hidden="1">#REF!</definedName>
    <definedName name="FDGDFAGFD" hidden="1">{#N/A,#N/A,FALSE,"포장1";#N/A,#N/A,FALSE,"포장1"}</definedName>
    <definedName name="fdgdfg">#REF!</definedName>
    <definedName name="FDGDFGFDG3" hidden="1">{#N/A,#N/A,FALSE,"Sheet1"}</definedName>
    <definedName name="FDGDFGRET23" hidden="1">{#N/A,#N/A,FALSE,"Sheet1"}</definedName>
    <definedName name="fdgdtw532" hidden="1">{#N/A,#N/A,FALSE,"Sheet1"}</definedName>
    <definedName name="FDGERT345" hidden="1">{#N/A,#N/A,FALSE,"Sheet1"}</definedName>
    <definedName name="FDGFD">#REF!</definedName>
    <definedName name="fdgfdg" hidden="1">{#N/A,#N/A,FALSE,"2~8번"}</definedName>
    <definedName name="FDGFDGDGDGF">#REF!</definedName>
    <definedName name="fdgfgf" hidden="1">{#N/A,#N/A,FALSE,"운반시간"}</definedName>
    <definedName name="FDGHDFT345" hidden="1">{#N/A,#N/A,FALSE,"Sheet1"}</definedName>
    <definedName name="FDGHFDT3" hidden="1">{#N/A,#N/A,FALSE,"Sheet1"}</definedName>
    <definedName name="FDGHRET3" hidden="1">{#N/A,#N/A,FALSE,"Sheet1"}</definedName>
    <definedName name="fdgk" hidden="1">{"'Sheet1'!$L$16"}</definedName>
    <definedName name="fdgldgklbv" hidden="1">{"'Firr(선)'!$AS$1:$AY$62","'Firr(사)'!$AS$1:$AY$62","'Firr(회)'!$AS$1:$AY$62","'Firr(선)'!$L$1:$V$62","'Firr(사)'!$L$1:$V$62","'Firr(회)'!$L$1:$V$62"}</definedName>
    <definedName name="FDGRET435" hidden="1">{#N/A,#N/A,FALSE,"Sheet1"}</definedName>
    <definedName name="fdgrt5" hidden="1">{#N/A,#N/A,FALSE,"Sheet1"}</definedName>
    <definedName name="FDGS" hidden="1">{#N/A,#N/A,FALSE,"부대1"}</definedName>
    <definedName name="FDGTJGNRT" hidden="1">{#N/A,#N/A,FALSE,"조골재"}</definedName>
    <definedName name="fdgwer3245r" hidden="1">{#N/A,#N/A,FALSE,"Sheet1"}</definedName>
    <definedName name="FDGYER3453" hidden="1">{#N/A,#N/A,FALSE,"Sheet1"}</definedName>
    <definedName name="fdgz">#REF!</definedName>
    <definedName name="fdhevwtec" hidden="1">{#N/A,#N/A,FALSE,"구조1"}</definedName>
    <definedName name="FDHFTER43" hidden="1">{#N/A,#N/A,FALSE,"Sheet1"}</definedName>
    <definedName name="fdhg" hidden="1">{#N/A,#N/A,FALSE,"이태원철근"}</definedName>
    <definedName name="fdhgdf7823\" hidden="1">{#N/A,#N/A,FALSE,"Sheet1"}</definedName>
    <definedName name="fdhjdghkju">#REF!</definedName>
    <definedName name="fdhsy78223" hidden="1">{#N/A,#N/A,FALSE,"Sheet1"}</definedName>
    <definedName name="fdjhb327832" hidden="1">{#N/A,#N/A,FALSE,"Sheet1"}</definedName>
    <definedName name="fdjhhj3232" hidden="1">{#N/A,#N/A,FALSE,"Sheet1"}</definedName>
    <definedName name="fdji4e87234" hidden="1">{#N/A,#N/A,FALSE,"Sheet1"}</definedName>
    <definedName name="fdjk" hidden="1">{#N/A,#N/A,FALSE,"골재소요량";#N/A,#N/A,FALSE,"골재소요량"}</definedName>
    <definedName name="fdkj4ew43" hidden="1">{#N/A,#N/A,FALSE,"Sheet1"}</definedName>
    <definedName name="fdksks">#REF!</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334R1R4R" hidden="1">{#N/A,#N/A,FALSE,"Sheet1"}</definedName>
    <definedName name="fds34513y" hidden="1">{#N/A,#N/A,FALSE,"Sheet1"}</definedName>
    <definedName name="FDS7REW787" hidden="1">{#N/A,#N/A,FALSE,"Sheet1"}</definedName>
    <definedName name="FDS8FDS7889243" hidden="1">{#N/A,#N/A,FALSE,"Sheet1"}</definedName>
    <definedName name="FDS8FS8915389894" hidden="1">{#N/A,#N/A,FALSE,"Sheet1"}</definedName>
    <definedName name="FDS8Y78278823" hidden="1">{#N/A,#N/A,FALSE,"Sheet1"}</definedName>
    <definedName name="FDSA" hidden="1">{#N/A,#N/A,FALSE,"CCTV"}</definedName>
    <definedName name="FDSA78278874328243" hidden="1">{#N/A,#N/A,FALSE,"Sheet1"}</definedName>
    <definedName name="FDSA7878324787432" hidden="1">{#N/A,#N/A,FALSE,"Sheet1"}</definedName>
    <definedName name="FDSA87F89213894321" hidden="1">{#N/A,#N/A,FALSE,"Sheet1"}</definedName>
    <definedName name="FDSA89218989153" hidden="1">{#N/A,#N/A,FALSE,"Sheet1"}</definedName>
    <definedName name="FDSA8YFDS87287" hidden="1">{#N/A,#N/A,FALSE,"Sheet1"}</definedName>
    <definedName name="fdsadgdag43" hidden="1">{#N/A,#N/A,FALSE,"Sheet1"}</definedName>
    <definedName name="FDSAF" hidden="1">#REF!</definedName>
    <definedName name="FDSAF343434" hidden="1">{#N/A,#N/A,FALSE,"Sheet1"}</definedName>
    <definedName name="fdsafdsa">#REF!</definedName>
    <definedName name="FDSAFS78423324" hidden="1">{#N/A,#N/A,FALSE,"Sheet1"}</definedName>
    <definedName name="FDSAKJFDSHJK328" hidden="1">{#N/A,#N/A,FALSE,"Sheet1"}</definedName>
    <definedName name="fdsaoijfdsajhigd" hidden="1">#REF!</definedName>
    <definedName name="FDSAY38Y153" hidden="1">{#N/A,#N/A,FALSE,"Sheet1"}</definedName>
    <definedName name="fdsesrw3532" hidden="1">{#N/A,#N/A,FALSE,"Sheet1"}</definedName>
    <definedName name="FDSF213" hidden="1">{#N/A,#N/A,FALSE,"Sheet1"}</definedName>
    <definedName name="FDSFASDF" hidden="1">{#N/A,#N/A,FALSE,"CCTV"}</definedName>
    <definedName name="fdsfdffd">#N/A</definedName>
    <definedName name="fdsgyue2yue21" hidden="1">{#N/A,#N/A,FALSE,"Sheet1"}</definedName>
    <definedName name="FDSHJ32RHHJ32">#REF!</definedName>
    <definedName name="fdsioj8328u923" hidden="1">{#N/A,#N/A,FALSE,"Sheet1"}</definedName>
    <definedName name="fdsjbjkr3j32">#REF!</definedName>
    <definedName name="FDSKL2RJ32R" hidden="1">{#N/A,#N/A,FALSE,"Sheet1"}</definedName>
    <definedName name="fdsrwer2342" hidden="1">{#N/A,#N/A,FALSE,"Sheet1"}</definedName>
    <definedName name="fdssss" hidden="1">{#N/A,#N/A,FALSE,"BS";#N/A,#N/A,FALSE,"PL";#N/A,#N/A,FALSE,"처분";#N/A,#N/A,FALSE,"현금";#N/A,#N/A,FALSE,"매출";#N/A,#N/A,FALSE,"원가";#N/A,#N/A,FALSE,"경영"}</definedName>
    <definedName name="fdst62332" hidden="1">{#N/A,#N/A,FALSE,"Sheet1"}</definedName>
    <definedName name="fdsty2332\" hidden="1">{#N/A,#N/A,FALSE,"Sheet1"}</definedName>
    <definedName name="FDSU8FSD78784278432" hidden="1">{#N/A,#N/A,FALSE,"Sheet1"}</definedName>
    <definedName name="fdsugy23623" hidden="1">{#N/A,#N/A,FALSE,"Sheet1"}</definedName>
    <definedName name="fdsuihu38973223" hidden="1">{#N/A,#N/A,FALSE,"Sheet1"}</definedName>
    <definedName name="fdsuyy32\" hidden="1">{#N/A,#N/A,FALSE,"Sheet1"}</definedName>
    <definedName name="FDSV">#REF!</definedName>
    <definedName name="fdsyu23uy32" hidden="1">{#N/A,#N/A,FALSE,"Sheet1"}</definedName>
    <definedName name="fdsyu32ry32">#REF!</definedName>
    <definedName name="fdubg32782" hidden="1">{#N/A,#N/A,FALSE,"Sheet1"}</definedName>
    <definedName name="fduuh2e123" hidden="1">{#N/A,#N/A,FALSE,"Sheet1"}</definedName>
    <definedName name="fduyhjguy3223" hidden="1">{#N/A,#N/A,FALSE,"Sheet1"}</definedName>
    <definedName name="FDV">#REF!</definedName>
    <definedName name="fdvd">#REF!</definedName>
    <definedName name="FDVG">#REF!</definedName>
    <definedName name="fdvjhweyuy2" hidden="1">{#N/A,#N/A,FALSE,"Sheet1"}</definedName>
    <definedName name="fe">#REF!</definedName>
    <definedName name="FE10L">#REF!</definedName>
    <definedName name="FE10R">#REF!</definedName>
    <definedName name="FE3L">#REF!</definedName>
    <definedName name="FE3R">#REF!</definedName>
    <definedName name="FE4L">#REF!</definedName>
    <definedName name="FE4R">#REF!</definedName>
    <definedName name="FE5L">#REF!</definedName>
    <definedName name="FE5R">#REF!</definedName>
    <definedName name="FE6L">#REF!</definedName>
    <definedName name="FE6R">#REF!</definedName>
    <definedName name="FE7L">#REF!</definedName>
    <definedName name="FE7R">#REF!</definedName>
    <definedName name="FE8L">#REF!</definedName>
    <definedName name="FE8R">#REF!</definedName>
    <definedName name="FE9L">#REF!</definedName>
    <definedName name="FE9R">#REF!</definedName>
    <definedName name="FEC" hidden="1">{#N/A,#N/A,FALSE,"단가표지"}</definedName>
    <definedName name="fedgre" hidden="1">{#N/A,#N/A,FALSE,"배수1"}</definedName>
    <definedName name="FEE">#REF!</definedName>
    <definedName name="FEEL">#REF!</definedName>
    <definedName name="feetsg" hidden="1">{#N/A,#N/A,FALSE,"개략금액";#N/A,#N/A,FALSE,"공사개요 ";#N/A,#N/A,FALSE,"견적조건";#N/A,#N/A,FALSE,"산출근거";#N/A,#N/A,FALSE,"EL금액";#N/A,#N/A,FALSE,"무인경비"}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jhufdsui238" hidden="1">{#N/A,#N/A,FALSE,"Sheet1"}</definedName>
    <definedName name="fender" hidden="1">{#N/A,#N/A,FALSE,"전력간선"}</definedName>
    <definedName name="fese">#REF!</definedName>
    <definedName name="fewr355" hidden="1">{#N/A,#N/A,FALSE,"Sheet1"}</definedName>
    <definedName name="ff">#REF!</definedName>
    <definedName name="ff_block">#REF!</definedName>
    <definedName name="FF_h">#REF!</definedName>
    <definedName name="ff_val">#REF!</definedName>
    <definedName name="FFC">#REF!</definedName>
    <definedName name="FFD" hidden="1">{#N/A,#N/A,FALSE,"골재소요량";#N/A,#N/A,FALSE,"골재소요량"}</definedName>
    <definedName name="FFDASFDASFDSA">{"'자리배치도'!$AG$1:$CI$28"}</definedName>
    <definedName name="FFDGGFD">#REF!</definedName>
    <definedName name="fff" hidden="1">{#N/A,#N/A,FALSE,"BS";#N/A,#N/A,FALSE,"PL";#N/A,#N/A,FALSE,"처분";#N/A,#N/A,FALSE,"현금";#N/A,#N/A,FALSE,"매출";#N/A,#N/A,FALSE,"원가";#N/A,#N/A,FALSE,"경영"}</definedName>
    <definedName name="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 hidden="1">{#N/A,#N/A,FALSE,"BS";#N/A,#N/A,FALSE,"PL";#N/A,#N/A,FALSE,"처분";#N/A,#N/A,FALSE,"현금";#N/A,#N/A,FALSE,"매출";#N/A,#N/A,FALSE,"원가";#N/A,#N/A,FALSE,"경영"}</definedName>
    <definedName name="ffffff">#REF!</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ff" hidden="1">{#N/A,#N/A,FALSE,"골재소요량";#N/A,#N/A,FALSE,"골재소요량"}</definedName>
    <definedName name="fffffffffffff" hidden="1">{#N/A,#N/A,FALSE,"BS";#N/A,#N/A,FALSE,"PL";#N/A,#N/A,FALSE,"처분";#N/A,#N/A,FALSE,"현금";#N/A,#N/A,FALSE,"매출";#N/A,#N/A,FALSE,"원가";#N/A,#N/A,FALSE,"경영"}</definedName>
    <definedName name="ffffffffffffffff" hidden="1">{#N/A,#N/A,FALSE,"표지목차"}</definedName>
    <definedName name="ffffffffffffffffffff" hidden="1">{#N/A,#N/A,FALSE,"BS";#N/A,#N/A,FALSE,"PL";#N/A,#N/A,FALSE,"처분";#N/A,#N/A,FALSE,"현금";#N/A,#N/A,FALSE,"매출";#N/A,#N/A,FALSE,"원가";#N/A,#N/A,FALSE,"경영"}</definedName>
    <definedName name="fffffffffffffffffffff" hidden="1">{#N/A,#N/A,FALSE,"BS";#N/A,#N/A,FALSE,"PL";#N/A,#N/A,FALSE,"처분";#N/A,#N/A,FALSE,"현금";#N/A,#N/A,FALSE,"매출";#N/A,#N/A,FALSE,"원가";#N/A,#N/A,FALSE,"경영"}</definedName>
    <definedName name="ffffffffffffffffffffff" hidden="1">{#N/A,#N/A,FALSE,"BS";#N/A,#N/A,FALSE,"PL";#N/A,#N/A,FALSE,"처분";#N/A,#N/A,FALSE,"현금";#N/A,#N/A,FALSE,"매출";#N/A,#N/A,FALSE,"원가";#N/A,#N/A,FALSE,"경영"}</definedName>
    <definedName name="fffffffffffffffffffffffffffffff" hidden="1">{#N/A,#N/A,FALSE,"BS";#N/A,#N/A,FALSE,"PL";#N/A,#N/A,FALSE,"처분";#N/A,#N/A,FALSE,"현금";#N/A,#N/A,FALSE,"매출";#N/A,#N/A,FALSE,"원가";#N/A,#N/A,FALSE,"경영"}</definedName>
    <definedName name="fffffffffffffffffffffffffffffffff" hidden="1">{#N/A,#N/A,FALSE,"BS";#N/A,#N/A,FALSE,"PL";#N/A,#N/A,FALSE,"처분";#N/A,#N/A,FALSE,"현금";#N/A,#N/A,FALSE,"매출";#N/A,#N/A,FALSE,"원가";#N/A,#N/A,FALSE,"경영"}</definedName>
    <definedName name="ffffffffffffffffffffffffffffffffffff" hidden="1">{#N/A,#N/A,FALSE,"BS";#N/A,#N/A,FALSE,"PL";#N/A,#N/A,FALSE,"처분";#N/A,#N/A,FALSE,"현금";#N/A,#N/A,FALSE,"매출";#N/A,#N/A,FALSE,"원가";#N/A,#N/A,FALSE,"경영"}</definedName>
    <definedName name="ffffffffffffffffffffffffffffffffffffff" hidden="1">{#N/A,#N/A,FALSE,"BS";#N/A,#N/A,FALSE,"PL";#N/A,#N/A,FALSE,"처분";#N/A,#N/A,FALSE,"현금";#N/A,#N/A,FALSE,"매출";#N/A,#N/A,FALSE,"원가";#N/A,#N/A,FALSE,"경영"}</definedName>
    <definedName name="ffffffffffffffffffffffffffffffffffffffff" hidden="1">{#N/A,#N/A,FALSE,"BS";#N/A,#N/A,FALSE,"PL";#N/A,#N/A,FALSE,"처분";#N/A,#N/A,FALSE,"현금";#N/A,#N/A,FALSE,"매출";#N/A,#N/A,FALSE,"원가";#N/A,#N/A,FALSE,"경영"}</definedName>
    <definedName name="fffffffffffffffffffjjjjjjjjjjjjjjjjjjjjj" hidden="1">{#N/A,#N/A,FALSE,"BS";#N/A,#N/A,FALSE,"PL";#N/A,#N/A,FALSE,"처분";#N/A,#N/A,FALSE,"현금";#N/A,#N/A,FALSE,"매출";#N/A,#N/A,FALSE,"원가";#N/A,#N/A,FALSE,"경영"}</definedName>
    <definedName name="ffffffffgggggggggggggggg" hidden="1">{#N/A,#N/A,FALSE,"BS";#N/A,#N/A,FALSE,"PL";#N/A,#N/A,FALSE,"처분";#N/A,#N/A,FALSE,"현금";#N/A,#N/A,FALSE,"매출";#N/A,#N/A,FALSE,"원가";#N/A,#N/A,FALSE,"경영"}</definedName>
    <definedName name="ffffffffjjjjjjjjjjjjj" hidden="1">{#N/A,#N/A,FALSE,"BS";#N/A,#N/A,FALSE,"PL";#N/A,#N/A,FALSE,"처분";#N/A,#N/A,FALSE,"현금";#N/A,#N/A,FALSE,"매출";#N/A,#N/A,FALSE,"원가";#N/A,#N/A,FALSE,"경영"}</definedName>
    <definedName name="fffffffg" hidden="1">{"'장비'!$A$3:$M$12"}</definedName>
    <definedName name="fffffgggggggggggggggggg" hidden="1">{#N/A,#N/A,FALSE,"BS";#N/A,#N/A,FALSE,"PL";#N/A,#N/A,FALSE,"처분";#N/A,#N/A,FALSE,"현금";#N/A,#N/A,FALSE,"매출";#N/A,#N/A,FALSE,"원가";#N/A,#N/A,FALSE,"경영"}</definedName>
    <definedName name="fffg" hidden="1">{#N/A,#N/A,FALSE,"BS";#N/A,#N/A,FALSE,"PL";#N/A,#N/A,FALSE,"처분";#N/A,#N/A,FALSE,"현금";#N/A,#N/A,FALSE,"매출";#N/A,#N/A,FALSE,"원가";#N/A,#N/A,FALSE,"경영"}</definedName>
    <definedName name="FF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fgfg" hidden="1">{"'장비'!$A$3:$M$12"}</definedName>
    <definedName name="ffh">#REF!</definedName>
    <definedName name="ffhgr" hidden="1">{#N/A,#N/A,FALSE,"표지목차"}</definedName>
    <definedName name="ffk" hidden="1">#REF!</definedName>
    <definedName name="ffkkfkkf" hidden="1">{#N/A,#N/A,FALSE,"단면 제원"}</definedName>
    <definedName name="FFM">#REF!</definedName>
    <definedName name="FFS">#REF!</definedName>
    <definedName name="FFSD" hidden="1">{#N/A,#N/A,FALSE,"2~8번"}</definedName>
    <definedName name="FFVG">#REF!</definedName>
    <definedName name="FG" hidden="1">{#N/A,#N/A,FALSE,"표지"}</definedName>
    <definedName name="fg1314TBTB4RTDKDKDKRT">#REF!</definedName>
    <definedName name="FG13TBTB4RT">#REF!</definedName>
    <definedName name="FG16TBTB2RT">#REF!</definedName>
    <definedName name="FG19TBTB2RTDKDKFG19TBTB2RTDKDKF">#REF!</definedName>
    <definedName name="FG20TBTB2RT">#REF!</definedName>
    <definedName name="FG22TBTB3RTDKDKDK">#REF!</definedName>
    <definedName name="FG243T43G" hidden="1">{#N/A,#N/A,FALSE,"Sheet1"}</definedName>
    <definedName name="fg28TBTB2RTDKDK">#REF!</definedName>
    <definedName name="FG28TBTB2RTDKDKRT">#REF!</definedName>
    <definedName name="FG28TBTB4RTDK">#REF!</definedName>
    <definedName name="FG44TBTB4RTDKDK">#REF!</definedName>
    <definedName name="FG4543434" hidden="1">{#N/A,#N/A,FALSE,"Sheet1"}</definedName>
    <definedName name="FG46TBTB4RTDKDK">#REF!</definedName>
    <definedName name="FGAFG" hidden="1">{#N/A,#N/A,FALSE,"단가표지"}</definedName>
    <definedName name="FGASDR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cfgg">#REF!</definedName>
    <definedName name="FGD">#REF!</definedName>
    <definedName name="FGDAG" hidden="1">{#N/A,#N/A,FALSE,"포장2"}</definedName>
    <definedName name="FGDAGFG" hidden="1">{#N/A,#N/A,FALSE,"혼합골재"}</definedName>
    <definedName name="FGDF" hidden="1">{#N/A,#N/A,FALSE,"CCTV"}</definedName>
    <definedName name="FGDFGDFG" hidden="1">{#N/A,#N/A,FALSE,"조골재"}</definedName>
    <definedName name="FGDFGDSFGSDFGDFSG" hidden="1">{#N/A,#N/A,FALSE,"2~8번"}</definedName>
    <definedName name="FGDFGERR3E54" hidden="1">{#N/A,#N/A,FALSE,"Sheet1"}</definedName>
    <definedName name="FGDFGFG" hidden="1">{#N/A,#N/A,FALSE,"표지목차"}</definedName>
    <definedName name="FGDFGHRT456745" hidden="1">{#N/A,#N/A,FALSE,"Sheet1"}</definedName>
    <definedName name="FGDFTWERW" hidden="1">{#N/A,#N/A,FALSE,"Sheet1"}</definedName>
    <definedName name="fgdsdg" hidden="1">#REF!</definedName>
    <definedName name="FGDSTY54W2457" hidden="1">{#N/A,#N/A,FALSE,"Sheet1"}</definedName>
    <definedName name="fgdtert43" hidden="1">{#N/A,#N/A,FALSE,"Sheet1"}</definedName>
    <definedName name="FGE3T43" hidden="1">{#N/A,#N/A,FALSE,"Sheet1"}</definedName>
    <definedName name="FGEAFQWE">#REF!</definedName>
    <definedName name="FGEARGEA" hidden="1">{#N/A,#N/A,FALSE,"사업총괄";#N/A,#N/A,FALSE,"장비사업";#N/A,#N/A,FALSE,"철구사업";#N/A,#N/A,FALSE,"준설사업"}</definedName>
    <definedName name="fger6t436" hidden="1">{#N/A,#N/A,FALSE,"Sheet1"}</definedName>
    <definedName name="FGERT435" hidden="1">{#N/A,#N/A,FALSE,"Sheet1"}</definedName>
    <definedName name="fgert43543" hidden="1">{#N/A,#N/A,FALSE,"Sheet1"}</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adgf" hidden="1">{#N/A,#N/A,FALSE,"혼합골재"}</definedName>
    <definedName name="FGFDDFT46436" hidden="1">{#N/A,#N/A,FALSE,"Sheet1"}</definedName>
    <definedName name="FGFDG" hidden="1">{#N/A,#N/A,FALSE,"표지목차"}</definedName>
    <definedName name="FGFDG454365" hidden="1">{#N/A,#N/A,FALSE,"Sheet1"}</definedName>
    <definedName name="fgfdgffff" hidden="1">{#N/A,#N/A,FALSE,"부대2"}</definedName>
    <definedName name="FGFDSG">{"'Firr(선)'!$AS$1:$AY$62","'Firr(사)'!$AS$1:$AY$62","'Firr(회)'!$AS$1:$AY$62","'Firr(선)'!$L$1:$V$62","'Firr(사)'!$L$1:$V$62","'Firr(회)'!$L$1:$V$62"}</definedName>
    <definedName name="fgfdsgdfg" hidden="1">{#N/A,#N/A,FALSE,"혼합골재"}</definedName>
    <definedName name="fgfg" hidden="1">{#N/A,#N/A,FALSE,"2~8번"}</definedName>
    <definedName name="fgfgf"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fgfgfg" hidden="1">{#N/A,#N/A,FALSE,"골재소요량";#N/A,#N/A,FALSE,"골재소요량"}</definedName>
    <definedName name="FGFGFGFG" hidden="1">{#N/A,#N/A,FALSE,"조골재"}</definedName>
    <definedName name="FGFGFGFGFG">#N/A</definedName>
    <definedName name="fgg">#REF!</definedName>
    <definedName name="FGGF">#REF!</definedName>
    <definedName name="FGGG">#REF!</definedName>
    <definedName name="FGGH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H">#REF!,#REF!</definedName>
    <definedName name="FGH34543532" hidden="1">{#N/A,#N/A,FALSE,"Sheet1"}</definedName>
    <definedName name="FGHD" hidden="1">{#N/A,#N/A,FALSE,"골재소요량";#N/A,#N/A,FALSE,"골재소요량"}</definedName>
    <definedName name="fghdff" hidden="1">#REF!</definedName>
    <definedName name="FGHERT34" hidden="1">{#N/A,#N/A,FALSE,"Sheet1"}</definedName>
    <definedName name="FGHERT43" hidden="1">{#N/A,#N/A,FALSE,"Sheet1"}</definedName>
    <definedName name="fghfdagfd" hidden="1">{#N/A,#N/A,FALSE,"표지목차"}</definedName>
    <definedName name="FGHFDGHRE34" hidden="1">{#N/A,#N/A,FALSE,"Sheet1"}</definedName>
    <definedName name="fghfgh" hidden="1">{#N/A,#N/A,FALSE,"손익표지";#N/A,#N/A,FALSE,"손익계산";#N/A,#N/A,FALSE,"일반관리비";#N/A,#N/A,FALSE,"영업외수익";#N/A,#N/A,FALSE,"영업외비용";#N/A,#N/A,FALSE,"매출액";#N/A,#N/A,FALSE,"요약손익";#N/A,#N/A,FALSE,"요약대차";#N/A,#N/A,FALSE,"매출채권현황";#N/A,#N/A,FALSE,"매출채권명세"}</definedName>
    <definedName name="FGHFHFHFHF">#REF!</definedName>
    <definedName name="fghgfhwrwtr">#N/A</definedName>
    <definedName name="fghgh">#REF!,#REF!</definedName>
    <definedName name="fghghf">{"'자리배치도'!$AG$1:$CI$28"}</definedName>
    <definedName name="fghh" hidden="1">{#N/A,#N/A,FALSE,"부대2"}</definedName>
    <definedName name="FGHRTHRT">#N/A</definedName>
    <definedName name="fghruid" hidden="1">{#N/A,#N/A,FALSE,"조골재"}</definedName>
    <definedName name="FGHRWT45" hidden="1">{#N/A,#N/A,FALSE,"Sheet1"}</definedName>
    <definedName name="fght" hidden="1">{#N/A,#N/A,FALSE,"BS";#N/A,#N/A,FALSE,"PL";#N/A,#N/A,FALSE,"처분";#N/A,#N/A,FALSE,"현금";#N/A,#N/A,FALSE,"매출";#N/A,#N/A,FALSE,"원가";#N/A,#N/A,FALSE,"경영"}</definedName>
    <definedName name="fghtr45" hidden="1">{#N/A,#N/A,FALSE,"Sheet1"}</definedName>
    <definedName name="FGHTRHH">#N/A</definedName>
    <definedName name="fghty45y5" hidden="1">{#N/A,#N/A,FALSE,"Sheet1"}</definedName>
    <definedName name="fghyryu" hidden="1">{#N/A,#N/A,FALSE,"전력간선"}</definedName>
    <definedName name="fgjdug" hidden="1">{#N/A,#N/A,FALSE,"골재소요량";#N/A,#N/A,FALSE,"골재소요량"}</definedName>
    <definedName name="fgjft" hidden="1">{#N/A,#N/A,FALSE,"Sheet6"}</definedName>
    <definedName name="fgjhfd" hidden="1">{#N/A,#N/A,FALSE,"단가표지"}</definedName>
    <definedName name="fgjld" hidden="1">{#N/A,#N/A,FALSE,"혼합골재"}</definedName>
    <definedName name="fgn" hidden="1">{#N/A,#N/A,FALSE,"구조2"}</definedName>
    <definedName name="fgnd" hidden="1">{#N/A,#N/A,FALSE,"포장1";#N/A,#N/A,FALSE,"포장1"}</definedName>
    <definedName name="FGNNAME">#N/A</definedName>
    <definedName name="fgnrt" hidden="1">{#N/A,#N/A,FALSE,"단가표지"}</definedName>
    <definedName name="fgnrth45" hidden="1">{#N/A,#N/A,FALSE,"Sheet1"}</definedName>
    <definedName name="fgnut" hidden="1">{#N/A,#N/A,FALSE,"운반시간"}</definedName>
    <definedName name="fgPRPRRKTBTB1RTDKDK">#REF!</definedName>
    <definedName name="FGR">#REF!</definedName>
    <definedName name="FGRET34" hidden="1">{#N/A,#N/A,FALSE,"Sheet1"}</definedName>
    <definedName name="FGREY565247725" hidden="1">{#N/A,#N/A,FALSE,"Sheet1"}</definedName>
    <definedName name="FGRKRKRKRKRKRKRKRKRKRKRKRKRKRKR">#N/A</definedName>
    <definedName name="FGRKRKRKRKRKRKRKRKRKRKRKRKTBTB3">#REF!</definedName>
    <definedName name="FGrkrkrkrkrkrkrktbtbsptbrt">#REF!</definedName>
    <definedName name="FGS">#REF!</definedName>
    <definedName name="fgsgfdagdse" hidden="1">#REF!</definedName>
    <definedName name="FGTBTB2RTDKDK">#REF!</definedName>
    <definedName name="fgTBTB4RTDKDK">#REF!</definedName>
    <definedName name="FGTYTRY5676" hidden="1">{#N/A,#N/A,FALSE,"Sheet1"}</definedName>
    <definedName name="FGV">#REF!</definedName>
    <definedName name="fh" hidden="1">{#N/A,#N/A,FALSE,"BS";#N/A,#N/A,FALSE,"PL";#N/A,#N/A,FALSE,"처분";#N/A,#N/A,FALSE,"현금";#N/A,#N/A,FALSE,"매출";#N/A,#N/A,FALSE,"원가";#N/A,#N/A,FALSE,"경영"}</definedName>
    <definedName name="FH10L">#REF!</definedName>
    <definedName name="FH10R">#REF!</definedName>
    <definedName name="FH3L">#REF!</definedName>
    <definedName name="FH3R">#REF!</definedName>
    <definedName name="FH4L">#REF!</definedName>
    <definedName name="FH4R">#REF!</definedName>
    <definedName name="FH4T43" hidden="1">{#N/A,#N/A,FALSE,"Sheet1"}</definedName>
    <definedName name="FH5L">#REF!</definedName>
    <definedName name="FH5R">#REF!</definedName>
    <definedName name="FH6L">#REF!</definedName>
    <definedName name="FH6R">#REF!</definedName>
    <definedName name="FH7L">#REF!</definedName>
    <definedName name="FH7R">#REF!</definedName>
    <definedName name="FH8L">#REF!</definedName>
    <definedName name="FH8R">#REF!</definedName>
    <definedName name="FH9L">#REF!</definedName>
    <definedName name="FH9R">#REF!</definedName>
    <definedName name="fhddg" hidden="1">{#N/A,#N/A,FALSE,"부대1"}</definedName>
    <definedName name="FHDFDYRTY2456" hidden="1">{#N/A,#N/A,FALSE,"Sheet1"}</definedName>
    <definedName name="fhdkjf" hidden="1">{#N/A,#N/A,FALSE,"골재소요량";#N/A,#N/A,FALSE,"골재소요량"}</definedName>
    <definedName name="FHDRTY4575416YFD" hidden="1">{#N/A,#N/A,FALSE,"Sheet1"}</definedName>
    <definedName name="FHE">#REF!</definedName>
    <definedName name="FHER23423" hidden="1">{#N/A,#N/A,FALSE,"Sheet1"}</definedName>
    <definedName name="FHERTER6Y" hidden="1">{#N/A,#N/A,FALSE,"Sheet1"}</definedName>
    <definedName name="fhf" hidden="1">{#N/A,#N/A,FALSE,"손익표지";#N/A,#N/A,FALSE,"손익계산";#N/A,#N/A,FALSE,"일반관리비";#N/A,#N/A,FALSE,"영업외수익";#N/A,#N/A,FALSE,"영업외비용";#N/A,#N/A,FALSE,"매출액";#N/A,#N/A,FALSE,"요약손익";#N/A,#N/A,FALSE,"요약대차";#N/A,#N/A,FALSE,"매출채권현황";#N/A,#N/A,FALSE,"매출채권명세"}</definedName>
    <definedName name="FHFDGRETRE34" hidden="1">{#N/A,#N/A,FALSE,"Sheet1"}</definedName>
    <definedName name="FHFDY455756" hidden="1">{#N/A,#N/A,FALSE,"Sheet1"}</definedName>
    <definedName name="FHFGYRT657" hidden="1">{#N/A,#N/A,FALSE,"Sheet1"}</definedName>
    <definedName name="FHFH" hidden="1">#REF!</definedName>
    <definedName name="FHFHFHFHFGHF">#REF!</definedName>
    <definedName name="FHFK" hidden="1">#REF!</definedName>
    <definedName name="fhgf" hidden="1">{#N/A,#N/A,FALSE,"운반시간"}</definedName>
    <definedName name="FHGFH" hidden="1">{#N/A,#N/A,FALSE,"손익표지";#N/A,#N/A,FALSE,"손익계산";#N/A,#N/A,FALSE,"일반관리비";#N/A,#N/A,FALSE,"영업외수익";#N/A,#N/A,FALSE,"영업외비용";#N/A,#N/A,FALSE,"매출액";#N/A,#N/A,FALSE,"요약손익";#N/A,#N/A,FALSE,"요약대차";#N/A,#N/A,FALSE,"매출채권현황";#N/A,#N/A,FALSE,"매출채권명세"}</definedName>
    <definedName name="fhgjfghfghgf" hidden="1">{#N/A,#N/A,FALSE,"CCTV"}</definedName>
    <definedName name="fhht45" hidden="1">{#N/A,#N/A,FALSE,"Sheet1"}</definedName>
    <definedName name="fhigr">#REF!</definedName>
    <definedName name="FHIGR1">#REF!</definedName>
    <definedName name="fhkfhk" hidden="1">{#N/A,#N/A,FALSE,"손익표지";#N/A,#N/A,FALSE,"손익계산";#N/A,#N/A,FALSE,"일반관리비";#N/A,#N/A,FALSE,"영업외수익";#N/A,#N/A,FALSE,"영업외비용";#N/A,#N/A,FALSE,"매출액";#N/A,#N/A,FALSE,"요약손익";#N/A,#N/A,FALSE,"요약대차";#N/A,#N/A,FALSE,"매출채권현황";#N/A,#N/A,FALSE,"매출채권명세"}</definedName>
    <definedName name="FHN">#REF!</definedName>
    <definedName name="fhndjskaljhfdk" hidden="1">{#N/A,#N/A,FALSE,"조골재"}</definedName>
    <definedName name="FHRDYRT856U856" hidden="1">{#N/A,#N/A,FALSE,"Sheet1"}</definedName>
    <definedName name="FHRT4353" hidden="1">{#N/A,#N/A,FALSE,"Sheet1"}</definedName>
    <definedName name="fhshh" hidden="1">255</definedName>
    <definedName name="FHTF54526875" hidden="1">{#N/A,#N/A,FALSE,"Sheet1"}</definedName>
    <definedName name="FHTRT576" hidden="1">{#N/A,#N/A,FALSE,"Sheet1"}</definedName>
    <definedName name="FHURTYU457" hidden="1">{#N/A,#N/A,FALSE,"Sheet1"}</definedName>
    <definedName name="fid">#REF!</definedName>
    <definedName name="file">"Edit Box 7"</definedName>
    <definedName name="FILENAME">#REF!</definedName>
    <definedName name="fill1" hidden="1">#REF!</definedName>
    <definedName name="FIPDATE">#N/A</definedName>
    <definedName name="FIRST">#REF!</definedName>
    <definedName name="First_Rec">#REF!</definedName>
    <definedName name="FirstFinYearEnd">#REF!</definedName>
    <definedName name="firstname">#REF!</definedName>
    <definedName name="FIX">#REF!</definedName>
    <definedName name="FIXT">#REF!</definedName>
    <definedName name="FJCOST">#N/A</definedName>
    <definedName name="FJDSKJF" hidden="1">{#N/A,#N/A,FALSE,"골재소요량";#N/A,#N/A,FALSE,"골재소요량"}</definedName>
    <definedName name="FJFJ" hidden="1">#REF!</definedName>
    <definedName name="fjgtui" hidden="1">{#N/A,#N/A,FALSE,"단가표지"}</definedName>
    <definedName name="fjhfdfdd"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fjhfgdj" hidden="1">{#N/A,#N/A,FALSE,"손익표지";#N/A,#N/A,FALSE,"손익계산";#N/A,#N/A,FALSE,"일반관리비";#N/A,#N/A,FALSE,"영업외수익";#N/A,#N/A,FALSE,"영업외비용";#N/A,#N/A,FALSE,"매출액";#N/A,#N/A,FALSE,"요약손익";#N/A,#N/A,FALSE,"요약대차";#N/A,#N/A,FALSE,"매출채권현황";#N/A,#N/A,FALSE,"매출채권명세"}</definedName>
    <definedName name="fjhgrugr" hidden="1">{#N/A,#N/A,FALSE,"운반시간"}</definedName>
    <definedName name="fjkf">#REF!</definedName>
    <definedName name="fjkf238" hidden="1">{#N/A,#N/A,FALSE,"Sheet1"}</definedName>
    <definedName name="fjlfj" hidden="1">{#N/A,#N/A,FALSE,"단가표지"}</definedName>
    <definedName name="FJSDHF" hidden="1">{#N/A,#N/A,FALSE,"단가표지"}</definedName>
    <definedName name="FK" hidden="1">{"'용역비'!$A$4:$C$8"}</definedName>
    <definedName name="fkf" hidden="1">#REF!</definedName>
    <definedName name="fkfjchj" hidden="1">{#N/A,#N/A,FALSE,"BS";#N/A,#N/A,FALSE,"PL";#N/A,#N/A,FALSE,"처분";#N/A,#N/A,FALSE,"현금";#N/A,#N/A,FALSE,"매출";#N/A,#N/A,FALSE,"원가";#N/A,#N/A,FALSE,"경영"}</definedName>
    <definedName name="FKGJASDL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kgriof" hidden="1">{#N/A,#N/A,FALSE,"단가표지"}</definedName>
    <definedName name="fkjtgied" hidden="1">{#N/A,#N/A,FALSE,"혼합골재"}</definedName>
    <definedName name="fkjvuir" hidden="1">{#N/A,#N/A,FALSE,"골재소요량";#N/A,#N/A,FALSE,"골재소요량"}</definedName>
    <definedName name="fkk">#REF!</definedName>
    <definedName name="FLATBAR">#REF!</definedName>
    <definedName name="fld00">#REF!</definedName>
    <definedName name="Fld000">#REF!</definedName>
    <definedName name="FLEXIBLE100">#REF!</definedName>
    <definedName name="FLEXIBLE150">#REF!</definedName>
    <definedName name="FLEXIBLE200">#REF!</definedName>
    <definedName name="FLEXIBLE250">#REF!</definedName>
    <definedName name="FLG">#REF!</definedName>
    <definedName name="FLG_Orifice">#REF!</definedName>
    <definedName name="fllfljd">#REF!</definedName>
    <definedName name="FLM">#REF!</definedName>
    <definedName name="FLN">#REF!</definedName>
    <definedName name="FLS">#REF!</definedName>
    <definedName name="FN">#REF!</definedName>
    <definedName name="FNCOST">#N/A</definedName>
    <definedName name="f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oo" localSheetId="0">ErrorHandler_1</definedName>
    <definedName name="foo">ErrorHandler_1</definedName>
    <definedName name="FOOT1">#REF!</definedName>
    <definedName name="FOOT2">#REF!</definedName>
    <definedName name="FOOT3">#REF!</definedName>
    <definedName name="FOR" hidden="1">{#N/A,#N/A,FALSE,"CCTV"}</definedName>
    <definedName name="Form">#REF!</definedName>
    <definedName name="Form_support">#REF!</definedName>
    <definedName name="Form_unitp">#REF!</definedName>
    <definedName name="Form_unitp_h">#REF!</definedName>
    <definedName name="Form_unitph">#REF!</definedName>
    <definedName name="Form_unitprice">#REF!</definedName>
    <definedName name="Form_unitprice_h">#REF!</definedName>
    <definedName name="Form_up_h">#REF!</definedName>
    <definedName name="FORMAT" hidden="1">{#N/A,#N/A,FALSE,"CCTV"}</definedName>
    <definedName name="FOUND_H">#REF!</definedName>
    <definedName name="FPM">#REF!</definedName>
    <definedName name="FPOGDP">#REF!</definedName>
    <definedName name="FPRINO">#N/A</definedName>
    <definedName name="FPS">#REF!</definedName>
    <definedName name="Fpu">#REF!</definedName>
    <definedName name="Fpy">#REF!</definedName>
    <definedName name="fr" hidden="1">#REF!</definedName>
    <definedName name="FREDM">#REF!</definedName>
    <definedName name="FREDS">#REF!</definedName>
    <definedName name="FREE">#REF!</definedName>
    <definedName name="FREW">#REF!</definedName>
    <definedName name="frf" hidden="1">{#N/A,#N/A,FALSE,"전력간선"}</definedName>
    <definedName name="From_support">#REF!</definedName>
    <definedName name="front">#REF!</definedName>
    <definedName name="FRP">#REF!</definedName>
    <definedName name="FRP공">#REF!</definedName>
    <definedName name="FRPFL">#REF!</definedName>
    <definedName name="FRPUP">#REF!</definedName>
    <definedName name="frt">#REF!</definedName>
    <definedName name="FS" hidden="1">{#N/A,#N/A,FALSE,"배수1"}</definedName>
    <definedName name="FS_10">#REF!</definedName>
    <definedName name="fs_100">#REF!</definedName>
    <definedName name="fs_100t">#REF!</definedName>
    <definedName name="FS_10T">#REF!</definedName>
    <definedName name="fs_110">#REF!</definedName>
    <definedName name="fs_110t">#REF!</definedName>
    <definedName name="FS_15">#REF!</definedName>
    <definedName name="FS_15T">#REF!</definedName>
    <definedName name="FS_20">#REF!</definedName>
    <definedName name="FS_20t">#REF!</definedName>
    <definedName name="FS_25">#REF!</definedName>
    <definedName name="FS_25t">#REF!</definedName>
    <definedName name="fs_30">#REF!</definedName>
    <definedName name="FS_35">#REF!</definedName>
    <definedName name="fs_35t">#REF!</definedName>
    <definedName name="FS_37">#REF!</definedName>
    <definedName name="fs_37t">#REF!</definedName>
    <definedName name="FS_40">#REF!</definedName>
    <definedName name="fs_40t">#REF!</definedName>
    <definedName name="FS_45">#REF!</definedName>
    <definedName name="fs_45t">#REF!</definedName>
    <definedName name="fs_50">#REF!</definedName>
    <definedName name="fs_50t">#REF!</definedName>
    <definedName name="fs_55t">#REF!</definedName>
    <definedName name="fs_58">#REF!</definedName>
    <definedName name="fs_58t">#REF!</definedName>
    <definedName name="fs_60">#REF!</definedName>
    <definedName name="fs_60t">#REF!</definedName>
    <definedName name="fs_80">#REF!</definedName>
    <definedName name="fs_80t">#REF!</definedName>
    <definedName name="fs_90">#REF!</definedName>
    <definedName name="fs_90t">#REF!</definedName>
    <definedName name="FSA" hidden="1">{#N/A,#N/A,FALSE,"조골재"}</definedName>
    <definedName name="FSAD83R8Y342U898U923" hidden="1">{#N/A,#N/A,FALSE,"Sheet1"}</definedName>
    <definedName name="FSAD8T3WR783241" hidden="1">{#N/A,#N/A,FALSE,"Sheet1"}</definedName>
    <definedName name="FSADF8D782478234" hidden="1">{#N/A,#N/A,FALSE,"Sheet1"}</definedName>
    <definedName name="FSADYFDS787843" hidden="1">{#N/A,#N/A,FALSE,"Sheet1"}</definedName>
    <definedName name="fsafdasf" hidden="1">#REF!</definedName>
    <definedName name="FSCOST">#N/A</definedName>
    <definedName name="FSD" hidden="1">#REF!</definedName>
    <definedName name="FSD_10_18_제작설치">#REF!</definedName>
    <definedName name="FSD_10_21_제작설치">#REF!</definedName>
    <definedName name="FSD_10_21_제작설치현관">#REF!</definedName>
    <definedName name="FSD_16.1_24.8_제작설치">#REF!</definedName>
    <definedName name="FSD8787823324" hidden="1">{#N/A,#N/A,FALSE,"Sheet1"}</definedName>
    <definedName name="FSD87FEW878243324" hidden="1">{#N/A,#N/A,FALSE,"Sheet1"}</definedName>
    <definedName name="fsda" hidden="1">{#N/A,#N/A,TRUE,"Basic";#N/A,#N/A,TRUE,"EXT-TABLE";#N/A,#N/A,TRUE,"STEEL";#N/A,#N/A,TRUE,"INT-Table";#N/A,#N/A,TRUE,"STEEL";#N/A,#N/A,TRUE,"Door"}</definedName>
    <definedName name="FSDA8ERW838934" hidden="1">{#N/A,#N/A,FALSE,"Sheet1"}</definedName>
    <definedName name="FSDAF" hidden="1">{#N/A,#N/A,FALSE,"제목"}</definedName>
    <definedName name="fsdafhaaaaeraw" hidden="1">{#N/A,#N/A,FALSE,"구조1"}</definedName>
    <definedName name="fsdajhhur3hu43" hidden="1">#REF!</definedName>
    <definedName name="fsdajiodajkgdao" hidden="1">#REF!</definedName>
    <definedName name="FSDF">#REF!,#REF!</definedName>
    <definedName name="FSDFDST77832478423" hidden="1">{#N/A,#N/A,FALSE,"Sheet1"}</definedName>
    <definedName name="FSDFEW3R2323" hidden="1">{#N/A,#N/A,FALSE,"Sheet1"}</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d" hidden="1">{#N/A,#N/A,FALSE,"현장 NCR 분석";#N/A,#N/A,FALSE,"현장품질감사";#N/A,#N/A,FALSE,"현장품질감사"}</definedName>
    <definedName name="fsdfwefwef" hidden="1">{#N/A,#N/A,FALSE,"ENG'G(보호계전기)"}</definedName>
    <definedName name="fsdiorfewioopkfsd" hidden="1">{#N/A,#N/A,FALSE,"Sheet1"}</definedName>
    <definedName name="FSDRW2R332R32R" hidden="1">{#N/A,#N/A,FALSE,"Sheet1"}</definedName>
    <definedName name="fsdsfds" hidden="1">#REF!</definedName>
    <definedName name="FSDU23R782R323" hidden="1">{#N/A,#N/A,FALSE,"Sheet1"}</definedName>
    <definedName name="FSDY2R37824332R" hidden="1">{#N/A,#N/A,FALSE,"Sheet1"}</definedName>
    <definedName name="fsdy778232" hidden="1">{#N/A,#N/A,FALSE,"Sheet1"}</definedName>
    <definedName name="fsfsd" hidden="1">#REF!</definedName>
    <definedName name="fsgj">#REF!</definedName>
    <definedName name="fsklui38932" hidden="1">{#N/A,#N/A,FALSE,"Sheet1"}</definedName>
    <definedName name="fsthtr46" hidden="1">{#N/A,#N/A,FALSE,"Sheet1"}</definedName>
    <definedName name="fsuyhw3r7327" hidden="1">{#N/A,#N/A,FALSE,"Sheet1"}</definedName>
    <definedName name="FSUYOCH">#N/A</definedName>
    <definedName name="FSVGF">#REF!</definedName>
    <definedName name="FT_CC">#REF!</definedName>
    <definedName name="FT_CCT">#REF!</definedName>
    <definedName name="FT_CG">#REF!</definedName>
    <definedName name="FT_CGT">#REF!</definedName>
    <definedName name="FT_CH">#REF!</definedName>
    <definedName name="FT_CHT">#REF!</definedName>
    <definedName name="FT_CMT">#REF!</definedName>
    <definedName name="FT_CMTT">#REF!</definedName>
    <definedName name="FT_NQ">#REF!</definedName>
    <definedName name="ft_nqt">#REF!</definedName>
    <definedName name="FT_WCT">#REF!</definedName>
    <definedName name="FT_WCTT">#REF!</definedName>
    <definedName name="FT10TL">#REF!</definedName>
    <definedName name="FT10TR">#REF!</definedName>
    <definedName name="FT1TL">#REF!</definedName>
    <definedName name="FT1TR">#REF!</definedName>
    <definedName name="FT2TL">#REF!</definedName>
    <definedName name="FT2TR">#REF!</definedName>
    <definedName name="FT3TL">#REF!</definedName>
    <definedName name="FT3TR">#REF!</definedName>
    <definedName name="FT4TL">#REF!</definedName>
    <definedName name="FT4TR">#REF!</definedName>
    <definedName name="FT5TL">#REF!</definedName>
    <definedName name="FT5TR">#REF!</definedName>
    <definedName name="FT6TL">#REF!</definedName>
    <definedName name="FT6TR">#REF!</definedName>
    <definedName name="FT7TL">#REF!</definedName>
    <definedName name="FT7TR">#REF!</definedName>
    <definedName name="FT8TL">#REF!</definedName>
    <definedName name="FT8TR">#REF!</definedName>
    <definedName name="FT9TL">#REF!</definedName>
    <definedName name="FT9TR">#REF!</definedName>
    <definedName name="FTAG">#N/A</definedName>
    <definedName name="FTE10L">#REF!</definedName>
    <definedName name="FTE10R">#REF!</definedName>
    <definedName name="FTE3L">#REF!</definedName>
    <definedName name="FTE3R">#REF!</definedName>
    <definedName name="FTE4L">#REF!</definedName>
    <definedName name="FTE4R">#REF!</definedName>
    <definedName name="FTE5L">#REF!</definedName>
    <definedName name="FTE5R">#REF!</definedName>
    <definedName name="FTE6L">#REF!</definedName>
    <definedName name="FTE6R">#REF!</definedName>
    <definedName name="FTE7L">#REF!</definedName>
    <definedName name="FTE7R">#REF!</definedName>
    <definedName name="FTE8L">#REF!</definedName>
    <definedName name="FTE8R">#REF!</definedName>
    <definedName name="FTE9L">#REF!</definedName>
    <definedName name="FTE9R">#REF!</definedName>
    <definedName name="FTG10L">#REF!</definedName>
    <definedName name="FTG10R">#REF!</definedName>
    <definedName name="FTG3L">#REF!</definedName>
    <definedName name="FTG3R">#REF!</definedName>
    <definedName name="FTG4L">#REF!</definedName>
    <definedName name="FTG4R">#REF!</definedName>
    <definedName name="FTG5L">#REF!</definedName>
    <definedName name="FTG5R">#REF!</definedName>
    <definedName name="FTG6L">#REF!</definedName>
    <definedName name="FTG6R">#REF!</definedName>
    <definedName name="FTG7L">#REF!</definedName>
    <definedName name="FTG7R">#REF!</definedName>
    <definedName name="FTG8L">#REF!</definedName>
    <definedName name="FTG8R">#REF!</definedName>
    <definedName name="FTG9L">#REF!</definedName>
    <definedName name="FTG9R">#REF!</definedName>
    <definedName name="FTM">#REF!</definedName>
    <definedName name="ftr" hidden="1">{#N/A,#N/A,FALSE,"BS";#N/A,#N/A,FALSE,"PL";#N/A,#N/A,FALSE,"처분";#N/A,#N/A,FALSE,"현금";#N/A,#N/A,FALSE,"매출";#N/A,#N/A,FALSE,"원가";#N/A,#N/A,FALSE,"경영"}</definedName>
    <definedName name="FTS">#REF!</definedName>
    <definedName name="FTS10L">#REF!</definedName>
    <definedName name="FTS10R">#REF!</definedName>
    <definedName name="FTS3L">#REF!</definedName>
    <definedName name="FTS3R">#REF!</definedName>
    <definedName name="FTS4L">#REF!</definedName>
    <definedName name="FTS4R">#REF!</definedName>
    <definedName name="FTS5L">#REF!</definedName>
    <definedName name="FTS5R">#REF!</definedName>
    <definedName name="FTS6L">#REF!</definedName>
    <definedName name="FTS6R">#REF!</definedName>
    <definedName name="FTS7L">#REF!</definedName>
    <definedName name="FTS7R">#REF!</definedName>
    <definedName name="FTS8L">#REF!</definedName>
    <definedName name="FTS8R">#REF!</definedName>
    <definedName name="FTS9L">#REF!</definedName>
    <definedName name="FTS9R">#REF!</definedName>
    <definedName name="FTW10L">#REF!</definedName>
    <definedName name="FTW10R">#REF!</definedName>
    <definedName name="FTW3L">#REF!</definedName>
    <definedName name="FTW3R">#REF!</definedName>
    <definedName name="FTW4L">#REF!</definedName>
    <definedName name="FTW4R">#REF!</definedName>
    <definedName name="FTW5L">#REF!</definedName>
    <definedName name="FTW5R">#REF!</definedName>
    <definedName name="FTW6L">#REF!</definedName>
    <definedName name="FTW6R">#REF!</definedName>
    <definedName name="FTW7L">#REF!</definedName>
    <definedName name="FTW7R">#REF!</definedName>
    <definedName name="FTW8L">#REF!</definedName>
    <definedName name="FTW8R">#REF!</definedName>
    <definedName name="FTW9L">#REF!</definedName>
    <definedName name="FTW9R">#REF!</definedName>
    <definedName name="fty" hidden="1">#REF!</definedName>
    <definedName name="FTYURT567" hidden="1">{#N/A,#N/A,FALSE,"Sheet1"}</definedName>
    <definedName name="FTZ10L">#REF!</definedName>
    <definedName name="FTZ10R">#REF!</definedName>
    <definedName name="FTZ3L">#REF!</definedName>
    <definedName name="FTZ3R">#REF!</definedName>
    <definedName name="FTZ4L">#REF!</definedName>
    <definedName name="FTZ4R">#REF!</definedName>
    <definedName name="FTZ5L">#REF!</definedName>
    <definedName name="FTZ5R">#REF!</definedName>
    <definedName name="FTZ6L">#REF!</definedName>
    <definedName name="FTZ6R">#REF!</definedName>
    <definedName name="FTZ7L">#REF!</definedName>
    <definedName name="FTZ7R">#REF!</definedName>
    <definedName name="FTZ8L">#REF!</definedName>
    <definedName name="FTZ8R">#REF!</definedName>
    <definedName name="FTZ9L">#REF!</definedName>
    <definedName name="FTZ9R">#REF!</definedName>
    <definedName name="FULL" hidden="1">#REF!</definedName>
    <definedName name="fumyu" hidden="1">{#N/A,#N/A,FALSE,"단가표지"}</definedName>
    <definedName name="FURTUY4574" hidden="1">{#N/A,#N/A,FALSE,"Sheet1"}</definedName>
    <definedName name="futy" hidden="1">{#N/A,#N/A,FALSE,"단가표지"}</definedName>
    <definedName name="fv" hidden="1">{#N/A,#N/A,FALSE,"전력간선"}</definedName>
    <definedName name="FVD">#REF!</definedName>
    <definedName name="FVDVF">#N/A</definedName>
    <definedName name="fvn">#REF!</definedName>
    <definedName name="fw" hidden="1">{#N/A,#N/A,FALSE,"표지목차"}</definedName>
    <definedName name="fwe423yg" hidden="1">{#N/A,#N/A,FALSE,"Sheet1"}</definedName>
    <definedName name="fwer3w32" hidden="1">{#N/A,#N/A,FALSE,"Sheet1"}</definedName>
    <definedName name="fwerwe">#REF!</definedName>
    <definedName name="FWQ" hidden="1">{#N/A,#N/A,FALSE,"단가표지"}</definedName>
    <definedName name="fx" hidden="1">{#N/A,#N/A,FALSE,"조골재"}</definedName>
    <definedName name="FX10L">#REF!</definedName>
    <definedName name="FX10R">#REF!</definedName>
    <definedName name="FX3L">#REF!</definedName>
    <definedName name="FX3R">#REF!</definedName>
    <definedName name="FX4L">#REF!</definedName>
    <definedName name="FX4R">#REF!</definedName>
    <definedName name="FX5L">#REF!</definedName>
    <definedName name="FX5R">#REF!</definedName>
    <definedName name="FX6L">#REF!</definedName>
    <definedName name="FX6R">#REF!</definedName>
    <definedName name="FX7L">#REF!</definedName>
    <definedName name="FX7R">#REF!</definedName>
    <definedName name="FX8L">#REF!</definedName>
    <definedName name="FX8R">#REF!</definedName>
    <definedName name="FX9L">#REF!</definedName>
    <definedName name="FX9R">#REF!</definedName>
    <definedName name="fy">#REF!</definedName>
    <definedName name="FY10L">#REF!</definedName>
    <definedName name="FY10R">#REF!</definedName>
    <definedName name="FY3L">#REF!</definedName>
    <definedName name="FY3R">#REF!</definedName>
    <definedName name="FY4L">#REF!</definedName>
    <definedName name="FY4R">#REF!</definedName>
    <definedName name="FY5L">#REF!</definedName>
    <definedName name="FY5R">#REF!</definedName>
    <definedName name="FY6L">#REF!</definedName>
    <definedName name="FY6R">#REF!</definedName>
    <definedName name="FY7L">#REF!</definedName>
    <definedName name="FY7R">#REF!</definedName>
    <definedName name="FY8L">#REF!</definedName>
    <definedName name="FY8R">#REF!</definedName>
    <definedName name="FY9L">#REF!</definedName>
    <definedName name="FY9R">#REF!</definedName>
    <definedName name="FYCOST">#N/A</definedName>
    <definedName name="FYT">#REF!</definedName>
    <definedName name="FYUFDY" hidden="1">{#N/A,#N/A,FALSE,"교리2"}</definedName>
    <definedName name="FYUKGFYUK" hidden="1">#REF!</definedName>
    <definedName name="FYY10L">#REF!</definedName>
    <definedName name="FYY10R">#REF!</definedName>
    <definedName name="FYY3L">#REF!</definedName>
    <definedName name="FYY3R">#REF!</definedName>
    <definedName name="FYY4L">#REF!</definedName>
    <definedName name="FYY4R">#REF!</definedName>
    <definedName name="FYY5L">#REF!</definedName>
    <definedName name="FYY5R">#REF!</definedName>
    <definedName name="FYY6L">#REF!</definedName>
    <definedName name="FYY6R">#REF!</definedName>
    <definedName name="FYY7L">#REF!</definedName>
    <definedName name="FYY7R">#REF!</definedName>
    <definedName name="FYY8L">#REF!</definedName>
    <definedName name="FYY8R">#REF!</definedName>
    <definedName name="FYY9L">#REF!</definedName>
    <definedName name="FYY9R">#REF!</definedName>
    <definedName name="fz" hidden="1">{#N/A,#N/A,FALSE,"BS";#N/A,#N/A,FALSE,"PL";#N/A,#N/A,FALSE,"처분";#N/A,#N/A,FALSE,"현금";#N/A,#N/A,FALSE,"매출";#N/A,#N/A,FALSE,"원가";#N/A,#N/A,FALSE,"경영"}</definedName>
    <definedName name="g">#REF!</definedName>
    <definedName name="G_m">#REF!</definedName>
    <definedName name="G_P_P">#N/A</definedName>
    <definedName name="g0">#REF!</definedName>
    <definedName name="G10L">#REF!</definedName>
    <definedName name="G10R">#REF!</definedName>
    <definedName name="G14S1">#REF!</definedName>
    <definedName name="G1A1P">#REF!</definedName>
    <definedName name="g1a1t">#REF!</definedName>
    <definedName name="g1a2p">#REF!</definedName>
    <definedName name="g1a2t">#REF!</definedName>
    <definedName name="G2A1P">#REF!</definedName>
    <definedName name="g2a1t">#REF!</definedName>
    <definedName name="g2a2p">#REF!</definedName>
    <definedName name="g2a2t">#REF!</definedName>
    <definedName name="G326.">#REF!</definedName>
    <definedName name="G3A1P">#REF!</definedName>
    <definedName name="g3a1t">#REF!</definedName>
    <definedName name="g3a2p">#REF!</definedName>
    <definedName name="g3a2t">#REF!</definedName>
    <definedName name="G3L">#REF!</definedName>
    <definedName name="G3Q435" hidden="1">{#N/A,#N/A,FALSE,"Sheet1"}</definedName>
    <definedName name="G3R">#REF!</definedName>
    <definedName name="G43T433T" hidden="1">{#N/A,#N/A,FALSE,"Sheet1"}</definedName>
    <definedName name="G443G4G3T35" hidden="1">{#N/A,#N/A,FALSE,"Sheet1"}</definedName>
    <definedName name="G4A1P">#REF!</definedName>
    <definedName name="g4a1t">#REF!</definedName>
    <definedName name="g4a2p">#REF!</definedName>
    <definedName name="g4a2t">#REF!</definedName>
    <definedName name="G4L">#REF!</definedName>
    <definedName name="G4R">#REF!</definedName>
    <definedName name="G545G5G" hidden="1">{#N/A,#N/A,FALSE,"Sheet1"}</definedName>
    <definedName name="G5A1P">#REF!</definedName>
    <definedName name="g5a1t">#REF!</definedName>
    <definedName name="g5a2p">#REF!</definedName>
    <definedName name="g5a2t">#REF!</definedName>
    <definedName name="G5L">#REF!</definedName>
    <definedName name="G5R">#REF!</definedName>
    <definedName name="G5S1">#REF!</definedName>
    <definedName name="G6A1P">#REF!</definedName>
    <definedName name="g6a1t">#REF!</definedName>
    <definedName name="g6a2p">#REF!</definedName>
    <definedName name="g6a2t">#REF!</definedName>
    <definedName name="G6L">#REF!</definedName>
    <definedName name="G6R">#REF!</definedName>
    <definedName name="G7L">#REF!</definedName>
    <definedName name="G7R">#REF!</definedName>
    <definedName name="G8L">#REF!</definedName>
    <definedName name="G8R">#REF!</definedName>
    <definedName name="G9L">#REF!</definedName>
    <definedName name="G9R">#REF!</definedName>
    <definedName name="G견적" hidden="1">{#N/A,#N/A,TRUE,"손익보고"}</definedName>
    <definedName name="G열">#REF!</definedName>
    <definedName name="Gㅘㅗㅑ쇼" hidden="1">{#N/A,#N/A,FALSE,"단가표지"}</definedName>
    <definedName name="ga">#REF!</definedName>
    <definedName name="GAB">#REF!</definedName>
    <definedName name="GABION_개_소_별_명_세">#REF!</definedName>
    <definedName name="GABION_수_량_집_계">#REF!</definedName>
    <definedName name="gads" hidden="1">{#N/A,#N/A,FALSE,"CCTV"}</definedName>
    <definedName name="GAE_JANG_GONG">#REF!</definedName>
    <definedName name="GAFG" hidden="1">{#N/A,#N/A,FALSE,"표지목차"}</definedName>
    <definedName name="gagfg">#REF!</definedName>
    <definedName name="gahahah" hidden="1">{#N/A,#N/A,FALSE,"포장1";#N/A,#N/A,FALSE,"포장1"}</definedName>
    <definedName name="GAK">#REF!</definedName>
    <definedName name="gammaas">#REF!</definedName>
    <definedName name="GammaC">#REF!</definedName>
    <definedName name="GAMMAS">#REF!</definedName>
    <definedName name="GammaS1">#REF!</definedName>
    <definedName name="gammasub">#REF!</definedName>
    <definedName name="gammat">#REF!</definedName>
    <definedName name="gammaw">#REF!</definedName>
    <definedName name="GAN">#REF!</definedName>
    <definedName name="GAP">#REF!</definedName>
    <definedName name="GARTERYT" hidden="1">{#N/A,#N/A,FALSE,"혼합골재"}</definedName>
    <definedName name="GAS1노">#REF!</definedName>
    <definedName name="GAS1자">#REF!</definedName>
    <definedName name="GAS2노">#REF!</definedName>
    <definedName name="GAS2자">#REF!</definedName>
    <definedName name="GAS3노">#REF!</definedName>
    <definedName name="GAS3자">#REF!</definedName>
    <definedName name="GAS4자">#REF!</definedName>
    <definedName name="gasdgSG" hidden="1">{#N/A,#N/A,FALSE,"구조1"}</definedName>
    <definedName name="GASGASDG" hidden="1">{#N/A,#N/A,FALSE,"토공2"}</definedName>
    <definedName name="GASKET">#REF!</definedName>
    <definedName name="gate">#REF!</definedName>
    <definedName name="GAYO">#REF!</definedName>
    <definedName name="gb" hidden="1">{#N/A,#N/A,FALSE,"BS";#N/A,#N/A,FALSE,"PL";#N/A,#N/A,FALSE,"처분";#N/A,#N/A,FALSE,"현금";#N/A,#N/A,FALSE,"매출";#N/A,#N/A,FALSE,"원가";#N/A,#N/A,FALSE,"경영"}</definedName>
    <definedName name="GBase">#REF!</definedName>
    <definedName name="GBBB" hidden="1">{#N/A,#N/A,FALSE,"CCTV"}</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FHG">#REF!</definedName>
    <definedName name="gbgfbgbs" hidden="1">{#N/A,#N/A,FALSE,"Sheet1"}</definedName>
    <definedName name="gbhrt45" hidden="1">{#N/A,#N/A,FALSE,"Sheet1"}</definedName>
    <definedName name="gbtttt" hidden="1">{#N/A,#N/A,FALSE,"BS";#N/A,#N/A,FALSE,"PL";#N/A,#N/A,FALSE,"처분";#N/A,#N/A,FALSE,"현금";#N/A,#N/A,FALSE,"매출";#N/A,#N/A,FALSE,"원가";#N/A,#N/A,FALSE,"경영"}</definedName>
    <definedName name="gc">#REF!</definedName>
    <definedName name="GCODE">#N/A</definedName>
    <definedName name="Gcord_blk">#REF!</definedName>
    <definedName name="Gcord_h">#REF!</definedName>
    <definedName name="gd" hidden="1">#REF!</definedName>
    <definedName name="GDASGDA" hidden="1">#REF!</definedName>
    <definedName name="GDBBND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BVBF">#REF!</definedName>
    <definedName name="GDDG4E6373" hidden="1">{#N/A,#N/A,FALSE,"Sheet1"}</definedName>
    <definedName name="GDF">#REF!</definedName>
    <definedName name="gdfagdsgret34" hidden="1">{#N/A,#N/A,FALSE,"Sheet1"}</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DF" hidden="1">{#N/A,#N/A,FALSE,"표지목차"}</definedName>
    <definedName name="GDFGDFGD" hidden="1">{#N/A,#N/A,FALSE,"구조2"}</definedName>
    <definedName name="GDFGDFGDS" hidden="1">{#N/A,#N/A,FALSE,"골재소요량";#N/A,#N/A,FALSE,"골재소요량"}</definedName>
    <definedName name="GDFS" hidden="1">{#N/A,#N/A,FALSE,"2~8번"}</definedName>
    <definedName name="gdg">#REF!</definedName>
    <definedName name="GDGFD" hidden="1">{#N/A,#N/A,FALSE,"배수1"}</definedName>
    <definedName name="gdh" hidden="1">{#N/A,#N/A,FALSE,"CCTV"}</definedName>
    <definedName name="GDP">#REF!</definedName>
    <definedName name="GDR" hidden="1">{#N/A,#N/A,FALSE,"Sheet1"}</definedName>
    <definedName name="GDSA" hidden="1">#REF!</definedName>
    <definedName name="gdsfw341243" hidden="1">{#N/A,#N/A,FALSE,"Sheet1"}</definedName>
    <definedName name="GDSG">#REF!</definedName>
    <definedName name="gegr" hidden="1">{#N/A,#N/A,FALSE,"전력간선"}</definedName>
    <definedName name="geisl">#REF!</definedName>
    <definedName name="GEMCO" hidden="1">#N/A</definedName>
    <definedName name="GEMCO1" hidden="1">#REF!</definedName>
    <definedName name="GER">#REF!</definedName>
    <definedName name="GERG" hidden="1">{#N/A,#N/A,FALSE,"예상손익";#N/A,#N/A,FALSE,"관리분석";#N/A,#N/A,FALSE,"장비분석";#N/A,#N/A,FALSE,"준설분석";#N/A,#N/A,FALSE,"철구분석"}</definedName>
    <definedName name="ges325gf" hidden="1">{#N/A,#N/A,FALSE,"Sheet1"}</definedName>
    <definedName name="get_gjcode">#REF!</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 hidden="1">{#N/A,#N/A,FALSE,"CCTV"}</definedName>
    <definedName name="gf3151345">#REF!</definedName>
    <definedName name="GF43T3154" hidden="1">{#N/A,#N/A,FALSE,"Sheet1"}</definedName>
    <definedName name="GF43T4T3T" hidden="1">{#N/A,#N/A,FALSE,"Sheet1"}</definedName>
    <definedName name="gf45y" hidden="1">{#N/A,#N/A,FALSE,"Sheet1"}</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ajyhiew" hidden="1">{#N/A,#N/A,FALSE,"혼합골재"}</definedName>
    <definedName name="GFD">#N/A</definedName>
    <definedName name="GFDG" hidden="1">{#N/A,#N/A,FALSE,"2~8번"}</definedName>
    <definedName name="gfdg353" hidden="1">{#N/A,#N/A,FALSE,"Sheet1"}</definedName>
    <definedName name="gfdgd" hidden="1">{#N/A,#N/A,FALSE,"손익표지";#N/A,#N/A,FALSE,"손익계산";#N/A,#N/A,FALSE,"일반관리비";#N/A,#N/A,FALSE,"영업외수익";#N/A,#N/A,FALSE,"영업외비용";#N/A,#N/A,FALSE,"매출액";#N/A,#N/A,FALSE,"요약손익";#N/A,#N/A,FALSE,"요약대차";#N/A,#N/A,FALSE,"매출채권현황";#N/A,#N/A,FALSE,"매출채권명세"}</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GFG" hidden="1">{#N/A,#N/A,FALSE,"혼합골재"}</definedName>
    <definedName name="gfdgdgdf">#REF!</definedName>
    <definedName name="gfdgndg">#REF!</definedName>
    <definedName name="GFDJ" hidden="1">{#N/A,#N/A,FALSE,"손익표지";#N/A,#N/A,FALSE,"손익계산";#N/A,#N/A,FALSE,"일반관리비";#N/A,#N/A,FALSE,"영업외수익";#N/A,#N/A,FALSE,"영업외비용";#N/A,#N/A,FALSE,"매출액";#N/A,#N/A,FALSE,"요약손익";#N/A,#N/A,FALSE,"요약대차";#N/A,#N/A,FALSE,"매출채권현황";#N/A,#N/A,FALSE,"매출채권명세"}</definedName>
    <definedName name="GFDS" hidden="1">{#N/A,#N/A,FALSE,"CCTV"}</definedName>
    <definedName name="GFDSAG" hidden="1">{#N/A,#N/A,FALSE,"2~8번"}</definedName>
    <definedName name="gfdsfdfdgfsd" hidden="1">{"'자리배치도'!$AG$1:$CI$28"}</definedName>
    <definedName name="GFDSGFDS" hidden="1">{#N/A,#N/A,FALSE,"CCTV"}</definedName>
    <definedName name="GFDYRY4574" hidden="1">{#N/A,#N/A,FALSE,"Sheet1"}</definedName>
    <definedName name="GFE5R3" hidden="1">{#N/A,#N/A,FALSE,"Sheet1"}</definedName>
    <definedName name="gfer332" hidden="1">{#N/A,#N/A,FALSE,"Sheet1"}</definedName>
    <definedName name="gfer4153345" hidden="1">{#N/A,#N/A,FALSE,"Sheet1"}</definedName>
    <definedName name="gferewq535423" hidden="1">{#N/A,#N/A,FALSE,"Sheet1"}</definedName>
    <definedName name="GFFDG5454275" hidden="1">{#N/A,#N/A,FALSE,"Sheet1"}</definedName>
    <definedName name="GFFDSG45W65426" hidden="1">{#N/A,#N/A,FALSE,"Sheet1"}</definedName>
    <definedName name="GFFDYER65U756" hidden="1">{#N/A,#N/A,FALSE,"Sheet1"}</definedName>
    <definedName name="gfftye454" hidden="1">{#N/A,#N/A,FALSE,"Sheet1"}</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 hidden="1">#REF!</definedName>
    <definedName name="gfgdfgdfg">#N/A</definedName>
    <definedName name="GFGDRT4343" hidden="1">{#N/A,#N/A,FALSE,"Sheet1"}</definedName>
    <definedName name="GFGF43545334" hidden="1">{#N/A,#N/A,FALSE,"Sheet1"}</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HGFHF" hidden="1">{#N/A,#N/A,FALSE,"토공2"}</definedName>
    <definedName name="gfggfr">#REF!</definedName>
    <definedName name="gfgsfd" hidden="1">#REF!</definedName>
    <definedName name="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h56t" hidden="1">{#N/A,#N/A,FALSE,"Sheet1"}</definedName>
    <definedName name="gfhb">#REF!</definedName>
    <definedName name="GFHFDTER53" hidden="1">{#N/A,#N/A,FALSE,"Sheet1"}</definedName>
    <definedName name="gfhfg" hidden="1">{#N/A,#N/A,FALSE,"손익표지";#N/A,#N/A,FALSE,"손익계산";#N/A,#N/A,FALSE,"일반관리비";#N/A,#N/A,FALSE,"영업외수익";#N/A,#N/A,FALSE,"영업외비용";#N/A,#N/A,FALSE,"매출액";#N/A,#N/A,FALSE,"요약손익";#N/A,#N/A,FALSE,"요약대차";#N/A,#N/A,FALSE,"매출채권현황";#N/A,#N/A,FALSE,"매출채권명세"}</definedName>
    <definedName name="GFHFGE5345" hidden="1">{#N/A,#N/A,FALSE,"Sheet1"}</definedName>
    <definedName name="GFHFTRET34" hidden="1">{#N/A,#N/A,FALSE,"Sheet1"}</definedName>
    <definedName name="GFHFTRH">#N/A</definedName>
    <definedName name="GFHGF" hidden="1">{#N/A,#N/A,FALSE,"손익표지";#N/A,#N/A,FALSE,"손익계산";#N/A,#N/A,FALSE,"일반관리비";#N/A,#N/A,FALSE,"영업외수익";#N/A,#N/A,FALSE,"영업외비용";#N/A,#N/A,FALSE,"매출액";#N/A,#N/A,FALSE,"요약손익";#N/A,#N/A,FALSE,"요약대차";#N/A,#N/A,FALSE,"매출채권현황";#N/A,#N/A,FALSE,"매출채권명세"}</definedName>
    <definedName name="GFHGFU5645" hidden="1">{#N/A,#N/A,FALSE,"Sheet1"}</definedName>
    <definedName name="gfhgh" hidden="1">{#N/A,#N/A,FALSE,"배수2"}</definedName>
    <definedName name="GFHJH" hidden="1">{#N/A,#N/A,FALSE,"CCTV"}</definedName>
    <definedName name="GFHNJNHGMH">#N/A</definedName>
    <definedName name="GFHR" hidden="1">{#N/A,#N/A,FALSE,"운반시간"}</definedName>
    <definedName name="GFHRAAREH">#N/A</definedName>
    <definedName name="GFHRTY4REQ246" hidden="1">{#N/A,#N/A,FALSE,"Sheet1"}</definedName>
    <definedName name="GFHT4E34" hidden="1">{#N/A,#N/A,FALSE,"Sheet1"}</definedName>
    <definedName name="gfhtry4564" hidden="1">{#N/A,#N/A,FALSE,"Sheet1"}</definedName>
    <definedName name="gfj">#REF!</definedName>
    <definedName name="gfjf" hidden="1">{#N/A,#N/A,FALSE,"Sheet6"}</definedName>
    <definedName name="gfjgfh" hidden="1">{#N/A,#N/A,FALSE,"CCTV"}</definedName>
    <definedName name="gfjgfhfg" hidden="1">{#N/A,#N/A,FALSE,"CCTV"}</definedName>
    <definedName name="gfjhg" hidden="1">{#N/A,#N/A,FALSE,"혼합골재"}</definedName>
    <definedName name="gfnjgfjhj">#N/A</definedName>
    <definedName name="gfrdte45" hidden="1">{#N/A,#N/A,FALSE,"Sheet1"}</definedName>
    <definedName name="gfret43t34" hidden="1">{#N/A,#N/A,FALSE,"Sheet1"}</definedName>
    <definedName name="GFRGT44T4T" hidden="1">{#N/A,#N/A,FALSE,"Sheet1"}</definedName>
    <definedName name="gfrtqe1435" hidden="1">{#N/A,#N/A,FALSE,"Sheet1"}</definedName>
    <definedName name="GFRY457575" hidden="1">{#N/A,#N/A,FALSE,"Sheet1"}</definedName>
    <definedName name="GFSD" hidden="1">#REF!</definedName>
    <definedName name="gfsfg" hidden="1">{#N/A,#N/A,FALSE,"이태원철근"}</definedName>
    <definedName name="GFTFYR445" hidden="1">{#N/A,#N/A,FALSE,"Sheet1"}</definedName>
    <definedName name="GFTY4ER245" hidden="1">{#N/A,#N/A,FALSE,"Sheet1"}</definedName>
    <definedName name="GG">#REF!</definedName>
    <definedName name="GGF" hidden="1">{#N/A,#N/A,FALSE,"CCTV"}</definedName>
    <definedName name="ggfffdddddd" hidden="1">{#N/A,#N/A,FALSE,"BS";#N/A,#N/A,FALSE,"PL";#N/A,#N/A,FALSE,"처분";#N/A,#N/A,FALSE,"현금";#N/A,#N/A,FALSE,"매출";#N/A,#N/A,FALSE,"원가";#N/A,#N/A,FALSE,"경영"}</definedName>
    <definedName name="ggfhgfshgh" hidden="1">{#N/A,#N/A,FALSE,"포장2"}</definedName>
    <definedName name="ggfhy4435" hidden="1">{#N/A,#N/A,FALSE,"Sheet1"}</definedName>
    <definedName name="GGG">#REF!</definedName>
    <definedName name="GGGG">#REF!</definedName>
    <definedName name="ggggg" hidden="1">{#N/A,#N/A,FALSE,"구조1"}</definedName>
    <definedName name="GGGGGGG">#REF!</definedName>
    <definedName name="gggggggg" hidden="1">{#N/A,#N/A,FALSE,"배수2"}</definedName>
    <definedName name="gggggt" hidden="1">{#N/A,#N/A,FALSE,"BS";#N/A,#N/A,FALSE,"PL";#N/A,#N/A,FALSE,"처분";#N/A,#N/A,FALSE,"현금";#N/A,#N/A,FALSE,"매출";#N/A,#N/A,FALSE,"원가";#N/A,#N/A,FALSE,"경영"}</definedName>
    <definedName name="gggggtr" hidden="1">{#N/A,#N/A,FALSE,"BS";#N/A,#N/A,FALSE,"PL";#N/A,#N/A,FALSE,"처분";#N/A,#N/A,FALSE,"현금";#N/A,#N/A,FALSE,"매출";#N/A,#N/A,FALSE,"원가";#N/A,#N/A,FALSE,"경영"}</definedName>
    <definedName name="gggh" localSheetId="0">BlankMacro1</definedName>
    <definedName name="gggh">BlankMacro1</definedName>
    <definedName name="GGGHGH" localSheetId="0">BlankMacro1</definedName>
    <definedName name="GGGHGH">BlankMacro1</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VVVV">#REF!</definedName>
    <definedName name="ggh">#REF!</definedName>
    <definedName name="GGK">#REF!</definedName>
    <definedName name="GGRE3TT45" hidden="1">{#N/A,#N/A,FALSE,"Sheet1"}</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U">#REF!</definedName>
    <definedName name="GGVVV" hidden="1">{#N/A,#N/A,FALSE,"운반시간"}</definedName>
    <definedName name="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H10L">#REF!</definedName>
    <definedName name="GH10R">#REF!</definedName>
    <definedName name="GH3L">#REF!</definedName>
    <definedName name="GH3R">#REF!</definedName>
    <definedName name="GH4L">#REF!</definedName>
    <definedName name="GH4R">#REF!</definedName>
    <definedName name="gh56y35">#REF!</definedName>
    <definedName name="gh56ytg" hidden="1">{#N/A,#N/A,FALSE,"Sheet1"}</definedName>
    <definedName name="GH5L">#REF!</definedName>
    <definedName name="GH5R">#REF!</definedName>
    <definedName name="GH6L">#REF!</definedName>
    <definedName name="GH6R">#REF!</definedName>
    <definedName name="GH7L">#REF!</definedName>
    <definedName name="GH7R">#REF!</definedName>
    <definedName name="GH8L">#REF!</definedName>
    <definedName name="GH8R">#REF!</definedName>
    <definedName name="GH9L">#REF!</definedName>
    <definedName name="GH9R">#REF!</definedName>
    <definedName name="GHㅓㅇ허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dfgh">#REF!</definedName>
    <definedName name="ghdghdg" hidden="1">{#N/A,#N/A,FALSE,"이태원철근"}</definedName>
    <definedName name="ghfg" hidden="1">{#N/A,#N/A,FALSE,"CCTV"}</definedName>
    <definedName name="ghfgh5r643" hidden="1">{#N/A,#N/A,FALSE,"Sheet1"}</definedName>
    <definedName name="GHFGHERRE568856" hidden="1">{#N/A,#N/A,FALSE,"Sheet1"}</definedName>
    <definedName name="ghfghf">#REF!</definedName>
    <definedName name="GHFGHFG">#N/A</definedName>
    <definedName name="ghfghrty45" hidden="1">{#N/A,#N/A,FALSE,"Sheet1"}</definedName>
    <definedName name="GHFGYRTY456" hidden="1">{#N/A,#N/A,FALSE,"Sheet1"}</definedName>
    <definedName name="GHFH">#REF!</definedName>
    <definedName name="GHFHR34" hidden="1">{#N/A,#N/A,FALSE,"Sheet1"}</definedName>
    <definedName name="ghfj" hidden="1">{#N/A,#N/A,FALSE,"Sheet6"}</definedName>
    <definedName name="GHFSD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#REF!</definedName>
    <definedName name="GHGF" hidden="1">{#N/A,#N/A,FALSE,"Sheet6"}</definedName>
    <definedName name="ghgfh" hidden="1">{#N/A,#N/A,FALSE,"포장2"}</definedName>
    <definedName name="ghgfh65" hidden="1">{#N/A,#N/A,FALSE,"Sheet1"}</definedName>
    <definedName name="ghgfhery4w6" hidden="1">{#N/A,#N/A,FALSE,"Sheet1"}</definedName>
    <definedName name="GHGFHFHF">#REF!</definedName>
    <definedName name="GHGFHRT54" hidden="1">{#N/A,#N/A,FALSE,"Sheet1"}</definedName>
    <definedName name="ghgg" hidden="1">#REF!</definedName>
    <definedName name="GHGGGG">#N/A</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H">#N/A</definedName>
    <definedName name="ghhhhh" hidden="1">{#N/A,#N/A,FALSE,"BS";#N/A,#N/A,FALSE,"PL";#N/A,#N/A,FALSE,"처분";#N/A,#N/A,FALSE,"현금";#N/A,#N/A,FALSE,"매출";#N/A,#N/A,FALSE,"원가";#N/A,#N/A,FALSE,"경영"}</definedName>
    <definedName name="ghhr645" hidden="1">{#N/A,#N/A,FALSE,"Sheet1"}</definedName>
    <definedName name="ghilweghl">#REF!</definedName>
    <definedName name="ghj" hidden="1">#REF!</definedName>
    <definedName name="ghjfywrey" hidden="1">{#N/A,#N/A,FALSE,"Sheet1"}</definedName>
    <definedName name="ghjg" hidden="1">{#N/A,#N/A,FALSE,"손익표지";#N/A,#N/A,FALSE,"손익계산";#N/A,#N/A,FALSE,"일반관리비";#N/A,#N/A,FALSE,"영업외수익";#N/A,#N/A,FALSE,"영업외비용";#N/A,#N/A,FALSE,"매출액";#N/A,#N/A,FALSE,"요약손익";#N/A,#N/A,FALSE,"요약대차";#N/A,#N/A,FALSE,"매출채권현황";#N/A,#N/A,FALSE,"매출채권명세"}</definedName>
    <definedName name="ghjghj" hidden="1">{#N/A,#N/A,FALSE,"손익표지";#N/A,#N/A,FALSE,"손익계산";#N/A,#N/A,FALSE,"일반관리비";#N/A,#N/A,FALSE,"영업외수익";#N/A,#N/A,FALSE,"영업외비용";#N/A,#N/A,FALSE,"매출액";#N/A,#N/A,FALSE,"요약손익";#N/A,#N/A,FALSE,"요약대차";#N/A,#N/A,FALSE,"매출채권현황";#N/A,#N/A,FALSE,"매출채권명세"}</definedName>
    <definedName name="ghjh">#REF!</definedName>
    <definedName name="ghjk" hidden="1">{#N/A,#N/A,FALSE,"골재소요량";#N/A,#N/A,FALSE,"골재소요량"}</definedName>
    <definedName name="GHJTU8658" hidden="1">{#N/A,#N/A,FALSE,"Sheet1"}</definedName>
    <definedName name="GHJTY45674" hidden="1">{#N/A,#N/A,FALSE,"Sheet1"}</definedName>
    <definedName name="GHJTYU566745" hidden="1">{#N/A,#N/A,FALSE,"Sheet1"}</definedName>
    <definedName name="GHJTYU56756" hidden="1">{#N/A,#N/A,FALSE,"Sheet1"}</definedName>
    <definedName name="ghkgk">#REF!</definedName>
    <definedName name="GHKR" localSheetId="0">BlankMacro1</definedName>
    <definedName name="GHKR">BlankMacro1</definedName>
    <definedName name="ghli">#REF!</definedName>
    <definedName name="GHLJKPY" hidden="1">{#N/A,#N/A,FALSE,"단가표지"}</definedName>
    <definedName name="GHNGHHTRTR45" hidden="1">{#N/A,#N/A,FALSE,"Sheet1"}</definedName>
    <definedName name="ghq">#REF!</definedName>
    <definedName name="GHRET3" hidden="1">{#N/A,#N/A,FALSE,"Sheet1"}</definedName>
    <definedName name="ghrhrt" hidden="1">{#N/A,#N/A,FALSE,"골재소요량";#N/A,#N/A,FALSE,"골재소요량"}</definedName>
    <definedName name="GHRT6546445" hidden="1">{#N/A,#N/A,FALSE,"Sheet1"}</definedName>
    <definedName name="GHRTRYE65685" hidden="1">{#N/A,#N/A,FALSE,"Sheet1"}</definedName>
    <definedName name="GHRTY34" hidden="1">{#N/A,#N/A,FALSE,"Sheet1"}</definedName>
    <definedName name="ghrty45" hidden="1">{#N/A,#N/A,FALSE,"Sheet1"}</definedName>
    <definedName name="GHSDGTR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t4545yhg" hidden="1">{#N/A,#N/A,FALSE,"Sheet1"}</definedName>
    <definedName name="GHTRH" hidden="1">{#N/A,#N/A,FALSE,"Sheet6"}</definedName>
    <definedName name="ghtry4564" hidden="1">{#N/A,#N/A,FALSE,"Sheet1"}</definedName>
    <definedName name="ghwilr">#REF!</definedName>
    <definedName name="ghyr545" hidden="1">{#N/A,#N/A,FALSE,"Sheet1"}</definedName>
    <definedName name="ghyt4ry54" hidden="1">{#N/A,#N/A,FALSE,"Sheet1"}</definedName>
    <definedName name="GI_GAE_SUL_CHI_GONG">#REF!</definedName>
    <definedName name="gid" hidden="1">{"'Sheet1'!$L$16"}</definedName>
    <definedName name="gigin">#REF!</definedName>
    <definedName name="giho_blk">#REF!</definedName>
    <definedName name="giho_h">#REF!</definedName>
    <definedName name="GIKUNG">#N/A</definedName>
    <definedName name="GINPUT">#REF!</definedName>
    <definedName name="giosho">#REF!</definedName>
    <definedName name="gj" hidden="1">{"'Sheet1'!$L$16"}</definedName>
    <definedName name="gjamount_top">#REF!</definedName>
    <definedName name="gjckddud">#REF!,#REF!</definedName>
    <definedName name="gjcnt_top">#REF!</definedName>
    <definedName name="GJcord">#REF!</definedName>
    <definedName name="gjcord_stp">#REF!</definedName>
    <definedName name="gjcord_top1">#REF!</definedName>
    <definedName name="gjcord_top10">#REF!</definedName>
    <definedName name="gjcord_top11">#REF!</definedName>
    <definedName name="gjcord_top12">#REF!</definedName>
    <definedName name="gjcord_top13">#REF!</definedName>
    <definedName name="gjcord_top14">#REF!</definedName>
    <definedName name="gjcord_top15">#REF!</definedName>
    <definedName name="gjcord_top16">#REF!</definedName>
    <definedName name="gjcord_top17">#REF!</definedName>
    <definedName name="gjcord_top18">#REF!</definedName>
    <definedName name="gjcord_top19">#REF!</definedName>
    <definedName name="gjcord_top2">#REF!</definedName>
    <definedName name="gjcord_top3">#REF!</definedName>
    <definedName name="gjcord_top4">#REF!</definedName>
    <definedName name="gjcord_top5">#REF!</definedName>
    <definedName name="gjcord_top6">#REF!</definedName>
    <definedName name="gjcord_top7">#REF!</definedName>
    <definedName name="gjcord_top8">#REF!</definedName>
    <definedName name="gjcord_top9">#REF!</definedName>
    <definedName name="gjghjdg">#REF!</definedName>
    <definedName name="gjh" hidden="1">{#N/A,#N/A,FALSE,"CCTV"}</definedName>
    <definedName name="GJHGLI" hidden="1">{#N/A,#N/A,FALSE,"포장1";#N/A,#N/A,FALSE,"포장1"}</definedName>
    <definedName name="gjj">#REF!</definedName>
    <definedName name="gjjaro">#REF!</definedName>
    <definedName name="gjkgjk">#REF!</definedName>
    <definedName name="gjkgkl">#REF!</definedName>
    <definedName name="gjname">#REF!</definedName>
    <definedName name="GJname_h">#REF!</definedName>
    <definedName name="gjnamedata">#REF!</definedName>
    <definedName name="gjnamedata1">#REF!</definedName>
    <definedName name="gjnamedata2">#REF!</definedName>
    <definedName name="gjnamedata3">#REF!</definedName>
    <definedName name="gjnamedata4">#REF!</definedName>
    <definedName name="gjnomu">#REF!</definedName>
    <definedName name="gjnomudanga">#REF!</definedName>
    <definedName name="GJP">#REF!</definedName>
    <definedName name="GJR">#REF!</definedName>
    <definedName name="gjrate">#REF!</definedName>
    <definedName name="GJS">#REF!</definedName>
    <definedName name="GJto">#REF!</definedName>
    <definedName name="gjtotal1">#REF!</definedName>
    <definedName name="gjy" hidden="1">{#N/A,#N/A,FALSE,"골재소요량";#N/A,#N/A,FALSE,"골재소요량"}</definedName>
    <definedName name="gjy56524y2">#REF!</definedName>
    <definedName name="gk">#REF!</definedName>
    <definedName name="gkd" hidden="1">{"'Sheet1'!$L$16"}</definedName>
    <definedName name="gkdksod" hidden="1">{#N/A,#N/A,FALSE,"포장2"}</definedName>
    <definedName name="GKDURK">#REF!,#REF!,#REF!</definedName>
    <definedName name="gkeh">#N/A</definedName>
    <definedName name="gkhgk">#REF!</definedName>
    <definedName name="gkljorjg" hidden="1">{#N/A,#N/A,FALSE,"단가표지"}</definedName>
    <definedName name="GKP">#REF!</definedName>
    <definedName name="GKS">#REF!</definedName>
    <definedName name="GKSKSK">#REF!</definedName>
    <definedName name="gksmfth" hidden="1">{#N/A,#N/A,FALSE,"운반시간"}</definedName>
    <definedName name="GLA1P">#REF!</definedName>
    <definedName name="gla1t">#REF!</definedName>
    <definedName name="gla2p">#REF!</definedName>
    <definedName name="gla2t">#REF!</definedName>
    <definedName name="GLASS견적의뢰용" hidden="1">#REF!</definedName>
    <definedName name="globe">#REF!</definedName>
    <definedName name="gm">#REF!</definedName>
    <definedName name="GMHGM">#REF!</definedName>
    <definedName name="GMLWD" hidden="1">#REF!</definedName>
    <definedName name="gmy" hidden="1">{#N/A,#N/A,FALSE,"단가표지"}</definedName>
    <definedName name="gnfbvnv">#REF!</definedName>
    <definedName name="gnhb" hidden="1">{#N/A,#N/A,FALSE,"BS";#N/A,#N/A,FALSE,"PL";#N/A,#N/A,FALSE,"처분";#N/A,#N/A,FALSE,"현금";#N/A,#N/A,FALSE,"매출";#N/A,#N/A,FALSE,"원가";#N/A,#N/A,FALSE,"경영"}</definedName>
    <definedName name="gnhbv" hidden="1">{#N/A,#N/A,FALSE,"BS";#N/A,#N/A,FALSE,"PL";#N/A,#N/A,FALSE,"처분";#N/A,#N/A,FALSE,"현금";#N/A,#N/A,FALSE,"매출";#N/A,#N/A,FALSE,"원가";#N/A,#N/A,FALSE,"경영"}</definedName>
    <definedName name="gnhtr54" hidden="1">{#N/A,#N/A,FALSE,"Sheet1"}</definedName>
    <definedName name="gnhu5u3">#REF!</definedName>
    <definedName name="gnnnn" hidden="1">{#N/A,#N/A,FALSE,"BS";#N/A,#N/A,FALSE,"PL";#N/A,#N/A,FALSE,"처분";#N/A,#N/A,FALSE,"현금";#N/A,#N/A,FALSE,"매출";#N/A,#N/A,FALSE,"원가";#N/A,#N/A,FALSE,"경영"}</definedName>
    <definedName name="gnumn" hidden="1">{#N/A,#N/A,FALSE,"단가표지"}</definedName>
    <definedName name="GO">#REF!</definedName>
    <definedName name="GO_LV25">#REF!</definedName>
    <definedName name="gogo" hidden="1">#REF!</definedName>
    <definedName name="GONG">#REF!</definedName>
    <definedName name="GONGJONG">#REF!</definedName>
    <definedName name="GOP">#REF!</definedName>
    <definedName name="gotjd\" hidden="1">{#N/A,#N/A,FALSE,"생산성";#N/A,#N/A,FALSE,"인력1";#N/A,#N/A,FALSE,"인력2";#N/A,#N/A,FALSE,"인력3";#N/A,#N/A,FALSE,"인건1";#N/A,#N/A,FALSE,"인건2";#N/A,#N/A,FALSE,"인건3";#N/A,#N/A,FALSE,"인원증감";#N/A,#N/A,FALSE,"인건증감";#N/A,#N/A,FALSE,"표지등"}</definedName>
    <definedName name="gpc">#N/A</definedName>
    <definedName name="gpgmd">#REF!</definedName>
    <definedName name="GPRIC">#N/A</definedName>
    <definedName name="GR">#REF!</definedName>
    <definedName name="GR_NO">#N/A</definedName>
    <definedName name="GRAND_T">#N/A</definedName>
    <definedName name="gre4qt4t1" hidden="1">{#N/A,#N/A,FALSE,"Sheet1"}</definedName>
    <definedName name="GREE">#REF!</definedName>
    <definedName name="GREFHSJR">#N/A</definedName>
    <definedName name="GRERTZ">#REF!</definedName>
    <definedName name="GRET35243" hidden="1">{#N/A,#N/A,FALSE,"Sheet1"}</definedName>
    <definedName name="grew" hidden="1">#REF!</definedName>
    <definedName name="grffff" hidden="1">{#N/A,#N/A,FALSE,"BS";#N/A,#N/A,FALSE,"PL";#N/A,#N/A,FALSE,"처분";#N/A,#N/A,FALSE,"현금";#N/A,#N/A,FALSE,"매출";#N/A,#N/A,FALSE,"원가";#N/A,#N/A,FALSE,"경영"}</definedName>
    <definedName name="GRFGRE4T34" hidden="1">{#N/A,#N/A,FALSE,"Sheet1"}</definedName>
    <definedName name="grgf" hidden="1">{#N/A,#N/A,FALSE,"골재소요량";#N/A,#N/A,FALSE,"골재소요량"}</definedName>
    <definedName name="GRID">#REF!</definedName>
    <definedName name="GRNO">#REF!</definedName>
    <definedName name="GROUND">#REF!</definedName>
    <definedName name="GROUP1">#N/A</definedName>
    <definedName name="GROUP2">#N/A</definedName>
    <definedName name="GROUP3">#N/A</definedName>
    <definedName name="GROUP4">#N/A</definedName>
    <definedName name="GROUP5">#N/A</definedName>
    <definedName name="GROUP6">#N/A</definedName>
    <definedName name="GROUP7">#N/A</definedName>
    <definedName name="GROUP8">#N/A</definedName>
    <definedName name="GrphActSales">#REF!</definedName>
    <definedName name="GrphActStk">#REF!</definedName>
    <definedName name="GrphPlanSales">#REF!</definedName>
    <definedName name="GrphTgtStk">#REF!</definedName>
    <definedName name="GRT" hidden="1">#REF!</definedName>
    <definedName name="GS" hidden="1">{#N/A,#N/A,FALSE,"포장2"}</definedName>
    <definedName name="gsagsdarafds" hidden="1">{#N/A,#N/A,FALSE,"토공2"}</definedName>
    <definedName name="GSBA">#REF!</definedName>
    <definedName name="gsd" hidden="1">{"'블럭식-일반'!$E$26","'블럭식-일반'!$C$26:$F$27"}</definedName>
    <definedName name="gsdfg" hidden="1">{#N/A,#N/A,FALSE,"조골재"}</definedName>
    <definedName name="GSETGS" hidden="1">{#N/A,#N/A,FALSE,"Sheet6"}</definedName>
    <definedName name="gshsdgf" hidden="1">{#N/A,#N/A,FALSE,"부대2"}</definedName>
    <definedName name="gsj">#REF!</definedName>
    <definedName name="gsub">#REF!</definedName>
    <definedName name="gt">#REF!</definedName>
    <definedName name="GT7U5676" hidden="1">{#N/A,#N/A,FALSE,"Sheet1"}</definedName>
    <definedName name="gtbn" hidden="1">{#N/A,#N/A,FALSE,"BS";#N/A,#N/A,FALSE,"PL";#N/A,#N/A,FALSE,"처분";#N/A,#N/A,FALSE,"현금";#N/A,#N/A,FALSE,"매출";#N/A,#N/A,FALSE,"원가";#N/A,#N/A,FALSE,"경영"}</definedName>
    <definedName name="gtfh5y43" hidden="1">{#N/A,#N/A,FALSE,"Sheet1"}</definedName>
    <definedName name="GTON">#REF!</definedName>
    <definedName name="gtotal">#REF!</definedName>
    <definedName name="gty" hidden="1">{#N/A,#N/A,FALSE,"단가표지"}</definedName>
    <definedName name="gu">#REF!,#REF!</definedName>
    <definedName name="GuBae">#REF!</definedName>
    <definedName name="GUBUN">#N/A</definedName>
    <definedName name="GUESTPNT">#REF!</definedName>
    <definedName name="GuidText">#REF!</definedName>
    <definedName name="guigy">#REF!</definedName>
    <definedName name="GUMAK">#REF!</definedName>
    <definedName name="GUN_GUBUN">#REF!</definedName>
    <definedName name="guo" hidden="1">{#N/A,#N/A,FALSE,"Sheet6"}</definedName>
    <definedName name="GUOTONG">#N/A</definedName>
    <definedName name="GUS" hidden="1">{#N/A,#N/A,FALSE,"현장 NCR 분석";#N/A,#N/A,FALSE,"현장품질감사";#N/A,#N/A,FALSE,"현장품질감사"}</definedName>
    <definedName name="GUSTLS" hidden="1">#REF!</definedName>
    <definedName name="GUTTER">#REF!</definedName>
    <definedName name="GUTTER_PIPE">#REF!</definedName>
    <definedName name="guty" hidden="1">{#N/A,#N/A,FALSE,"골재소요량";#N/A,#N/A,FALSE,"골재소요량"}</definedName>
    <definedName name="GV" hidden="1">{#N/A,#N/A,FALSE,"CCTV"}</definedName>
    <definedName name="GVH">#REF!,#REF!</definedName>
    <definedName name="GVHBG">#REF!</definedName>
    <definedName name="gvv">#REF!</definedName>
    <definedName name="gw">#REF!</definedName>
    <definedName name="gxcdsafw342" hidden="1">{#N/A,#N/A,FALSE,"Sheet1"}</definedName>
    <definedName name="GYFFGFN">#N/A</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hn" hidden="1">{#N/A,#N/A,FALSE,"BS";#N/A,#N/A,FALSE,"PL";#N/A,#N/A,FALSE,"처분";#N/A,#N/A,FALSE,"현금";#N/A,#N/A,FALSE,"매출";#N/A,#N/A,FALSE,"원가";#N/A,#N/A,FALSE,"경영"}</definedName>
    <definedName name="GYTR">#REF!</definedName>
    <definedName name="gyu">#REF!</definedName>
    <definedName name="gyujy" hidden="1">{#N/A,#N/A,FALSE,"표지목차"}</definedName>
    <definedName name="h">#REF!</definedName>
    <definedName name="H_1">#REF!</definedName>
    <definedName name="H_2">#REF!</definedName>
    <definedName name="h_3">#REF!</definedName>
    <definedName name="H_300">#REF!</definedName>
    <definedName name="H_350">#REF!</definedName>
    <definedName name="h_con" hidden="1">{"'Sheet1'!$A$22:$G$23","'Sheet1'!$A$6","'Sheet1'!$E$10","'Sheet1'!$A$1:$F$23","'Sheet1'!$B$10","'Sheet1'!$A$1:$G$22","'Sheet1'!$A$1:$G$51"}</definedName>
    <definedName name="h_ef_val">#REF!</definedName>
    <definedName name="h_lf_val">#REF!</definedName>
    <definedName name="h_pile">#REF!</definedName>
    <definedName name="h_pileea">#REF!</definedName>
    <definedName name="H_W_설치기사">#REF!</definedName>
    <definedName name="H_W_시험기사">#REF!</definedName>
    <definedName name="H.1">#REF!</definedName>
    <definedName name="H.10">#REF!</definedName>
    <definedName name="H.2">#REF!</definedName>
    <definedName name="H.3">#REF!</definedName>
    <definedName name="H.4">#REF!</definedName>
    <definedName name="H.5">#REF!</definedName>
    <definedName name="H.6">#REF!</definedName>
    <definedName name="H.7">#REF!</definedName>
    <definedName name="H.8">#REF!</definedName>
    <definedName name="H.9">#REF!</definedName>
    <definedName name="h.sys">#REF!</definedName>
    <definedName name="H.TOTAL.">#REF!</definedName>
    <definedName name="H.TOTAL..">#REF!</definedName>
    <definedName name="H1_">#N/A</definedName>
    <definedName name="H1.0m이하">#REF!</definedName>
    <definedName name="H1.2m">#REF!</definedName>
    <definedName name="H1.5m">#REF!</definedName>
    <definedName name="H1.8m">#REF!</definedName>
    <definedName name="H10_">#N/A</definedName>
    <definedName name="H10A">#REF!</definedName>
    <definedName name="H10A1P">#REF!</definedName>
    <definedName name="h10a1t">#REF!</definedName>
    <definedName name="h10a2p">#REF!</definedName>
    <definedName name="h10a2t">#REF!</definedName>
    <definedName name="H10AAL">#REF!</definedName>
    <definedName name="H10AAR">#REF!</definedName>
    <definedName name="H10ABL">#REF!</definedName>
    <definedName name="H10ABR">#REF!</definedName>
    <definedName name="H10ACL">#REF!</definedName>
    <definedName name="H10ACR">#REF!</definedName>
    <definedName name="H10ADL">#REF!</definedName>
    <definedName name="H10ADR">#REF!</definedName>
    <definedName name="H10AEL">#REF!</definedName>
    <definedName name="H10AER">#REF!</definedName>
    <definedName name="H10AFL">#REF!</definedName>
    <definedName name="H10AFR">#REF!</definedName>
    <definedName name="H10AGL">#REF!</definedName>
    <definedName name="H10AGR">#REF!</definedName>
    <definedName name="H10BAL">#REF!</definedName>
    <definedName name="H10BAR">#REF!</definedName>
    <definedName name="H10BBL">#REF!</definedName>
    <definedName name="H10BBR">#REF!</definedName>
    <definedName name="H10CAL">#REF!</definedName>
    <definedName name="H10CAR">#REF!</definedName>
    <definedName name="H10CBL">#REF!</definedName>
    <definedName name="H10CBR">#REF!</definedName>
    <definedName name="H10CCL">#REF!</definedName>
    <definedName name="H10CCR">#REF!</definedName>
    <definedName name="H10D1L">#REF!</definedName>
    <definedName name="H10D1R">#REF!</definedName>
    <definedName name="H10D2L">#REF!</definedName>
    <definedName name="H10D2R">#REF!</definedName>
    <definedName name="H10D3L">#REF!</definedName>
    <definedName name="H10D3R">#REF!</definedName>
    <definedName name="H11_">#N/A</definedName>
    <definedName name="H11A">#REF!</definedName>
    <definedName name="H11A1P">#REF!</definedName>
    <definedName name="h11a1t">#REF!</definedName>
    <definedName name="h11a2p">#REF!</definedName>
    <definedName name="H11A2T">#REF!</definedName>
    <definedName name="H12_">#N/A</definedName>
    <definedName name="H12A">#REF!</definedName>
    <definedName name="H13_">#N/A</definedName>
    <definedName name="H13.">#REF!</definedName>
    <definedName name="H13..">#REF!</definedName>
    <definedName name="H13A">#REF!</definedName>
    <definedName name="H14_">#N/A</definedName>
    <definedName name="H14A">#REF!</definedName>
    <definedName name="H15_">#N/A</definedName>
    <definedName name="H16_">#N/A</definedName>
    <definedName name="H16.">#REF!</definedName>
    <definedName name="H16..">#REF!</definedName>
    <definedName name="H17_">#N/A</definedName>
    <definedName name="H19.">#REF!</definedName>
    <definedName name="H19..">#REF!</definedName>
    <definedName name="H1A">#REF!</definedName>
    <definedName name="H1A1P">#REF!</definedName>
    <definedName name="h1a1t">#REF!</definedName>
    <definedName name="h1a2p">#REF!</definedName>
    <definedName name="h1a2t">#REF!</definedName>
    <definedName name="H1C">#REF!</definedName>
    <definedName name="H1D">#REF!</definedName>
    <definedName name="H1H">#REF!</definedName>
    <definedName name="H1L">#REF!</definedName>
    <definedName name="H1R">#REF!</definedName>
    <definedName name="H1WL">#REF!</definedName>
    <definedName name="H1WR">#REF!</definedName>
    <definedName name="H2_">#N/A</definedName>
    <definedName name="H2.0m">#REF!</definedName>
    <definedName name="H2.5m">#REF!</definedName>
    <definedName name="H22.">#REF!</definedName>
    <definedName name="H22..">#REF!</definedName>
    <definedName name="H25.">#REF!</definedName>
    <definedName name="H25..">#REF!</definedName>
    <definedName name="H29.">#REF!</definedName>
    <definedName name="H29..">#REF!</definedName>
    <definedName name="H2A">#REF!</definedName>
    <definedName name="H2A1P">#REF!</definedName>
    <definedName name="h2a1t">#REF!</definedName>
    <definedName name="h2a2p">#REF!</definedName>
    <definedName name="h2a2t">#REF!</definedName>
    <definedName name="H2C">#REF!</definedName>
    <definedName name="H2H">#REF!</definedName>
    <definedName name="H2H2">#REF!</definedName>
    <definedName name="H2L">#REF!</definedName>
    <definedName name="H2R">#REF!</definedName>
    <definedName name="H2WL">#REF!</definedName>
    <definedName name="H2WR">#REF!</definedName>
    <definedName name="H3_">#N/A</definedName>
    <definedName name="H3.0m">#REF!</definedName>
    <definedName name="H3.5m">#REF!</definedName>
    <definedName name="H3A">#REF!</definedName>
    <definedName name="H3A1P">#REF!</definedName>
    <definedName name="h3a1t">#REF!</definedName>
    <definedName name="h3a2p">#REF!</definedName>
    <definedName name="h3a2t">#REF!</definedName>
    <definedName name="H3AAL">#REF!</definedName>
    <definedName name="H3AAR">#REF!</definedName>
    <definedName name="H3ABL">#REF!</definedName>
    <definedName name="H3ABR">#REF!</definedName>
    <definedName name="H3ACL">#REF!</definedName>
    <definedName name="H3ACR">#REF!</definedName>
    <definedName name="H3ADL">#REF!</definedName>
    <definedName name="H3ADR">#REF!</definedName>
    <definedName name="H3AEL">#REF!</definedName>
    <definedName name="H3AER">#REF!</definedName>
    <definedName name="H3AFL">#REF!</definedName>
    <definedName name="H3AFR">#REF!</definedName>
    <definedName name="H3AGL">#REF!</definedName>
    <definedName name="H3AGR">#REF!</definedName>
    <definedName name="H3AP1">#REF!</definedName>
    <definedName name="H3BAL">#REF!</definedName>
    <definedName name="H3BAR">#REF!</definedName>
    <definedName name="H3BBL">#REF!</definedName>
    <definedName name="H3BBR">#REF!</definedName>
    <definedName name="H3CAL">#REF!</definedName>
    <definedName name="H3CAR">#REF!</definedName>
    <definedName name="H3CBL">#REF!</definedName>
    <definedName name="H3CBR">#REF!</definedName>
    <definedName name="H3CCL">#REF!</definedName>
    <definedName name="H3CCR">#REF!</definedName>
    <definedName name="H3D1L">#REF!</definedName>
    <definedName name="H3D1R">#REF!</definedName>
    <definedName name="H3D2L">#REF!</definedName>
    <definedName name="H3D2R">#REF!</definedName>
    <definedName name="H3D3L">#REF!</definedName>
    <definedName name="H3D3R">#REF!</definedName>
    <definedName name="H3H">#REF!</definedName>
    <definedName name="H3L">#REF!</definedName>
    <definedName name="H3R">#REF!</definedName>
    <definedName name="H3WL">#REF!</definedName>
    <definedName name="H3WR">#REF!</definedName>
    <definedName name="H4_">#N/A</definedName>
    <definedName name="H4.0m">#REF!</definedName>
    <definedName name="H4.5m">#REF!</definedName>
    <definedName name="H45T43T5" hidden="1">{#N/A,#N/A,FALSE,"Sheet1"}</definedName>
    <definedName name="H4A">#REF!</definedName>
    <definedName name="h4a1p">#REF!</definedName>
    <definedName name="h4a1t">#REF!</definedName>
    <definedName name="h4a2p">#REF!</definedName>
    <definedName name="h4a2t">#REF!</definedName>
    <definedName name="H4AAL">#REF!</definedName>
    <definedName name="H4AAR">#REF!</definedName>
    <definedName name="H4ABL">#REF!</definedName>
    <definedName name="H4ABR">#REF!</definedName>
    <definedName name="H4ACL">#REF!</definedName>
    <definedName name="H4ACR">#REF!</definedName>
    <definedName name="H4ADL">#REF!</definedName>
    <definedName name="H4ADR">#REF!</definedName>
    <definedName name="H4AEL">#REF!</definedName>
    <definedName name="H4AER">#REF!</definedName>
    <definedName name="H4AFL">#REF!</definedName>
    <definedName name="H4AFR">#REF!</definedName>
    <definedName name="H4AGL">#REF!</definedName>
    <definedName name="H4AGR">#REF!</definedName>
    <definedName name="H4BAL">#REF!</definedName>
    <definedName name="H4BAR">#REF!</definedName>
    <definedName name="H4BBL">#REF!</definedName>
    <definedName name="H4BBR">#REF!</definedName>
    <definedName name="H4CAL">#REF!</definedName>
    <definedName name="H4CAR">#REF!</definedName>
    <definedName name="H4CBL">#REF!</definedName>
    <definedName name="H4CBR">#REF!</definedName>
    <definedName name="H4CCL">#REF!</definedName>
    <definedName name="H4CCR">#REF!</definedName>
    <definedName name="H4D1L">#REF!</definedName>
    <definedName name="H4D1R">#REF!</definedName>
    <definedName name="H4D2L">#REF!</definedName>
    <definedName name="H4D2R">#REF!</definedName>
    <definedName name="H4D3L">#REF!</definedName>
    <definedName name="H4D3R">#REF!</definedName>
    <definedName name="H4H">#REF!</definedName>
    <definedName name="H4L">#REF!</definedName>
    <definedName name="H4R">#REF!</definedName>
    <definedName name="H5_">#N/A</definedName>
    <definedName name="H5.0m">#REF!</definedName>
    <definedName name="h56hfd" hidden="1">{#N/A,#N/A,FALSE,"Sheet1"}</definedName>
    <definedName name="H5A">#REF!</definedName>
    <definedName name="H5A1P">#REF!</definedName>
    <definedName name="h5a1t">#REF!</definedName>
    <definedName name="h5a2p">#REF!</definedName>
    <definedName name="h5a2t">#REF!</definedName>
    <definedName name="H5AAL">#REF!</definedName>
    <definedName name="H5AAR">#REF!</definedName>
    <definedName name="H5ABL">#REF!</definedName>
    <definedName name="H5ABR">#REF!</definedName>
    <definedName name="H5ACL">#REF!</definedName>
    <definedName name="H5ACR">#REF!</definedName>
    <definedName name="H5ADL">#REF!</definedName>
    <definedName name="H5ADR">#REF!</definedName>
    <definedName name="H5AEL">#REF!</definedName>
    <definedName name="H5AER">#REF!</definedName>
    <definedName name="H5AFL">#REF!</definedName>
    <definedName name="H5AFR">#REF!</definedName>
    <definedName name="H5AGL">#REF!</definedName>
    <definedName name="H5AGR">#REF!</definedName>
    <definedName name="H5BAL">#REF!</definedName>
    <definedName name="H5BAR">#REF!</definedName>
    <definedName name="H5BBL">#REF!</definedName>
    <definedName name="H5BBR">#REF!</definedName>
    <definedName name="H5CAL">#REF!</definedName>
    <definedName name="H5CAR">#REF!</definedName>
    <definedName name="H5CBL">#REF!</definedName>
    <definedName name="H5CBR">#REF!</definedName>
    <definedName name="H5CCL">#REF!</definedName>
    <definedName name="H5CCR">#REF!</definedName>
    <definedName name="H5D1L">#REF!</definedName>
    <definedName name="H5D1R">#REF!</definedName>
    <definedName name="H5D2L">#REF!</definedName>
    <definedName name="H5D2R">#REF!</definedName>
    <definedName name="H5D3L">#REF!</definedName>
    <definedName name="H5D3R">#REF!</definedName>
    <definedName name="H5H">#REF!</definedName>
    <definedName name="H5L">#REF!</definedName>
    <definedName name="H5R">#REF!</definedName>
    <definedName name="H6_">#N/A</definedName>
    <definedName name="H675656856" hidden="1">{#N/A,#N/A,FALSE,"Sheet1"}</definedName>
    <definedName name="H6A">#REF!</definedName>
    <definedName name="H6A1P">#REF!</definedName>
    <definedName name="h6a1t">#REF!</definedName>
    <definedName name="h6a2p">#REF!</definedName>
    <definedName name="h6a2t">#REF!</definedName>
    <definedName name="H6AAL">#REF!</definedName>
    <definedName name="H6AAR">#REF!</definedName>
    <definedName name="H6ABL">#REF!</definedName>
    <definedName name="H6ABR">#REF!</definedName>
    <definedName name="H6ACL">#REF!</definedName>
    <definedName name="H6ACR">#REF!</definedName>
    <definedName name="H6ADL">#REF!</definedName>
    <definedName name="H6ADR">#REF!</definedName>
    <definedName name="H6AEL">#REF!</definedName>
    <definedName name="H6AER">#REF!</definedName>
    <definedName name="H6AFL">#REF!</definedName>
    <definedName name="H6AFR">#REF!</definedName>
    <definedName name="H6AGL">#REF!</definedName>
    <definedName name="H6AGR">#REF!</definedName>
    <definedName name="H6BAL">#REF!</definedName>
    <definedName name="H6BAR">#REF!</definedName>
    <definedName name="H6BBL">#REF!</definedName>
    <definedName name="H6BBR">#REF!</definedName>
    <definedName name="H6CAL">#REF!</definedName>
    <definedName name="H6CAR">#REF!</definedName>
    <definedName name="H6CBL">#REF!</definedName>
    <definedName name="H6CBR">#REF!</definedName>
    <definedName name="H6CCL">#REF!</definedName>
    <definedName name="H6CCR">#REF!</definedName>
    <definedName name="H6D1L">#REF!</definedName>
    <definedName name="H6D1R">#REF!</definedName>
    <definedName name="H6D2L">#REF!</definedName>
    <definedName name="H6D2R">#REF!</definedName>
    <definedName name="H6D3L">#REF!</definedName>
    <definedName name="H6D3R">#REF!</definedName>
    <definedName name="H6H">#REF!</definedName>
    <definedName name="H6L">#REF!</definedName>
    <definedName name="H6R">#REF!</definedName>
    <definedName name="H7_">#N/A</definedName>
    <definedName name="H7A">#REF!</definedName>
    <definedName name="H7A1P">#REF!</definedName>
    <definedName name="h7a1t">#REF!</definedName>
    <definedName name="h7a2p">#REF!</definedName>
    <definedName name="h7a2t">#REF!</definedName>
    <definedName name="H7AAL">#REF!</definedName>
    <definedName name="H7AAR">#REF!</definedName>
    <definedName name="H7ABL">#REF!</definedName>
    <definedName name="H7ABR">#REF!</definedName>
    <definedName name="H7ACL">#REF!</definedName>
    <definedName name="H7ACR">#REF!</definedName>
    <definedName name="H7ADL">#REF!</definedName>
    <definedName name="H7ADR">#REF!</definedName>
    <definedName name="H7AEL">#REF!</definedName>
    <definedName name="H7AER">#REF!</definedName>
    <definedName name="H7AFL">#REF!</definedName>
    <definedName name="H7AFR">#REF!</definedName>
    <definedName name="H7AGL">#REF!</definedName>
    <definedName name="H7AGR">#REF!</definedName>
    <definedName name="H7BAL">#REF!</definedName>
    <definedName name="H7BAR">#REF!</definedName>
    <definedName name="H7BBL">#REF!</definedName>
    <definedName name="H7BBR">#REF!</definedName>
    <definedName name="H7CAL">#REF!</definedName>
    <definedName name="H7CAR">#REF!</definedName>
    <definedName name="H7CBL">#REF!</definedName>
    <definedName name="H7CBR">#REF!</definedName>
    <definedName name="H7CCL">#REF!</definedName>
    <definedName name="H7CCR">#REF!</definedName>
    <definedName name="H7D1L">#REF!</definedName>
    <definedName name="H7D1R">#REF!</definedName>
    <definedName name="H7D2L">#REF!</definedName>
    <definedName name="H7D2R">#REF!</definedName>
    <definedName name="H7D3L">#REF!</definedName>
    <definedName name="H7D3R">#REF!</definedName>
    <definedName name="H7H">#REF!</definedName>
    <definedName name="H7L">#REF!</definedName>
    <definedName name="H7R">#REF!</definedName>
    <definedName name="H8_">#N/A</definedName>
    <definedName name="H8A">#REF!</definedName>
    <definedName name="H8A1P">#REF!</definedName>
    <definedName name="h8a1t">#REF!</definedName>
    <definedName name="h8a2p">#REF!</definedName>
    <definedName name="h8a2t">#REF!</definedName>
    <definedName name="H8AAL">#REF!</definedName>
    <definedName name="H8AAR">#REF!</definedName>
    <definedName name="H8ABL">#REF!</definedName>
    <definedName name="H8ABR">#REF!</definedName>
    <definedName name="H8ACL">#REF!</definedName>
    <definedName name="H8ACR">#REF!</definedName>
    <definedName name="H8ADL">#REF!</definedName>
    <definedName name="H8ADR">#REF!</definedName>
    <definedName name="H8AEL">#REF!</definedName>
    <definedName name="H8AER">#REF!</definedName>
    <definedName name="H8AFL">#REF!</definedName>
    <definedName name="H8AFR">#REF!</definedName>
    <definedName name="H8AGL">#REF!</definedName>
    <definedName name="H8AGR">#REF!</definedName>
    <definedName name="H8BAL">#REF!</definedName>
    <definedName name="H8BAR">#REF!</definedName>
    <definedName name="H8BBL">#REF!</definedName>
    <definedName name="H8BBR">#REF!</definedName>
    <definedName name="H8CAL">#REF!</definedName>
    <definedName name="H8CAR">#REF!</definedName>
    <definedName name="H8CBL">#REF!</definedName>
    <definedName name="H8CBR">#REF!</definedName>
    <definedName name="H8CCL">#REF!</definedName>
    <definedName name="H8CCR">#REF!</definedName>
    <definedName name="H8D1L">#REF!</definedName>
    <definedName name="H8D1R">#REF!</definedName>
    <definedName name="H8D2L">#REF!</definedName>
    <definedName name="H8D2R">#REF!</definedName>
    <definedName name="H8D3L">#REF!</definedName>
    <definedName name="H8D3R">#REF!</definedName>
    <definedName name="H9_">#N/A</definedName>
    <definedName name="H9A">#REF!</definedName>
    <definedName name="H9A1P">#REF!</definedName>
    <definedName name="h9a1t">#REF!</definedName>
    <definedName name="h9a2p">#REF!</definedName>
    <definedName name="h9a2t">#REF!</definedName>
    <definedName name="H9AAL">#REF!</definedName>
    <definedName name="H9AAR">#REF!</definedName>
    <definedName name="H9ABL">#REF!</definedName>
    <definedName name="H9ABR">#REF!</definedName>
    <definedName name="H9ACL">#REF!</definedName>
    <definedName name="H9ACR">#REF!</definedName>
    <definedName name="H9ADL">#REF!</definedName>
    <definedName name="H9ADR">#REF!</definedName>
    <definedName name="H9AEL">#REF!</definedName>
    <definedName name="H9AER">#REF!</definedName>
    <definedName name="H9AFL">#REF!</definedName>
    <definedName name="H9AFR">#REF!</definedName>
    <definedName name="H9AGL">#REF!</definedName>
    <definedName name="H9AGR">#REF!</definedName>
    <definedName name="H9BAL">#REF!</definedName>
    <definedName name="H9BAR">#REF!</definedName>
    <definedName name="H9BBL">#REF!</definedName>
    <definedName name="H9BBR">#REF!</definedName>
    <definedName name="H9CAL">#REF!</definedName>
    <definedName name="H9CAR">#REF!</definedName>
    <definedName name="H9CBL">#REF!</definedName>
    <definedName name="H9CBR">#REF!</definedName>
    <definedName name="H9CCL">#REF!</definedName>
    <definedName name="H9CCR">#REF!</definedName>
    <definedName name="H9D1L">#REF!</definedName>
    <definedName name="H9D1R">#REF!</definedName>
    <definedName name="H9D2L">#REF!</definedName>
    <definedName name="H9D2R">#REF!</definedName>
    <definedName name="H9D3L">#REF!</definedName>
    <definedName name="H9D3R">#REF!</definedName>
    <definedName name="H사">#REF!</definedName>
    <definedName name="H삼">#REF!</definedName>
    <definedName name="H이">#REF!</definedName>
    <definedName name="H일">#REF!</definedName>
    <definedName name="H파일">#REF!</definedName>
    <definedName name="Hㅓㅏㅡ햐ㅏㅓ" hidden="1">{#N/A,#N/A,FALSE,"혼합골재"}</definedName>
    <definedName name="Hㅜㄳㄹ허ㅗ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a" hidden="1">{#N/A,#N/A,FALSE,"지침";#N/A,#N/A,FALSE,"환경분석";#N/A,#N/A,FALSE,"Sheet16"}</definedName>
    <definedName name="ha_1" hidden="1">{#N/A,#N/A,FALSE,"지침";#N/A,#N/A,FALSE,"환경분석";#N/A,#N/A,FALSE,"Sheet16"}</definedName>
    <definedName name="ha_2" hidden="1">{#N/A,#N/A,FALSE,"지침";#N/A,#N/A,FALSE,"환경분석";#N/A,#N/A,FALSE,"Sheet16"}</definedName>
    <definedName name="ha_3" hidden="1">{#N/A,#N/A,FALSE,"지침";#N/A,#N/A,FALSE,"환경분석";#N/A,#N/A,FALSE,"Sheet16"}</definedName>
    <definedName name="ha_4" hidden="1">{#N/A,#N/A,FALSE,"지침";#N/A,#N/A,FALSE,"환경분석";#N/A,#N/A,FALSE,"Sheet16"}</definedName>
    <definedName name="ha_5" hidden="1">{#N/A,#N/A,FALSE,"지침";#N/A,#N/A,FALSE,"환경분석";#N/A,#N/A,FALSE,"Sheet16"}</definedName>
    <definedName name="HA10L">#REF!</definedName>
    <definedName name="HA10R">#REF!</definedName>
    <definedName name="HA1P">#REF!</definedName>
    <definedName name="ha1t">#REF!</definedName>
    <definedName name="ha2p">#REF!</definedName>
    <definedName name="ha2t">#REF!</definedName>
    <definedName name="HA3L">#REF!</definedName>
    <definedName name="HA3R">#REF!</definedName>
    <definedName name="HA4L">#REF!</definedName>
    <definedName name="HA4R">#REF!</definedName>
    <definedName name="HA5L">#REF!</definedName>
    <definedName name="HA5R">#REF!</definedName>
    <definedName name="HA6L">#REF!</definedName>
    <definedName name="HA6R">#REF!</definedName>
    <definedName name="HA7L">#REF!</definedName>
    <definedName name="HA7R">#REF!</definedName>
    <definedName name="HA8L">#REF!</definedName>
    <definedName name="HA8R">#REF!</definedName>
    <definedName name="HA9L">#REF!</definedName>
    <definedName name="HA9R">#REF!</definedName>
    <definedName name="HAB">#REF!</definedName>
    <definedName name="HACC">#REF!</definedName>
    <definedName name="hadfhafa" hidden="1">{#N/A,#N/A,FALSE,"혼합골재"}</definedName>
    <definedName name="hadfhafhad" hidden="1">{#N/A,#N/A,FALSE,"운반시간"}</definedName>
    <definedName name="hadfhata" hidden="1">{#N/A,#N/A,FALSE,"표지목차"}</definedName>
    <definedName name="hadhfaha" hidden="1">{#N/A,#N/A,FALSE,"포장2"}</definedName>
    <definedName name="HAF">#REF!</definedName>
    <definedName name="HAHAH" hidden="1">{#N/A,#N/A,FALSE,"조골재"}</definedName>
    <definedName name="hajihiaio">{"Book1","수시.XLS"}</definedName>
    <definedName name="half" hidden="1">{#N/A,#N/A,FALSE,"생산성";#N/A,#N/A,FALSE,"인력1";#N/A,#N/A,FALSE,"인력2";#N/A,#N/A,FALSE,"인력3";#N/A,#N/A,FALSE,"인건1";#N/A,#N/A,FALSE,"인건2";#N/A,#N/A,FALSE,"인건3";#N/A,#N/A,FALSE,"인원증감";#N/A,#N/A,FALSE,"인건증감";#N/A,#N/A,FALSE,"표지등"}</definedName>
    <definedName name="han" hidden="1">#REF!</definedName>
    <definedName name="HANGER">#REF!</definedName>
    <definedName name="HANGER250">#REF!</definedName>
    <definedName name="HANGER300">#REF!</definedName>
    <definedName name="HANGER350">#REF!</definedName>
    <definedName name="HANGERA">#REF!</definedName>
    <definedName name="HANGERB">#REF!</definedName>
    <definedName name="HANIWALL_FB">#REF!</definedName>
    <definedName name="HANIWALL_GC">#REF!</definedName>
    <definedName name="HAP">#REF!</definedName>
    <definedName name="hardwar" hidden="1">#N/A</definedName>
    <definedName name="HARDWAR1" hidden="1">#REF!</definedName>
    <definedName name="hardwar2" hidden="1">#REF!</definedName>
    <definedName name="HASY">#REF!</definedName>
    <definedName name="HB">#REF!</definedName>
    <definedName name="HBHG">#REF!</definedName>
    <definedName name="HBV">#REF!</definedName>
    <definedName name="HC">#REF!</definedName>
    <definedName name="Hca">#REF!</definedName>
    <definedName name="Hcd">#REF!</definedName>
    <definedName name="HCR">#REF!</definedName>
    <definedName name="HCY">#REF!</definedName>
    <definedName name="HD">#REF!</definedName>
    <definedName name="HD_10">#REF!</definedName>
    <definedName name="HD_13">#REF!</definedName>
    <definedName name="HD_16">#REF!</definedName>
    <definedName name="HD_19">#REF!</definedName>
    <definedName name="HD_22">#REF!</definedName>
    <definedName name="HDATA">#N/A</definedName>
    <definedName name="hdec">#REF!</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F" hidden="1">{#N/A,#N/A,FALSE,"표지목차"}</definedName>
    <definedName name="hdghndgnhg" hidden="1">#REF!</definedName>
    <definedName name="hdhjyt">#REF!</definedName>
    <definedName name="HDSVP">#REF!</definedName>
    <definedName name="HDTR">#REF!</definedName>
    <definedName name="HE">#REF!</definedName>
    <definedName name="HE번호">#N/A</definedName>
    <definedName name="HEAD">#REF!</definedName>
    <definedName name="HEATER">#REF!</definedName>
    <definedName name="HEHTTNTHDE">#N/A</definedName>
    <definedName name="HEQ_9712">#REF!</definedName>
    <definedName name="HERE">#REF!</definedName>
    <definedName name="here2">#REF!</definedName>
    <definedName name="hetnbngte">#N/A</definedName>
    <definedName name="HEXT">#REF!</definedName>
    <definedName name="HF" hidden="1">{#N/A,#N/A,FALSE,"기안지";#N/A,#N/A,FALSE,"통신지"}</definedName>
    <definedName name="HFAB">#REF!</definedName>
    <definedName name="hfbh" hidden="1">{#N/A,#N/A,FALSE,"단가표지"}</definedName>
    <definedName name="HFD">#REF!</definedName>
    <definedName name="hfd634gf" hidden="1">{#N/A,#N/A,FALSE,"Sheet1"}</definedName>
    <definedName name="HFDDDDD" hidden="1">{#N/A,#N/A,FALSE,"기안지";#N/A,#N/A,FALSE,"통신지"}</definedName>
    <definedName name="hfdgfdg" hidden="1">{#N/A,#N/A,FALSE,"CCTV"}</definedName>
    <definedName name="HFDGRDT4E556" hidden="1">{#N/A,#N/A,FALSE,"Sheet1"}</definedName>
    <definedName name="hfdhgdf" hidden="1">#REF!</definedName>
    <definedName name="HFDS" hidden="1">#REF!</definedName>
    <definedName name="HF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fggf" hidden="1">#REF!</definedName>
    <definedName name="HFGHFG" hidden="1">{#N/A,#N/A,FALSE,"CCTV"}</definedName>
    <definedName name="HFHRTYE56" hidden="1">{#N/A,#N/A,FALSE,"Sheet1"}</definedName>
    <definedName name="hfjh" hidden="1">{#N/A,#N/A,FALSE,"CCTV"}</definedName>
    <definedName name="hfjhhjj" hidden="1">{#N/A,#N/A,FALSE,"CCTV"}</definedName>
    <definedName name="HFRT34" hidden="1">{#N/A,#N/A,FALSE,"Sheet1"}</definedName>
    <definedName name="hfs">#REF!</definedName>
    <definedName name="HFSGF" hidden="1">#REF!</definedName>
    <definedName name="HFXHTARUA">#REF!</definedName>
    <definedName name="HG">#REF!</definedName>
    <definedName name="hg424q" hidden="1">{#N/A,#N/A,FALSE,"Sheet1"}</definedName>
    <definedName name="hg45gf" hidden="1">{#N/A,#N/A,FALSE,"Sheet1"}</definedName>
    <definedName name="hg45ht" hidden="1">{#N/A,#N/A,FALSE,"Sheet1"}</definedName>
    <definedName name="hg5yjty">#REF!</definedName>
    <definedName name="hgb" hidden="1">{#N/A,#N/A,FALSE,"BS";#N/A,#N/A,FALSE,"PL";#N/A,#N/A,FALSE,"처분";#N/A,#N/A,FALSE,"현금";#N/A,#N/A,FALSE,"매출";#N/A,#N/A,FALSE,"원가";#N/A,#N/A,FALSE,"경영"}</definedName>
    <definedName name="hgd" hidden="1">{#N/A,#N/A,FALSE,"배수2"}</definedName>
    <definedName name="hgdt635" hidden="1">#REF!</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CHKFGH" hidden="1">{#N/A,#N/A,FALSE,"교리2"}</definedName>
    <definedName name="hgfd" hidden="1">#REF!</definedName>
    <definedName name="HGFDRET43563436" hidden="1">{#N/A,#N/A,FALSE,"Sheet1"}</definedName>
    <definedName name="HGFGHFDRE6E44" hidden="1">{#N/A,#N/A,FALSE,"Sheet1"}</definedName>
    <definedName name="HGFGT56" hidden="1">{#N/A,#N/A,FALSE,"Sheet1"}</definedName>
    <definedName name="hgfh" hidden="1">#REF!</definedName>
    <definedName name="HGFH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H">#N/A</definedName>
    <definedName name="HGFSTAA" hidden="1">#REF!</definedName>
    <definedName name="HGFTDUH5T753" hidden="1">{#N/A,#N/A,FALSE,"Sheet1"}</definedName>
    <definedName name="HGFYRT7356" hidden="1">{#N/A,#N/A,FALSE,"Sheet1"}</definedName>
    <definedName name="hgg">#REF!</definedName>
    <definedName name="HGGGH" hidden="1">{#N/A,#N/A,FALSE,"제목"}</definedName>
    <definedName name="hgh" hidden="1">{#N/A,#N/A,FALSE,"단가표지"}</definedName>
    <definedName name="hghg" hidden="1">{#N/A,#N/A,FALSE,"운반시간"}</definedName>
    <definedName name="HGHTR45Y56I67" hidden="1">{#N/A,#N/A,FALSE,"Sheet1"}</definedName>
    <definedName name="HGHWRTGR">#N/A</definedName>
    <definedName name="hgj" hidden="1">{#N/A,#N/A,FALSE,"Sheet6"}</definedName>
    <definedName name="hgjfgh" hidden="1">{#N/A,#N/A,FALSE,"CCTV"}</definedName>
    <definedName name="hgjgfhgh" hidden="1">{#N/A,#N/A,FALSE,"CCTV"}</definedName>
    <definedName name="HGJTYU5656" hidden="1">{#N/A,#N/A,FALSE,"Sheet1"}</definedName>
    <definedName name="HGJTYU6568" hidden="1">{#N/A,#N/A,FALSE,"Sheet1"}</definedName>
    <definedName name="hgjywetwe" hidden="1">{#N/A,#N/A,FALSE,"Sheet1"}</definedName>
    <definedName name="HGK">#REF!</definedName>
    <definedName name="HGNERH">#N/A</definedName>
    <definedName name="hgngfh4554" hidden="1">{#N/A,#N/A,FALSE,"Sheet1"}</definedName>
    <definedName name="HH">#REF!</definedName>
    <definedName name="HH10L">#REF!</definedName>
    <definedName name="HH10R">#REF!</definedName>
    <definedName name="HH3L">#REF!</definedName>
    <definedName name="HH3R">#REF!</definedName>
    <definedName name="hh45tgf" hidden="1">{#N/A,#N/A,FALSE,"Sheet1"}</definedName>
    <definedName name="HH4L">#REF!</definedName>
    <definedName name="HH4R">#REF!</definedName>
    <definedName name="HH5L">#REF!</definedName>
    <definedName name="HH5R">#REF!</definedName>
    <definedName name="HH6L">#REF!</definedName>
    <definedName name="HH6R">#REF!</definedName>
    <definedName name="HH7L">#REF!</definedName>
    <definedName name="HH7R">#REF!</definedName>
    <definedName name="HH8L">#REF!</definedName>
    <definedName name="HH8R">#REF!</definedName>
    <definedName name="HH9L">#REF!</definedName>
    <definedName name="HH9R">#REF!</definedName>
    <definedName name="HHADG" hidden="1">{#N/A,#N/A,FALSE,"조골재"}</definedName>
    <definedName name="HHAF">#REF!</definedName>
    <definedName name="HHG">#REF!</definedName>
    <definedName name="H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{#N/A,#N/A,FALSE,"BS";#N/A,#N/A,FALSE,"PL";#N/A,#N/A,FALSE,"처분";#N/A,#N/A,FALSE,"현금";#N/A,#N/A,FALSE,"매출";#N/A,#N/A,FALSE,"원가";#N/A,#N/A,FALSE,"경영"}</definedName>
    <definedName name="hhhhf" hidden="1">{#N/A,#N/A,FALSE,"BS";#N/A,#N/A,FALSE,"PL";#N/A,#N/A,FALSE,"처분";#N/A,#N/A,FALSE,"현금";#N/A,#N/A,FALSE,"매출";#N/A,#N/A,FALSE,"원가";#N/A,#N/A,FALSE,"경영"}</definedName>
    <definedName name="hhhhh" hidden="1">{#N/A,#N/A,FALSE,"BS";#N/A,#N/A,FALSE,"PL";#N/A,#N/A,FALSE,"처분";#N/A,#N/A,FALSE,"현금";#N/A,#N/A,FALSE,"매출";#N/A,#N/A,FALSE,"원가";#N/A,#N/A,FALSE,"경영"}</definedName>
    <definedName name="hhhhhftre" hidden="1">{#N/A,#N/A,FALSE,"현장 NCR 분석";#N/A,#N/A,FALSE,"현장품질감사";#N/A,#N/A,FALSE,"현장품질감사"}</definedName>
    <definedName name="hhhhhftre_1" hidden="1">{#N/A,#N/A,FALSE,"현장 NCR 분석";#N/A,#N/A,FALSE,"현장품질감사";#N/A,#N/A,FALSE,"현장품질감사"}</definedName>
    <definedName name="hhhhhh">#N/A</definedName>
    <definedName name="hhhhhhh" hidden="1">{#N/A,#N/A,FALSE,"BS";#N/A,#N/A,FALSE,"PL";#N/A,#N/A,FALSE,"처분";#N/A,#N/A,FALSE,"현금";#N/A,#N/A,FALSE,"매출";#N/A,#N/A,FALSE,"원가";#N/A,#N/A,FALSE,"경영"}</definedName>
    <definedName name="hhhhhhhh" hidden="1">{#N/A,#N/A,FALSE,"BS";#N/A,#N/A,FALSE,"PL";#N/A,#N/A,FALSE,"처분";#N/A,#N/A,FALSE,"현금";#N/A,#N/A,FALSE,"매출";#N/A,#N/A,FALSE,"원가";#N/A,#N/A,FALSE,"경영"}</definedName>
    <definedName name="HHHTH" hidden="1">{#N/A,#N/A,FALSE,"운반시간"}</definedName>
    <definedName name="hhj" hidden="1">{#N/A,#N/A,FALSE,"혼합골재"}</definedName>
    <definedName name="HHJH" hidden="1">{#N/A,#N/A,FALSE,"CCTV"}</definedName>
    <definedName name="hhjk">#REF!</definedName>
    <definedName name="HHK">#REF!</definedName>
    <definedName name="HHMF">#REF!</definedName>
    <definedName name="HHR" hidden="1">{#N/A,#N/A,FALSE,"포장2"}</definedName>
    <definedName name="HHS">#REF!</definedName>
    <definedName name="HHT">#REF!</definedName>
    <definedName name="hhvbvbxcv" hidden="1">{#N/A,#N/A,FALSE,"Sheet1"}</definedName>
    <definedName name="HI_전선관">#REF!</definedName>
    <definedName name="HIGE" hidden="1">#REF!</definedName>
    <definedName name="hight">#REF!</definedName>
    <definedName name="hijy" hidden="1">{#N/A,#N/A,FALSE,"운반시간"}</definedName>
    <definedName name="HIPVC28">#REF!</definedName>
    <definedName name="HIPVC36">#REF!</definedName>
    <definedName name="hj" hidden="1">{#N/A,#N/A,FALSE,"Sheet6"}</definedName>
    <definedName name="HJG" hidden="1">{#N/A,#N/A,FALSE,"단가표지"}</definedName>
    <definedName name="hjh">#REF!</definedName>
    <definedName name="HJHGDDHGM">#N/A</definedName>
    <definedName name="HJHGJT6" hidden="1">{#N/A,#N/A,FALSE,"Sheet1"}</definedName>
    <definedName name="hjhjh">#REF!</definedName>
    <definedName name="hjhjhj" hidden="1">{#N/A,#N/A,FALSE,"기안지";#N/A,#N/A,FALSE,"통신지"}</definedName>
    <definedName name="HJIYUI67" hidden="1">{#N/A,#N/A,FALSE,"Sheet1"}</definedName>
    <definedName name="HJJKHGFGH">{"'Sheet1'!$D$19","'Sheet1'!$B$22:$E$22"}</definedName>
    <definedName name="HJK" hidden="1">{#N/A,#N/A,FALSE,"이태원철근"}</definedName>
    <definedName name="HJK_1" hidden="1">{#N/A,#N/A,FALSE,"이태원철근"}</definedName>
    <definedName name="HJK_2" hidden="1">{#N/A,#N/A,FALSE,"이태원철근"}</definedName>
    <definedName name="HJK_3" hidden="1">{#N/A,#N/A,FALSE,"이태원철근"}</definedName>
    <definedName name="HJK_5" hidden="1">{#N/A,#N/A,FALSE,"이태원철근"}</definedName>
    <definedName name="HJKYU67" hidden="1">{#N/A,#N/A,FALSE,"Sheet1"}</definedName>
    <definedName name="hjlk">#N/A</definedName>
    <definedName name="hjn">#N/A</definedName>
    <definedName name="HJNDTENS">#REF!</definedName>
    <definedName name="hjtuy" hidden="1">{#N/A,#N/A,FALSE,"운반시간"}</definedName>
    <definedName name="hjty5665" hidden="1">{#N/A,#N/A,FALSE,"Sheet1"}</definedName>
    <definedName name="HJU">#REF!,#REF!</definedName>
    <definedName name="HJUTYU8568" hidden="1">{#N/A,#N/A,FALSE,"Sheet1"}</definedName>
    <definedName name="HKD">#REF!</definedName>
    <definedName name="hkilgu" hidden="1">{#N/A,#N/A,FALSE,"포장2"}</definedName>
    <definedName name="hkj" hidden="1">{#N/A,#N/A,FALSE,"혼합골재"}</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HJ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mryku">#N/A</definedName>
    <definedName name="HL">#REF!</definedName>
    <definedName name="HM">#REF!</definedName>
    <definedName name="HMAX">#N/A</definedName>
    <definedName name="HMC거점" hidden="1">#REF!</definedName>
    <definedName name="HMCH">#REF!</definedName>
    <definedName name="HMF">#REF!</definedName>
    <definedName name="HMGHMHM">#N/A</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mhm">#N/A</definedName>
    <definedName name="HMOTOR">#REF!</definedName>
    <definedName name="hnuk" hidden="1">{#N/A,#N/A,FALSE,"운반시간"}</definedName>
    <definedName name="hnuy" hidden="1">{#N/A,#N/A,FALSE,"조골재"}</definedName>
    <definedName name="HO">#REF!</definedName>
    <definedName name="HOHOHO">#REF!</definedName>
    <definedName name="HOIST기초" hidden="1">{#N/A,#N/A,FALSE,"물량산출"}</definedName>
    <definedName name="HOTF">#REF!</definedName>
    <definedName name="HowManyDay">{1,2,3,4,5,6,7}</definedName>
    <definedName name="HowManyWeek">{0;1;2;3;4;5}</definedName>
    <definedName name="HP">#REF!</definedName>
    <definedName name="HPI">#REF!</definedName>
    <definedName name="HPNT">#REF!</definedName>
    <definedName name="Hpp">#REF!</definedName>
    <definedName name="HPUMP">#REF!</definedName>
    <definedName name="HQ">#REF!</definedName>
    <definedName name="HR">#REF!</definedName>
    <definedName name="hrbjrjy" hidden="1">{#N/A,#N/A,FALSE,"배수2"}</definedName>
    <definedName name="HREG">#REF!</definedName>
    <definedName name="HRH" hidden="1">{#N/A,#N/A,FALSE,"혼합골재"}</definedName>
    <definedName name="hrt56jrt">#REF!</definedName>
    <definedName name="hrtehreth">#REF!</definedName>
    <definedName name="hrth">#REF!</definedName>
    <definedName name="hrthert">#REF!</definedName>
    <definedName name="HRTRHTHTR">#N/A</definedName>
    <definedName name="Hs">#REF!</definedName>
    <definedName name="HSFHDHEY" hidden="1">{#N/A,#N/A,FALSE,"골재소요량";#N/A,#N/A,FALSE,"골재소요량"}</definedName>
    <definedName name="HSH">#REF!</definedName>
    <definedName name="HSHJJ" hidden="1">{#N/A,#N/A,FALSE,"2~8번"}</definedName>
    <definedName name="HSP">#REF!</definedName>
    <definedName name="HSR">{"'용역비'!$A$4:$C$8"}</definedName>
    <definedName name="HST">#REF!</definedName>
    <definedName name="HSUM10L">#REF!</definedName>
    <definedName name="HSUM10R">#REF!</definedName>
    <definedName name="HSUM3L">#REF!</definedName>
    <definedName name="HSUM3R">#REF!</definedName>
    <definedName name="HSUM4L">#REF!</definedName>
    <definedName name="HSUM4R">#REF!</definedName>
    <definedName name="HSUM5L">#REF!</definedName>
    <definedName name="HSUM5R">#REF!</definedName>
    <definedName name="HSUM6L">#REF!</definedName>
    <definedName name="HSUM6R">#REF!</definedName>
    <definedName name="HSUM7L">#REF!</definedName>
    <definedName name="HSUM7R">#REF!</definedName>
    <definedName name="HSUM8L">#REF!</definedName>
    <definedName name="HSUM8R">#REF!</definedName>
    <definedName name="HSUM9L">#REF!</definedName>
    <definedName name="HSUM9R">#REF!</definedName>
    <definedName name="HSV">#REF!</definedName>
    <definedName name="HT">#REF!</definedName>
    <definedName name="htc_단가표_List">#REF!</definedName>
    <definedName name="HTD">#REF!</definedName>
    <definedName name="HTH">#REF!</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j">#REF!</definedName>
    <definedName name="HTML" hidden="1">{"'장비'!$A$3:$M$12"}</definedName>
    <definedName name="HTML_CodePage" hidden="1">949</definedName>
    <definedName name="HTML_Control" hidden="1">{"'터널공'!$A$177:$A$186"}</definedName>
    <definedName name="HTML_Control_1" hidden="1">{"'Sheet1'!$A$22:$G$23","'Sheet1'!$A$6","'Sheet1'!$E$10","'Sheet1'!$A$1:$F$23","'Sheet1'!$B$10","'Sheet1'!$A$1:$G$22","'Sheet1'!$A$1:$G$51"}</definedName>
    <definedName name="HTML_Control_2">{"'Sheet1'!$A$22:$G$23","'Sheet1'!$A$6","'Sheet1'!$E$10","'Sheet1'!$A$1:$F$23","'Sheet1'!$B$10","'Sheet1'!$A$1:$G$22","'Sheet1'!$A$1:$G$51"}</definedName>
    <definedName name="HTML_Control_3">{"'자리배치도'!$AG$1:$CI$28"}</definedName>
    <definedName name="HTML_Control_4">{"'2층, 지하 전기공사'!$B$13:$B$15"}</definedName>
    <definedName name="HTML_Control_5">{"'Sheet1'!$A$22:$G$23","'Sheet1'!$A$6","'Sheet1'!$E$10","'Sheet1'!$A$1:$F$23","'Sheet1'!$B$10","'Sheet1'!$A$1:$G$22","'Sheet1'!$A$1:$G$51"}</definedName>
    <definedName name="HTML_Control2" hidden="1">{"'Sheet1'!$A$22:$G$23","'Sheet1'!$A$6","'Sheet1'!$E$10","'Sheet1'!$A$1:$F$23","'Sheet1'!$B$10","'Sheet1'!$A$1:$G$22","'Sheet1'!$A$1:$G$51"}</definedName>
    <definedName name="HTML_Description" hidden="1">""</definedName>
    <definedName name="HTML_Email" hidden="1">""</definedName>
    <definedName name="HTML_Header" hidden="1">"터널공"</definedName>
    <definedName name="HTML_Header_1">"자리배치도"</definedName>
    <definedName name="HTML_Header_2">"2층, 지하 전기공사"</definedName>
    <definedName name="HTML_LastUpdate" hidden="1">"2000-01-06"</definedName>
    <definedName name="HTML_LastUpdate_1">"98-04-21"</definedName>
    <definedName name="HTML_LastUpdate_2">"2000-01-05"</definedName>
    <definedName name="HTML_LineAfter" hidden="1">FALSE</definedName>
    <definedName name="HTML_LineBefore" hidden="1">FALSE</definedName>
    <definedName name="HTML_Name" hidden="1">"삼호"</definedName>
    <definedName name="HTML_Name_1">"김회진"</definedName>
    <definedName name="HTML_Name_2">"박 창 영"</definedName>
    <definedName name="HTML_OBDlg2" hidden="1">TRUE</definedName>
    <definedName name="HTML_OBDlg3" hidden="1">TRUE</definedName>
    <definedName name="HTML_OBDlg4" hidden="1">TRUE</definedName>
    <definedName name="HTML_OS" hidden="1">0</definedName>
    <definedName name="HTML_PathFile" hidden="1">"C:\My Documents\1혁excel\그외자료\MyHTML.htm"</definedName>
    <definedName name="HTML_PathFile_1">"E:\업무분장\DESK.htm"</definedName>
    <definedName name="HTML_PathFile_2">"C:\My Documents\박창영\양식\기안\MyHTML.htm"</definedName>
    <definedName name="HTML_PathFileMac" hidden="1">"CYDNEY:ECS:Studies In Progress:689 Old Cheyenne:MyHTML.html"</definedName>
    <definedName name="HTML_PathTemplate" hidden="1">"C:\USERS\JHW\Kwangju\Distribution-Analysis\HTMLTemp.htm"</definedName>
    <definedName name="HTML_Title" hidden="1">"내역1"</definedName>
    <definedName name="HTML_Title_1">"좌석배치"</definedName>
    <definedName name="HTML_Title_2">"기안"</definedName>
    <definedName name="HTML1_1" hidden="1">"'[98계획ⅱ.XLS]98총괄'!$A$2:$F$16"</definedName>
    <definedName name="HTML1_10" hidden="1">""</definedName>
    <definedName name="HTML1_11" hidden="1">1</definedName>
    <definedName name="HTML1_12" hidden="1">"C:\My Documents\cck\MyHTML.htm"</definedName>
    <definedName name="HTML1_2" hidden="1">1</definedName>
    <definedName name="HTML1_3" hidden="1">"98계획ⅱ.XL"</definedName>
    <definedName name="HTML1_4" hidden="1">"98총괄"</definedName>
    <definedName name="HTML1_5" hidden="1">""</definedName>
    <definedName name="HTML1_6" hidden="1">1</definedName>
    <definedName name="HTML1_7" hidden="1">1</definedName>
    <definedName name="HTML1_8" hidden="1">"97-12-10"</definedName>
    <definedName name="HTML1_9" hidden="1">"hyogye01"</definedName>
    <definedName name="htmlControl2" hidden="1">{"'표지'!$B$5"}</definedName>
    <definedName name="HTMLCount" hidden="1">1</definedName>
    <definedName name="HTOL">#REF!</definedName>
    <definedName name="htpwahte">#REF!</definedName>
    <definedName name="HTR" hidden="1">{#N/A,#N/A,FALSE,"이태원철근"}</definedName>
    <definedName name="HTR_1" hidden="1">{#N/A,#N/A,FALSE,"이태원철근"}</definedName>
    <definedName name="HTR_2" hidden="1">{#N/A,#N/A,FALSE,"이태원철근"}</definedName>
    <definedName name="HTR_3" hidden="1">{#N/A,#N/A,FALSE,"이태원철근"}</definedName>
    <definedName name="HTR_4" hidden="1">{#N/A,#N/A,FALSE,"이태원철근"}</definedName>
    <definedName name="htrhgdgjdh">#N/A</definedName>
    <definedName name="htrhtrh">#REF!</definedName>
    <definedName name="HTRN">#REF!</definedName>
    <definedName name="HU">#REF!</definedName>
    <definedName name="hu7t" hidden="1">{#N/A,#N/A,FALSE,"단가표지"}</definedName>
    <definedName name="HUB">#REF!</definedName>
    <definedName name="HUB_장비">#N/A</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k" hidden="1">{#N/A,#N/A,FALSE,"조골재"}</definedName>
    <definedName name="HUKYUIK67" hidden="1">{#N/A,#N/A,FALSE,"Sheet1"}</definedName>
    <definedName name="hunch">#REF!</definedName>
    <definedName name="huncw">#REF!</definedName>
    <definedName name="hunph">#REF!</definedName>
    <definedName name="hunpw">#REF!</definedName>
    <definedName name="HUTY68686" hidden="1">{#N/A,#N/A,FALSE,"Sheet1"}</definedName>
    <definedName name="HV">#REF!</definedName>
    <definedName name="hvac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FP">#REF!</definedName>
    <definedName name="HVMF">#REF!</definedName>
    <definedName name="hw설치기사">#REF!</definedName>
    <definedName name="HW설치사001">#REF!</definedName>
    <definedName name="HW설치사002">#REF!</definedName>
    <definedName name="HW설치사011">#REF!</definedName>
    <definedName name="HW설치사982">#REF!</definedName>
    <definedName name="HW설치사991">#REF!</definedName>
    <definedName name="HW설치사992">#REF!</definedName>
    <definedName name="hw시험기사">#REF!</definedName>
    <definedName name="HW시험사001">#REF!</definedName>
    <definedName name="HW시험사002">#REF!</definedName>
    <definedName name="HW시험사011">#REF!</definedName>
    <definedName name="HW시험사982">#REF!</definedName>
    <definedName name="HW시험사991">#REF!</definedName>
    <definedName name="HW시험사992">#REF!</definedName>
    <definedName name="HWEI">#REF!</definedName>
    <definedName name="hwet">#REF!</definedName>
    <definedName name="HWL">#REF!</definedName>
    <definedName name="HWP">#REF!</definedName>
    <definedName name="HWR">#REF!</definedName>
    <definedName name="HWRVBNFHW">#N/A</definedName>
    <definedName name="HX10L">#REF!</definedName>
    <definedName name="HX10R">#REF!</definedName>
    <definedName name="HX3L">#REF!</definedName>
    <definedName name="HX3R">#REF!</definedName>
    <definedName name="HX4L">#REF!</definedName>
    <definedName name="HX4R">#REF!</definedName>
    <definedName name="HX5L">#REF!</definedName>
    <definedName name="HX5R">#REF!</definedName>
    <definedName name="HX6L">#REF!</definedName>
    <definedName name="HX6R">#REF!</definedName>
    <definedName name="HX7L">#REF!</definedName>
    <definedName name="HX7R">#REF!</definedName>
    <definedName name="HX8L">#REF!</definedName>
    <definedName name="HX8R">#REF!</definedName>
    <definedName name="HX9L">#REF!</definedName>
    <definedName name="HX9R">#REF!</definedName>
    <definedName name="hyewf7y2732" hidden="1">{#N/A,#N/A,FALSE,"Sheet1"}</definedName>
    <definedName name="hyh">#REF!</definedName>
    <definedName name="hyhk" hidden="1">{#N/A,#N/A,FALSE,"배수1"}</definedName>
    <definedName name="hyjt" hidden="1">{#N/A,#N/A,FALSE,"단가표지"}</definedName>
    <definedName name="HYUNDAI">#REF!</definedName>
    <definedName name="i">#REF!</definedName>
    <definedName name="I_BEAM">#REF!</definedName>
    <definedName name="I_EA">#REF!</definedName>
    <definedName name="i_start">#REF!</definedName>
    <definedName name="i_val">#REF!</definedName>
    <definedName name="I.SPACE일위대가" hidden="1">{#N/A,#N/A,FALSE,"Sheet1"}</definedName>
    <definedName name="I00">#REF!</definedName>
    <definedName name="IC" hidden="1">#REF!</definedName>
    <definedName name="ID">#REF!,#REF!</definedName>
    <definedName name="IDF">#REF!</definedName>
    <definedName name="IDT">#N/A</definedName>
    <definedName name="ie" hidden="1">{"'Sheet1'!$L$16"}</definedName>
    <definedName name="IELWSALES">#REF!</definedName>
    <definedName name="IELYSALES">#REF!</definedName>
    <definedName name="IEPLANSALES">#REF!</definedName>
    <definedName name="IESP">#REF!</definedName>
    <definedName name="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_val">#REF!</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k">#REF!</definedName>
    <definedName name="iiouolkll" hidden="1">{#N/A,#N/A,FALSE,"CCTV"}</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k" hidden="1">{#N/A,#N/A,FALSE,"운반시간"}</definedName>
    <definedName name="ij_cod_blk">#REF!</definedName>
    <definedName name="ijk" hidden="1">{#N/A,#N/A,FALSE,"운반시간"}</definedName>
    <definedName name="IK">#REF!</definedName>
    <definedName name="ikkljgdaklrewql">#N/A</definedName>
    <definedName name="ikljilowlkkmjlxfg">#N/A</definedName>
    <definedName name="ikor">#REF!</definedName>
    <definedName name="ikorr">#REF!</definedName>
    <definedName name="IL">#REF!</definedName>
    <definedName name="ILBAN">#N/A</definedName>
    <definedName name="ilch">#REF!</definedName>
    <definedName name="ilocal">#REF!</definedName>
    <definedName name="ilocalr">#REF!</definedName>
    <definedName name="ILP80적">#REF!</definedName>
    <definedName name="ILP80회">#REF!</definedName>
    <definedName name="ILP적">#REF!</definedName>
    <definedName name="ILP회">#REF!</definedName>
    <definedName name="ILWE">#REF!</definedName>
    <definedName name="imku" hidden="1">{#N/A,#N/A,FALSE,"골재소요량";#N/A,#N/A,FALSE,"골재소요량"}</definedName>
    <definedName name="IMP">#REF!</definedName>
    <definedName name="imsi" hidden="1">#REF!</definedName>
    <definedName name="IN">#REF!</definedName>
    <definedName name="In_SCODcr">#REF!</definedName>
    <definedName name="Inc.Tax_Korean">#REF!</definedName>
    <definedName name="Inc.Tax_Local.Reg">#REF!</definedName>
    <definedName name="Inc.Tax_Third.N">#REF!</definedName>
    <definedName name="INCREASED">#REF!</definedName>
    <definedName name="INETOTHER">#REF!</definedName>
    <definedName name="INETPPE">#REF!</definedName>
    <definedName name="INPUT">#N/A</definedName>
    <definedName name="inr" hidden="1">{#N/A,#N/A,FALSE,"단가표지"}</definedName>
    <definedName name="INSULATION">#REF!</definedName>
    <definedName name="intel" hidden="1">{#N/A,#N/A,FALSE,"TABLE"}</definedName>
    <definedName name="intervest공정표">#REF!</definedName>
    <definedName name="IntFreeCred">#REF!</definedName>
    <definedName name="INTPUT">#REF!</definedName>
    <definedName name="INTPUTDATA">#REF!</definedName>
    <definedName name="INVERTER설치">#REF!</definedName>
    <definedName name="io">#REF!</definedName>
    <definedName name="IOI">{"'용역비'!$A$4:$C$8"}</definedName>
    <definedName name="ioioioio">#N/A</definedName>
    <definedName name="ioknon">#REF!</definedName>
    <definedName name="IOP">#REF!,#REF!</definedName>
    <definedName name="IOU">#REF!,#REF!</definedName>
    <definedName name="iouo" hidden="1">{#N/A,#N/A,FALSE,"배수2"}</definedName>
    <definedName name="ioup" hidden="1">{#N/A,#N/A,FALSE,"속도"}</definedName>
    <definedName name="ioweht">#REF!</definedName>
    <definedName name="iowetho">#REF!</definedName>
    <definedName name="IPT">#N/A</definedName>
    <definedName name="ir_d3">#REF!</definedName>
    <definedName name="ir2rtcfr3c1r4c26rtqu">#N/A</definedName>
    <definedName name="irenew" hidden="1">#REF!</definedName>
    <definedName name="is" hidden="1">{"'Sheet1'!$L$16"}</definedName>
    <definedName name="Is_Actr">#REF!</definedName>
    <definedName name="isactirate">#REF!</definedName>
    <definedName name="ISL공정표">#REF!</definedName>
    <definedName name="It">#REF!</definedName>
    <definedName name="itcn">#REF!</definedName>
    <definedName name="itcnr">#REF!</definedName>
    <definedName name="ITEM">#N/A</definedName>
    <definedName name="ITEM_">#N/A</definedName>
    <definedName name="ITEM_NAME">#N/A</definedName>
    <definedName name="item3">#REF!</definedName>
    <definedName name="ITEM별상세업무분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DESC">#REF!</definedName>
    <definedName name="ithteyh">#N/A</definedName>
    <definedName name="ITI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TNO">#N/A</definedName>
    <definedName name="ITNUM">#N/A</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k">#REF!</definedName>
    <definedName name="iukr">#REF!</definedName>
    <definedName name="iutys.kdgfh" hidden="1">{#N/A,#N/A,FALSE,"이정표"}</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YI">#REF!</definedName>
    <definedName name="IU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v_check">#REF!</definedName>
    <definedName name="iv_check2">#REF!</definedName>
    <definedName name="ix_v">#REF!</definedName>
    <definedName name="iy_v">#REF!</definedName>
    <definedName name="IYUEN">#N/A</definedName>
    <definedName name="IYUIYI"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#REF!</definedName>
    <definedName name="J_1">#N/A</definedName>
    <definedName name="J_2">#N/A</definedName>
    <definedName name="J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_4">#N/A</definedName>
    <definedName name="J_형옹벽측구_수량집계">#REF!</definedName>
    <definedName name="J_CODE">#N/A</definedName>
    <definedName name="J_D">#REF!</definedName>
    <definedName name="J_DATE">#N/A</definedName>
    <definedName name="J_DEL">#N/A</definedName>
    <definedName name="J_DESC">#N/A</definedName>
    <definedName name="J_NAME">#N/A</definedName>
    <definedName name="J_P_MH">#N/A</definedName>
    <definedName name="J_PROG">#N/A</definedName>
    <definedName name="J_REMAINMH">#N/A</definedName>
    <definedName name="j_val">#REF!</definedName>
    <definedName name="J00">#REF!</definedName>
    <definedName name="j1_e">#REF!</definedName>
    <definedName name="j1_ea">#REF!</definedName>
    <definedName name="J10L1">#REF!</definedName>
    <definedName name="J10L2">#REF!</definedName>
    <definedName name="J11L1">#REF!</definedName>
    <definedName name="J11L2">#REF!</definedName>
    <definedName name="J12L1">#REF!</definedName>
    <definedName name="J12L2">#REF!</definedName>
    <definedName name="J13L1">#REF!</definedName>
    <definedName name="J13L2">#REF!</definedName>
    <definedName name="J14L1">#REF!</definedName>
    <definedName name="J14L2">#REF!</definedName>
    <definedName name="J15L1">#REF!</definedName>
    <definedName name="J15L2">#REF!</definedName>
    <definedName name="J16L1">#REF!</definedName>
    <definedName name="J16L2">#REF!</definedName>
    <definedName name="J17L1">#REF!</definedName>
    <definedName name="J17L2">#REF!</definedName>
    <definedName name="J18L1">#REF!</definedName>
    <definedName name="J18L2">#REF!</definedName>
    <definedName name="J19L1">#REF!</definedName>
    <definedName name="J19L2">#REF!</definedName>
    <definedName name="J1L1">#REF!</definedName>
    <definedName name="J1L2">#REF!</definedName>
    <definedName name="J20L1">#REF!</definedName>
    <definedName name="J20L2">#REF!</definedName>
    <definedName name="J2L1">#REF!</definedName>
    <definedName name="J2L2">#REF!</definedName>
    <definedName name="J3L1">#REF!</definedName>
    <definedName name="J3L2">#REF!</definedName>
    <definedName name="J4L1">#REF!</definedName>
    <definedName name="J4L2">#REF!</definedName>
    <definedName name="j56y56">#REF!</definedName>
    <definedName name="J5L1">#REF!</definedName>
    <definedName name="J5L2">#REF!</definedName>
    <definedName name="J6L1">#REF!</definedName>
    <definedName name="J6L2">#REF!</definedName>
    <definedName name="J7L1">#REF!</definedName>
    <definedName name="J7L2">#REF!</definedName>
    <definedName name="J860a1">#N/A</definedName>
    <definedName name="J8L1">#REF!</definedName>
    <definedName name="J8L2">#REF!</definedName>
    <definedName name="J9L1">#REF!</definedName>
    <definedName name="J9L2">#REF!</definedName>
    <definedName name="Jㅘㅛㅕㅏㅗ" hidden="1">{#N/A,#N/A,FALSE,"단가표지"}</definedName>
    <definedName name="JA">#REF!</definedName>
    <definedName name="JACK">#REF!</definedName>
    <definedName name="jack_ea">#REF!</definedName>
    <definedName name="jang" hidden="1">#REF!</definedName>
    <definedName name="jangan">#REF!</definedName>
    <definedName name="JB">#REF!</definedName>
    <definedName name="JBP">#REF!</definedName>
    <definedName name="JBR">#REF!</definedName>
    <definedName name="JBS">#REF!</definedName>
    <definedName name="JDD" hidden="1">{#N/A,#N/A,FALSE,"생산성";#N/A,#N/A,FALSE,"인력1";#N/A,#N/A,FALSE,"인력2";#N/A,#N/A,FALSE,"인력3";#N/A,#N/A,FALSE,"인건1";#N/A,#N/A,FALSE,"인건2";#N/A,#N/A,FALSE,"인건3";#N/A,#N/A,FALSE,"인원증감";#N/A,#N/A,FALSE,"인건증감";#N/A,#N/A,FALSE,"표지등"}</definedName>
    <definedName name="jdhj" hidden="1">{#N/A,#N/A,FALSE,"물량산출"}</definedName>
    <definedName name="jdj">#REF!</definedName>
    <definedName name="JDSHF">#N/A</definedName>
    <definedName name="je" localSheetId="0">BlankMacro1</definedName>
    <definedName name="je">BlankMacro1</definedName>
    <definedName name="JE_GWAN_GONG">#REF!</definedName>
    <definedName name="JEJAK">#N/A</definedName>
    <definedName name="jeodj">#REF!</definedName>
    <definedName name="JFGDFEST4W56" hidden="1">{#N/A,#N/A,FALSE,"Sheet1"}</definedName>
    <definedName name="jfgh" hidden="1">{#N/A,#N/A,FALSE,"BS";#N/A,#N/A,FALSE,"PL";#N/A,#N/A,FALSE,"처분";#N/A,#N/A,FALSE,"현금";#N/A,#N/A,FALSE,"매출";#N/A,#N/A,FALSE,"원가";#N/A,#N/A,FALSE,"경영"}</definedName>
    <definedName name="JFGJDF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 hidden="1">{#N/A,#N/A,FALSE,"손익표지";#N/A,#N/A,FALSE,"손익계산";#N/A,#N/A,FALSE,"일반관리비";#N/A,#N/A,FALSE,"영업외수익";#N/A,#N/A,FALSE,"영업외비용";#N/A,#N/A,FALSE,"매출액";#N/A,#N/A,FALSE,"요약손익";#N/A,#N/A,FALSE,"요약대차";#N/A,#N/A,FALSE,"매출채권현황";#N/A,#N/A,FALSE,"매출채권명세"}</definedName>
    <definedName name="jfsdkojoijfew" hidden="1">{#N/A,#N/A,FALSE,"Sheet1"}</definedName>
    <definedName name="jg">#REF!</definedName>
    <definedName name="jgfjghfj" hidden="1">#REF!</definedName>
    <definedName name="JGH" hidden="1">{#N/A,#N/A,FALSE,"골재소요량";#N/A,#N/A,FALSE,"골재소요량"}</definedName>
    <definedName name="JG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#REF!</definedName>
    <definedName name="jhbgudsy32" hidden="1">{#N/A,#N/A,FALSE,"Sheet1"}</definedName>
    <definedName name="JHD" hidden="1">#REF!</definedName>
    <definedName name="JHDS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etyjty">#N/A</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f" hidden="1">{#N/A,#N/A,FALSE,"조골재"}</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J" hidden="1">{#N/A,#N/A,FALSE,"운반시간"}</definedName>
    <definedName name="JHGJG" hidden="1">{#N/A,#N/A,FALSE,"손익표지";#N/A,#N/A,FALSE,"손익계산";#N/A,#N/A,FALSE,"일반관리비";#N/A,#N/A,FALSE,"영업외수익";#N/A,#N/A,FALSE,"영업외비용";#N/A,#N/A,FALSE,"매출액";#N/A,#N/A,FALSE,"요약손익";#N/A,#N/A,FALSE,"요약대차";#N/A,#N/A,FALSE,"매출채권현황";#N/A,#N/A,FALSE,"매출채권명세"}</definedName>
    <definedName name="jhh">#REF!</definedName>
    <definedName name="JHHHH">#REF!</definedName>
    <definedName name="JHJ">#REF!</definedName>
    <definedName name="jhjg" hidden="1">{#N/A,#N/A,FALSE,"조골재"}</definedName>
    <definedName name="jhjh" hidden="1">{#N/A,#N/A,FALSE,"기안지";#N/A,#N/A,FALSE,"통신지"}</definedName>
    <definedName name="jhjyg">#REF!</definedName>
    <definedName name="JHKL" hidden="1">{#N/A,#N/A,FALSE,"운반시간"}</definedName>
    <definedName name="jhlkjlk" hidden="1">{#N/A,#N/A,FALSE,"Sheet1"}</definedName>
    <definedName name="jif" hidden="1">{"'블럭식-일반'!$E$26","'블럭식-일반'!$C$26:$F$27"}</definedName>
    <definedName name="JIHO">#REF!</definedName>
    <definedName name="jii" hidden="1">{#N/A,#N/A,FALSE,"골재소요량";#N/A,#N/A,FALSE,"골재소요량"}</definedName>
    <definedName name="jijk" hidden="1">{"Header",#N/A,TRUE,"Summary";"ProjectInfo",#N/A,TRUE,"Total Value"}</definedName>
    <definedName name="JIKJAI">#N/A</definedName>
    <definedName name="jikjriowejkljf" hidden="1">{#N/A,#N/A,FALSE,"Sheet1"}</definedName>
    <definedName name="JIKNO">#N/A</definedName>
    <definedName name="jiljl" hidden="1">{#N/A,#N/A,FALSE,"자재비 (2)";#N/A,#N/A,FALSE,"공사비 (2)";#N/A,#N/A,FALSE,"설계외주비";#N/A,#N/A,FALSE,"노무비";#N/A,#N/A,FALSE,"기계장치비";#N/A,#N/A,FALSE,"경비"}</definedName>
    <definedName name="JJ">#REF!</definedName>
    <definedName name="jjddftg" hidden="1">{#N/A,#N/A,FALSE,"현장 NCR 분석";#N/A,#N/A,FALSE,"현장품질감사";#N/A,#N/A,FALSE,"현장품질감사"}</definedName>
    <definedName name="jjddftg_1" hidden="1">{#N/A,#N/A,FALSE,"현장 NCR 분석";#N/A,#N/A,FALSE,"현장품질감사";#N/A,#N/A,FALSE,"현장품질감사"}</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J">#REF!</definedName>
    <definedName name="jjjjjj" hidden="1">{#N/A,#N/A,FALSE,"혼합골재"}</definedName>
    <definedName name="JJJJJJJJJ">#REF!</definedName>
    <definedName name="jjk" hidden="1">{#N/A,#N/A,FALSE,"구조2"}</definedName>
    <definedName name="jjklk">#REF!</definedName>
    <definedName name="JJM">#REF!</definedName>
    <definedName name="jjr">#REF!</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 hidden="1">{#N/A,#N/A,FALSE,"현장 NCR 분석";#N/A,#N/A,FALSE,"현장품질감사";#N/A,#N/A,FALSE,"현장품질감사"}</definedName>
    <definedName name="JKGFKLD">{"서울냉천 3차( 5. 6-7).xls","Sheet1"}</definedName>
    <definedName name="JKGH" hidden="1">{#N/A,#N/A,FALSE,"골재소요량";#N/A,#N/A,FALSE,"골재소요량"}</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jk" hidden="1">{#N/A,#N/A,FALSE,"현장 NCR 분석";#N/A,#N/A,FALSE,"현장품질감사";#N/A,#N/A,FALSE,"현장품질감사"}</definedName>
    <definedName name="JKJ" hidden="1">{#N/A,#N/A,FALSE,"손익표지";#N/A,#N/A,FALSE,"손익계산";#N/A,#N/A,FALSE,"일반관리비";#N/A,#N/A,FALSE,"영업외수익";#N/A,#N/A,FALSE,"영업외비용";#N/A,#N/A,FALSE,"매출액";#N/A,#N/A,FALSE,"요약손익";#N/A,#N/A,FALSE,"요약대차";#N/A,#N/A,FALSE,"매출채권현황";#N/A,#N/A,FALSE,"매출채권명세"}</definedName>
    <definedName name="JKJHKH">#REF!</definedName>
    <definedName name="jkjjll" hidden="1">{#N/A,#N/A,FALSE,"BS";#N/A,#N/A,FALSE,"PL";#N/A,#N/A,FALSE,"처분";#N/A,#N/A,FALSE,"현금";#N/A,#N/A,FALSE,"매출";#N/A,#N/A,FALSE,"원가";#N/A,#N/A,FALSE,"경영"}</definedName>
    <definedName name="jkjk"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JKJKJKJK" hidden="1">{#N/A,#N/A,FALSE,"포장1";#N/A,#N/A,FALSE,"포장1"}</definedName>
    <definedName name="jkjl">#REF!</definedName>
    <definedName name="JKL">#REF!,#REF!</definedName>
    <definedName name="jkljjj" hidden="1">{#N/A,#N/A,FALSE,"BS";#N/A,#N/A,FALSE,"PL";#N/A,#N/A,FALSE,"처분";#N/A,#N/A,FALSE,"현금";#N/A,#N/A,FALSE,"매출";#N/A,#N/A,FALSE,"원가";#N/A,#N/A,FALSE,"경영"}</definedName>
    <definedName name="jklklj">#REF!</definedName>
    <definedName name="JL">#REF!</definedName>
    <definedName name="JL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lkgl">#REF!</definedName>
    <definedName name="jlkjklj" hidden="1">{#N/A,#N/A,FALSE,"BS";#N/A,#N/A,FALSE,"PL";#N/A,#N/A,FALSE,"처분";#N/A,#N/A,FALSE,"현금";#N/A,#N/A,FALSE,"매출";#N/A,#N/A,FALSE,"원가";#N/A,#N/A,FALSE,"경영"}</definedName>
    <definedName name="JLKJLKJ" hidden="1">{#N/A,#N/A,FALSE,"전력간선"}</definedName>
    <definedName name="jmty" hidden="1">{#N/A,#N/A,FALSE,"혼합골재"}</definedName>
    <definedName name="JNJ">#N/A</definedName>
    <definedName name="JOINT">#REF!</definedName>
    <definedName name="Joint3">#REF!</definedName>
    <definedName name="Joint4">#REF!</definedName>
    <definedName name="JP">#REF!</definedName>
    <definedName name="JPG">#REF!</definedName>
    <definedName name="JPP">#REF!</definedName>
    <definedName name="jrejtyue">#N/A</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JHJ" hidden="1">{#N/A,#N/A,FALSE,"속도"}</definedName>
    <definedName name="JT">#REF!</definedName>
    <definedName name="JTG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NHMK">#N/A</definedName>
    <definedName name="JTYD" hidden="1">#REF!</definedName>
    <definedName name="jtyyu" hidden="1">{#N/A,#N/A,FALSE,"단가표지"}</definedName>
    <definedName name="jukioljh" hidden="1">{#N/A,#N/A,FALSE,"BS";#N/A,#N/A,FALSE,"PL";#N/A,#N/A,FALSE,"처분";#N/A,#N/A,FALSE,"현금";#N/A,#N/A,FALSE,"매출";#N/A,#N/A,FALSE,"원가";#N/A,#N/A,FALSE,"경영"}</definedName>
    <definedName name="JUL">#REF!</definedName>
    <definedName name="JUNG_GI_UN_JUN">#REF!</definedName>
    <definedName name="jutyk" hidden="1">{#N/A,#N/A,FALSE,"운반시간"}</definedName>
    <definedName name="JUU">#REF!</definedName>
    <definedName name="JU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UYGDF">#REF!</definedName>
    <definedName name="juyjuy">#REF!</definedName>
    <definedName name="jy">#REF!</definedName>
    <definedName name="JYH">#REF!</definedName>
    <definedName name="jyhsdgyu23e32" hidden="1">{#N/A,#N/A,FALSE,"Sheet1"}</definedName>
    <definedName name="JYJTY">#REF!</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t">#REF!</definedName>
    <definedName name="JYTJJYTTYJ">#N/A</definedName>
    <definedName name="jytm">#REF!</definedName>
    <definedName name="jytr">#REF!</definedName>
    <definedName name="jytrtysr" hidden="1">{#N/A,#N/A,FALSE,"조골재"}</definedName>
    <definedName name="jytujtyj">#N/A</definedName>
    <definedName name="jyu">#REF!</definedName>
    <definedName name="jyu89we" hidden="1">{#N/A,#N/A,FALSE,"Sheet1"}</definedName>
    <definedName name="jyuj">#REF!</definedName>
    <definedName name="jyumruyuy">#N/A</definedName>
    <definedName name="jyuu" hidden="1">{#N/A,#N/A,FALSE,"단가표지"}</definedName>
    <definedName name="k">#REF!</definedName>
    <definedName name="K_D">#REF!</definedName>
    <definedName name="K_PR">#REF!</definedName>
    <definedName name="k0">#REF!</definedName>
    <definedName name="K2_">#REF!</definedName>
    <definedName name="k2wl">#REF!</definedName>
    <definedName name="KA">#REF!</definedName>
    <definedName name="Ka일">#REF!</definedName>
    <definedName name="Ka투">#REF!</definedName>
    <definedName name="KAE">#REF!</definedName>
    <definedName name="KAED">#REF!</definedName>
    <definedName name="KANG1">#REF!</definedName>
    <definedName name="KANG2">#REF!</definedName>
    <definedName name="KANJAI">#N/A</definedName>
    <definedName name="KANNO">#N/A</definedName>
    <definedName name="KAS">#REF!</definedName>
    <definedName name="kasp">#REF!</definedName>
    <definedName name="KB">#REF!</definedName>
    <definedName name="kbaesu">#REF!</definedName>
    <definedName name="kbang">#REF!</definedName>
    <definedName name="KBS">#REF!,#REF!</definedName>
    <definedName name="kconc1">#REF!</definedName>
    <definedName name="kconc2">#REF!</definedName>
    <definedName name="kcsq"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csqd"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D">#REF!</definedName>
    <definedName name="KDCSS"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dcssd"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difu">#REF!</definedName>
    <definedName name="kdjf">#REF!</definedName>
    <definedName name="KDJU" hidden="1">{"'장비'!$A$3:$M$12"}</definedName>
    <definedName name="KDKDK" hidden="1">{#N/A,#N/A,FALSE,"조골재"}</definedName>
    <definedName name="Kdo">#REF!</definedName>
    <definedName name="kdong">#REF!</definedName>
    <definedName name="Kea">#REF!</definedName>
    <definedName name="key" hidden="1">#REF!</definedName>
    <definedName name="KEY_2" hidden="1">#REF!</definedName>
    <definedName name="KEY_E">#REF!</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dsiojiojweo" hidden="1">{#N/A,#N/A,FALSE,"Sheet1"}</definedName>
    <definedName name="KFH" hidden="1">{#N/A,#N/A,FALSE,"손익표지";#N/A,#N/A,FALSE,"손익계산";#N/A,#N/A,FALSE,"일반관리비";#N/A,#N/A,FALSE,"영업외수익";#N/A,#N/A,FALSE,"영업외비용";#N/A,#N/A,FALSE,"매출액";#N/A,#N/A,FALSE,"요약손익";#N/A,#N/A,FALSE,"요약대차";#N/A,#N/A,FALSE,"매출채권현황";#N/A,#N/A,FALSE,"매출채권명세"}</definedName>
    <definedName name="KFJG">#REF!</definedName>
    <definedName name="kfkfklf">#REF!</definedName>
    <definedName name="KGB">#REF!</definedName>
    <definedName name="kger">#REF!</definedName>
    <definedName name="kgfhj" hidden="1">{"'블럭식-일반'!$E$26","'블럭식-일반'!$C$26:$F$27"}</definedName>
    <definedName name="kghlgh" hidden="1">{#N/A,#N/A,FALSE,"CCTV"}</definedName>
    <definedName name="kgjf" hidden="1">{#N/A,#N/A,FALSE,"이정표"}</definedName>
    <definedName name="Kh">#REF!</definedName>
    <definedName name="KH.1">#REF!</definedName>
    <definedName name="KHF" hidden="1">#REF!</definedName>
    <definedName name="khj">{"Book1","토공.xls"}</definedName>
    <definedName name="KHJF" hidden="1">{#N/A,#N/A,FALSE,"CCTV"}</definedName>
    <definedName name="KHJKH" hidden="1">#N/A</definedName>
    <definedName name="khl" hidden="1">{#N/A,#N/A,FALSE,"2~8번"}</definedName>
    <definedName name="ki">#REF!</definedName>
    <definedName name="KIANJI">{"성명",0,"Auto","Auto",""}</definedName>
    <definedName name="Kiho">#REF!</definedName>
    <definedName name="kim">#REF!</definedName>
    <definedName name="KIMJT" hidden="1">{#N/A,#N/A,FALSE,"골재소요량";#N/A,#N/A,FALSE,"골재소요량"}</definedName>
    <definedName name="KIMREDEMISTER">#REF!</definedName>
    <definedName name="KIMREPACKING">#REF!</definedName>
    <definedName name="KISS">#REF!</definedName>
    <definedName name="KIT">#REF!</definedName>
    <definedName name="kiuk">#REF!</definedName>
    <definedName name="kiulil" hidden="1">{#N/A,#N/A,FALSE,"CCTV"}</definedName>
    <definedName name="KJ">#REF!</definedName>
    <definedName name="kjg" hidden="1">{#N/A,#N/A,FALSE,"조골재"}</definedName>
    <definedName name="KJH">#REF!</definedName>
    <definedName name="KJHF" hidden="1">#REF!</definedName>
    <definedName name="KJHGHGGTG">#REF!</definedName>
    <definedName name="kjhk" hidden="1">{#N/A,#N/A,FALSE,"단가표지"}</definedName>
    <definedName name="kjhlh" hidden="1">{#N/A,#N/A,FALSE,"CCTV"}</definedName>
    <definedName name="kjhljhk" hidden="1">{#N/A,#N/A,FALSE,"CCTV"}</definedName>
    <definedName name="kjibsu">#REF!</definedName>
    <definedName name="kjj" hidden="1">{#N/A,#N/A,FALSE,"조골재"}</definedName>
    <definedName name="kjjh">#REF!</definedName>
    <definedName name="kjjjjj" hidden="1">#REF!</definedName>
    <definedName name="kjkgh" hidden="1">{"'장비'!$A$3:$M$12"}</definedName>
    <definedName name="kjkl" hidden="1">{#N/A,#N/A,FALSE,"BS";#N/A,#N/A,FALSE,"PL";#N/A,#N/A,FALSE,"처분";#N/A,#N/A,FALSE,"현금";#N/A,#N/A,FALSE,"매출";#N/A,#N/A,FALSE,"원가";#N/A,#N/A,FALSE,"경영"}</definedName>
    <definedName name="kjl">#REF!</definedName>
    <definedName name="kjuj">#N/A</definedName>
    <definedName name="kjujkl" hidden="1">{#N/A,#N/A,FALSE,"BS";#N/A,#N/A,FALSE,"PL";#N/A,#N/A,FALSE,"처분";#N/A,#N/A,FALSE,"현금";#N/A,#N/A,FALSE,"매출";#N/A,#N/A,FALSE,"원가";#N/A,#N/A,FALSE,"경영"}</definedName>
    <definedName name="kjun100">#REF!</definedName>
    <definedName name="kjun50">#REF!</definedName>
    <definedName name="kjunb">#REF!</definedName>
    <definedName name="KK" hidden="1">#REF!</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B">#REF!</definedName>
    <definedName name="kkd" hidden="1">{"'정산내역서'!$A$1:$I$35","'정산서(절.성토부)'!$A$1:$Q$17","'정산서(교량부)'!$A$1:$Q$84","'총괄표'!$A$1:$M$12","'시행현황'!$A$1:$G$12","'표지'!$A$1:$N$27","'정산서(절.성토부)'!$A$3:$Q$7"}</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H" hidden="1">{#N/A,#N/A,FALSE,"변경관리예산";#N/A,#N/A,FALSE,"변경장비예산";#N/A,#N/A,FALSE,"변경준설예산";#N/A,#N/A,FALSE,"변경철구예산"}</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jjll" hidden="1">{#N/A,#N/A,FALSE,"BS";#N/A,#N/A,FALSE,"PL";#N/A,#N/A,FALSE,"처분";#N/A,#N/A,FALSE,"현금";#N/A,#N/A,FALSE,"매출";#N/A,#N/A,FALSE,"원가";#N/A,#N/A,FALSE,"경영"}</definedName>
    <definedName name="kkjkj"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kk" hidden="1">#REF!</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#REF!</definedName>
    <definedName name="kkkkk" hidden="1">#REF!</definedName>
    <definedName name="kkkkkk" hidden="1">{#N/A,#N/A,FALSE,"단축1";#N/A,#N/A,FALSE,"단축2";#N/A,#N/A,FALSE,"단축3";#N/A,#N/A,FALSE,"장축";#N/A,#N/A,FALSE,"4WD"}</definedName>
    <definedName name="kkkkkkkkkk" hidden="1">{#N/A,#N/A,FALSE,"골재소요량";#N/A,#N/A,FALSE,"골재소요량"}</definedName>
    <definedName name="KKKKSKR" hidden="1">#REF!</definedName>
    <definedName name="kkkl">#REF!</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#N/A</definedName>
    <definedName name="kkmp">#REF!</definedName>
    <definedName name="kknd2" hidden="1">{#N/A,#N/A,FALSE,"변경관리예산";#N/A,#N/A,FALSE,"변경장비예산";#N/A,#N/A,FALSE,"변경준설예산";#N/A,#N/A,FALSE,"변경철구예산"}</definedName>
    <definedName name="KKP">#REF!</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yu">#REF!</definedName>
    <definedName name="kl" hidden="1">{#N/A,#N/A,FALSE,"BS";#N/A,#N/A,FALSE,"PL";#N/A,#N/A,FALSE,"처분";#N/A,#N/A,FALSE,"현금";#N/A,#N/A,FALSE,"매출";#N/A,#N/A,FALSE,"원가";#N/A,#N/A,FALSE,"경영"}</definedName>
    <definedName name="klajdfl">#REF!</definedName>
    <definedName name="KLB">#REF!,#REF!</definedName>
    <definedName name="KLDFNMKRE" localSheetId="0">BlankMacro1</definedName>
    <definedName name="KLDFNMKRE">BlankMacro1</definedName>
    <definedName name="klh" hidden="1">{"'블럭식-일반'!$E$26","'블럭식-일반'!$C$26:$F$27"}</definedName>
    <definedName name="klimmm" hidden="1">{#N/A,#N/A,FALSE,"BS";#N/A,#N/A,FALSE,"PL";#N/A,#N/A,FALSE,"처분";#N/A,#N/A,FALSE,"현금";#N/A,#N/A,FALSE,"매출";#N/A,#N/A,FALSE,"원가";#N/A,#N/A,FALSE,"경영"}</definedName>
    <definedName name="kljg" hidden="1">{#N/A,#N/A,FALSE,"부대1"}</definedName>
    <definedName name="kljilweoikjokofd" hidden="1">{#N/A,#N/A,FALSE,"Sheet1"}</definedName>
    <definedName name="klkkk" hidden="1">#REF!</definedName>
    <definedName name="klkl">#REF!</definedName>
    <definedName name="klklklkl" hidden="1">{#N/A,#N/A,FALSE,"BS";#N/A,#N/A,FALSE,"PL";#N/A,#N/A,FALSE,"처분";#N/A,#N/A,FALSE,"현금";#N/A,#N/A,FALSE,"매출";#N/A,#N/A,FALSE,"원가";#N/A,#N/A,FALSE,"경영"}</definedName>
    <definedName name="KLLKLKLK" hidden="1">{#N/A,#N/A,FALSE,"포장2"}</definedName>
    <definedName name="kln">#REF!</definedName>
    <definedName name="KMN">#REF!,#REF!</definedName>
    <definedName name="KMP">#REF!</definedName>
    <definedName name="kmu">#REF!</definedName>
    <definedName name="kmung">#REF!</definedName>
    <definedName name="kn">#REF!</definedName>
    <definedName name="knj" hidden="1">{#N/A,#N/A,FALSE,"혼합골재"}</definedName>
    <definedName name="knotch">#REF!</definedName>
    <definedName name="Kns">#REF!</definedName>
    <definedName name="ko">#REF!</definedName>
    <definedName name="koi">#REF!</definedName>
    <definedName name="kokiewjoioifds" hidden="1">#REF!</definedName>
    <definedName name="kopfdsaojsg">#N/A</definedName>
    <definedName name="KPSC">#REF!</definedName>
    <definedName name="Ks">#REF!</definedName>
    <definedName name="KSF">#REF!</definedName>
    <definedName name="ksin">#REF!</definedName>
    <definedName name="kslab">#REF!</definedName>
    <definedName name="ksmp">#REF!</definedName>
    <definedName name="kspace">#REF!</definedName>
    <definedName name="ktaek">#REF!</definedName>
    <definedName name="ktbm">#REF!</definedName>
    <definedName name="ktf" hidden="1">#REF!</definedName>
    <definedName name="kty" hidden="1">#REF!</definedName>
    <definedName name="ku" hidden="1">{#N/A,#N/A,FALSE,"월공사비집계표양식 (7)";#N/A,#N/A,FALSE,"월공사비집계표양식 (7)"}</definedName>
    <definedName name="kuiiukiu">#N/A</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P">#REF!</definedName>
    <definedName name="kurf" hidden="1">{"'블럭식-일반'!$E$26","'블럭식-일반'!$C$26:$F$27"}</definedName>
    <definedName name="Kv">#REF!</definedName>
    <definedName name="KVO">#REF!</definedName>
    <definedName name="kyb">#REF!</definedName>
    <definedName name="kytjnjr" hidden="1">{#N/A,#N/A,FALSE,"토공2"}</definedName>
    <definedName name="kytyj" hidden="1">#REF!</definedName>
    <definedName name="kyuv">#REF!</definedName>
    <definedName name="ℓ">#REF!</definedName>
    <definedName name="L_1">#REF!</definedName>
    <definedName name="L_2">#REF!</definedName>
    <definedName name="L_3">#REF!</definedName>
    <definedName name="L_RPTB_품셈">#REF!</definedName>
    <definedName name="L.W" localSheetId="0">BlankMacro1</definedName>
    <definedName name="L.W">BlankMacro1</definedName>
    <definedName name="l.w일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00">#REF!</definedName>
    <definedName name="l1_ea">#REF!</definedName>
    <definedName name="L10L">#REF!</definedName>
    <definedName name="L1A">#REF!</definedName>
    <definedName name="L1A1P">#REF!</definedName>
    <definedName name="l1a1t">#REF!</definedName>
    <definedName name="l1a2p">#REF!</definedName>
    <definedName name="l1a2t">#REF!</definedName>
    <definedName name="L1ALL">#REF!</definedName>
    <definedName name="L1AS">#REF!</definedName>
    <definedName name="L1B">#REF!</definedName>
    <definedName name="L1C">#REF!</definedName>
    <definedName name="L1D">#REF!</definedName>
    <definedName name="L1L">#REF!</definedName>
    <definedName name="L1S">#REF!</definedName>
    <definedName name="L2A1P">#REF!</definedName>
    <definedName name="l2a1t">#REF!</definedName>
    <definedName name="l2a2p">#REF!</definedName>
    <definedName name="l2a2t">#REF!</definedName>
    <definedName name="L2L">#REF!</definedName>
    <definedName name="L2L1">#REF!</definedName>
    <definedName name="L2S">#REF!</definedName>
    <definedName name="L3A1P">#REF!</definedName>
    <definedName name="l3a1t">#REF!</definedName>
    <definedName name="l3a2p">#REF!</definedName>
    <definedName name="l3a2t">#REF!</definedName>
    <definedName name="L3L">#REF!</definedName>
    <definedName name="L4A1P">#REF!</definedName>
    <definedName name="l4a1t">#REF!</definedName>
    <definedName name="l4a2p">#REF!</definedName>
    <definedName name="l4a2t">#REF!</definedName>
    <definedName name="L4L">#REF!</definedName>
    <definedName name="L5A1P">#REF!</definedName>
    <definedName name="l5a1t">#REF!</definedName>
    <definedName name="l5a2p">#REF!</definedName>
    <definedName name="l5a2t">#REF!</definedName>
    <definedName name="L5L">#REF!</definedName>
    <definedName name="L5S">#REF!</definedName>
    <definedName name="L6A1P">#REF!</definedName>
    <definedName name="l6a1t">#REF!</definedName>
    <definedName name="l6a2p">#REF!</definedName>
    <definedName name="l6a2t">#REF!</definedName>
    <definedName name="L6L">#REF!</definedName>
    <definedName name="L7L">#REF!</definedName>
    <definedName name="L8L">#REF!</definedName>
    <definedName name="L9L">#REF!</definedName>
    <definedName name="L형옹벽">#REF!</definedName>
    <definedName name="L형측" hidden="1">{#N/A,#N/A,FALSE,"표지목차"}</definedName>
    <definedName name="L형측구">#REF!</definedName>
    <definedName name="L형표지" localSheetId="0">ErrorHandler_1</definedName>
    <definedName name="L형표지">ErrorHandler_1</definedName>
    <definedName name="LA">#REF!</definedName>
    <definedName name="LA1P">#REF!</definedName>
    <definedName name="la1t">#REF!</definedName>
    <definedName name="la2p">#REF!</definedName>
    <definedName name="la2t">#REF!</definedName>
    <definedName name="LAB">#REF!</definedName>
    <definedName name="labor">#REF!</definedName>
    <definedName name="Labor_Cost">#REF!</definedName>
    <definedName name="Labor_Rate">#REF!</definedName>
    <definedName name="Labor_Unit_Rate">#REF!</definedName>
    <definedName name="labor1">#REF!</definedName>
    <definedName name="labordata">#REF!</definedName>
    <definedName name="LAJUUYS">#REF!</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E7" hidden="1">{#N/A,#N/A,FALSE,"운반시간"}</definedName>
    <definedName name="LAMP">#REF!</definedName>
    <definedName name="LAN">#N/A</definedName>
    <definedName name="LAN설비">[0]!__JB1</definedName>
    <definedName name="LARGE" hidden="1">{#N/A,#N/A,FALSE,"제목"}</definedName>
    <definedName name="LAST">#REF!</definedName>
    <definedName name="LAST1">#REF!</definedName>
    <definedName name="LAST2">#REF!</definedName>
    <definedName name="Lati3701">#REF!</definedName>
    <definedName name="LB">#REF!</definedName>
    <definedName name="Lbox1">#REF!</definedName>
    <definedName name="Lbox2">#REF!</definedName>
    <definedName name="lc">#REF!</definedName>
    <definedName name="LC산출" hidden="1">{#N/A,#N/A,FALSE,"사업총괄";#N/A,#N/A,FALSE,"장비사업";#N/A,#N/A,FALSE,"철구사업";#N/A,#N/A,FALSE,"준설사업"}</definedName>
    <definedName name="LCC">#REF!</definedName>
    <definedName name="LCL">#REF!</definedName>
    <definedName name="Lclb">#REF!</definedName>
    <definedName name="lcmi">#REF!</definedName>
    <definedName name="lcmit">#REF!</definedName>
    <definedName name="LD">#REF!</definedName>
    <definedName name="LDSJTGF">#REF!</definedName>
    <definedName name="le">#REF!</definedName>
    <definedName name="LEE">#REF!</definedName>
    <definedName name="len">#REF!</definedName>
    <definedName name="lethil">#REF!</definedName>
    <definedName name="level1" hidden="1">{"'장비'!$A$3:$M$12"}</definedName>
    <definedName name="lf">#REF!</definedName>
    <definedName name="lf_block">#REF!</definedName>
    <definedName name="lf_val">#REF!</definedName>
    <definedName name="Lfd">#REF!</definedName>
    <definedName name="Lfd_h">#REF!</definedName>
    <definedName name="lfjf">#REF!</definedName>
    <definedName name="LFK"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FKF">#N/A</definedName>
    <definedName name="lflflflfl">[0]!__MaL1</definedName>
    <definedName name="lfyu" hidden="1">{#N/A,#N/A,FALSE,"BS";#N/A,#N/A,FALSE,"PL";#N/A,#N/A,FALSE,"처분";#N/A,#N/A,FALSE,"현금";#N/A,#N/A,FALSE,"매출";#N/A,#N/A,FALSE,"원가";#N/A,#N/A,FALSE,"경영"}</definedName>
    <definedName name="LG">#REF!</definedName>
    <definedName name="LGK" localSheetId="0">BlankMacro1</definedName>
    <definedName name="LGK">BlankMacro1</definedName>
    <definedName name="lglhjlhjl" hidden="1">{#N/A,#N/A,FALSE,"BS";#N/A,#N/A,FALSE,"PL";#N/A,#N/A,FALSE,"처분";#N/A,#N/A,FALSE,"현금";#N/A,#N/A,FALSE,"매출";#N/A,#N/A,FALSE,"원가";#N/A,#N/A,FALSE,"경영"}</definedName>
    <definedName name="LGSJVIL2_Sheet1_List">#REF!</definedName>
    <definedName name="LH">#REF!</definedName>
    <definedName name="LH.4">#REF!</definedName>
    <definedName name="LH.7">#REF!</definedName>
    <definedName name="LHY">#N/A</definedName>
    <definedName name="li" hidden="1">{"'용역비'!$A$4:$C$8"}</definedName>
    <definedName name="LI개요" hidden="1">{#N/A,#N/A,FALSE,"예상손익";#N/A,#N/A,FALSE,"관리분석";#N/A,#N/A,FALSE,"장비분석";#N/A,#N/A,FALSE,"준설분석";#N/A,#N/A,FALSE,"철구분석"}</definedName>
    <definedName name="lie" hidden="1">#REF!</definedName>
    <definedName name="light">"Picture 1"</definedName>
    <definedName name="lii">{"'결과(하)'!$L$24"}</definedName>
    <definedName name="liiii" hidden="1">{#N/A,#N/A,FALSE,"BS";#N/A,#N/A,FALSE,"PL";#N/A,#N/A,FALSE,"처분";#N/A,#N/A,FALSE,"현금";#N/A,#N/A,FALSE,"매출";#N/A,#N/A,FALSE,"원가";#N/A,#N/A,FALSE,"경영"}</definedName>
    <definedName name="liiliul" hidden="1">{#N/A,#N/A,FALSE,"Sheet1"}</definedName>
    <definedName name="lijop" hidden="1">{#N/A,#N/A,FALSE,"배수1"}</definedName>
    <definedName name="LIKELY">#REF!</definedName>
    <definedName name="likoijoirewlkfew" hidden="1">{#N/A,#N/A,FALSE,"Sheet1"}</definedName>
    <definedName name="likrjilew" hidden="1">{#N/A,#N/A,FALSE,"Sheet1"}</definedName>
    <definedName name="lim" hidden="1">{#N/A,#N/A,FALSE,"혼합골재"}</definedName>
    <definedName name="limcount" hidden="1">1</definedName>
    <definedName name="LINE">#REF!</definedName>
    <definedName name="LINE_1">#REF!</definedName>
    <definedName name="LINE_2">#REF!</definedName>
    <definedName name="LINE_3">#REF!</definedName>
    <definedName name="LINE2">#REF!</definedName>
    <definedName name="line토공" hidden="1">{#N/A,#N/A,FALSE,"2~8번"}</definedName>
    <definedName name="LINING">#REF!</definedName>
    <definedName name="LIST">#REF!</definedName>
    <definedName name="list01">#REF!</definedName>
    <definedName name="list02">#REF!</definedName>
    <definedName name="list03">#REF!</definedName>
    <definedName name="list04">#REF!</definedName>
    <definedName name="list05">#REF!</definedName>
    <definedName name="list06">#REF!</definedName>
    <definedName name="listt"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UJHG" hidden="1">#REF!</definedName>
    <definedName name="LJ">#REF!</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JJHUGF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kㅏㅎ" hidden="1">{#N/A,#N/A,FALSE,"2~8번"}</definedName>
    <definedName name="ljkj" hidden="1">{#N/A,#N/A,FALSE,"현장 NCR 분석";#N/A,#N/A,FALSE,"현장품질감사";#N/A,#N/A,FALSE,"현장품질감사"}</definedName>
    <definedName name="ljl">#REF!</definedName>
    <definedName name="LK">#REF!,#REF!</definedName>
    <definedName name="lkijhgh" hidden="1">{#N/A,#N/A,FALSE,"부대1"}</definedName>
    <definedName name="lkilkj" hidden="1">{#N/A,#N/A,FALSE,"BS";#N/A,#N/A,FALSE,"PL";#N/A,#N/A,FALSE,"처분";#N/A,#N/A,FALSE,"현금";#N/A,#N/A,FALSE,"매출";#N/A,#N/A,FALSE,"원가";#N/A,#N/A,FALSE,"경영"}</definedName>
    <definedName name="lkiop" hidden="1">{#N/A,#N/A,FALSE,"BS";#N/A,#N/A,FALSE,"PL";#N/A,#N/A,FALSE,"처분";#N/A,#N/A,FALSE,"현금";#N/A,#N/A,FALSE,"매출";#N/A,#N/A,FALSE,"원가";#N/A,#N/A,FALSE,"경영"}</definedName>
    <definedName name="lkivdlkvfdiofew" hidden="1">{#N/A,#N/A,FALSE,"Sheet1"}</definedName>
    <definedName name="LKJ" hidden="1">{#N/A,#N/A,FALSE,"이태원철근"}</definedName>
    <definedName name="lkjjjj" hidden="1">{#N/A,#N/A,FALSE,"BS";#N/A,#N/A,FALSE,"PL";#N/A,#N/A,FALSE,"처분";#N/A,#N/A,FALSE,"현금";#N/A,#N/A,FALSE,"매출";#N/A,#N/A,FALSE,"원가";#N/A,#N/A,FALSE,"경영"}</definedName>
    <definedName name="lkjjklkkj" hidden="1">{#N/A,#N/A,FALSE,"BS";#N/A,#N/A,FALSE,"PL";#N/A,#N/A,FALSE,"처분";#N/A,#N/A,FALSE,"현금";#N/A,#N/A,FALSE,"매출";#N/A,#N/A,FALSE,"원가";#N/A,#N/A,FALSE,"경영"}</definedName>
    <definedName name="lkjkkk" hidden="1">{#N/A,#N/A,FALSE,"BS";#N/A,#N/A,FALSE,"PL";#N/A,#N/A,FALSE,"처분";#N/A,#N/A,FALSE,"현금";#N/A,#N/A,FALSE,"매출";#N/A,#N/A,FALSE,"원가";#N/A,#N/A,FALSE,"경영"}</definedName>
    <definedName name="lkjlkj" hidden="1">{#N/A,#N/A,FALSE,"BS";#N/A,#N/A,FALSE,"PL";#N/A,#N/A,FALSE,"처분";#N/A,#N/A,FALSE,"현금";#N/A,#N/A,FALSE,"매출";#N/A,#N/A,FALSE,"원가";#N/A,#N/A,FALSE,"경영"}</definedName>
    <definedName name="lkjlll" hidden="1">{#N/A,#N/A,FALSE,"BS";#N/A,#N/A,FALSE,"PL";#N/A,#N/A,FALSE,"처분";#N/A,#N/A,FALSE,"현금";#N/A,#N/A,FALSE,"매출";#N/A,#N/A,FALSE,"원가";#N/A,#N/A,FALSE,"경영"}</definedName>
    <definedName name="LKK">#REF!</definedName>
    <definedName name="lkkkk" hidden="1">{#N/A,#N/A,FALSE,"BS";#N/A,#N/A,FALSE,"PL";#N/A,#N/A,FALSE,"처분";#N/A,#N/A,FALSE,"현금";#N/A,#N/A,FALSE,"매출";#N/A,#N/A,FALSE,"원가";#N/A,#N/A,FALSE,"경영"}</definedName>
    <definedName name="LKKLKL" localSheetId="0">BlankMacro1</definedName>
    <definedName name="LKKLKL">BlankMacro1</definedName>
    <definedName name="lklhlkjl" hidden="1">{#N/A,#N/A,FALSE,"CCTV"}</definedName>
    <definedName name="LKLJH" hidden="1">{#N/A,#N/A,FALSE,"CCTV"}</definedName>
    <definedName name="LKLJK" hidden="1">{#N/A,#N/A,FALSE,"기안지";#N/A,#N/A,FALSE,"통신지"}</definedName>
    <definedName name="lklk" hidden="1">{#N/A,#N/A,FALSE,"BS";#N/A,#N/A,FALSE,"PL";#N/A,#N/A,FALSE,"처분";#N/A,#N/A,FALSE,"현금";#N/A,#N/A,FALSE,"매출";#N/A,#N/A,FALSE,"원가";#N/A,#N/A,FALSE,"경영"}</definedName>
    <definedName name="LKLKL">#REF!</definedName>
    <definedName name="lklklll" hidden="1">{#N/A,#N/A,FALSE,"BS";#N/A,#N/A,FALSE,"PL";#N/A,#N/A,FALSE,"처분";#N/A,#N/A,FALSE,"현금";#N/A,#N/A,FALSE,"매출";#N/A,#N/A,FALSE,"원가";#N/A,#N/A,FALSE,"경영"}</definedName>
    <definedName name="lkllk" hidden="1">{#N/A,#N/A,FALSE,"BS";#N/A,#N/A,FALSE,"PL";#N/A,#N/A,FALSE,"처분";#N/A,#N/A,FALSE,"현금";#N/A,#N/A,FALSE,"매출";#N/A,#N/A,FALSE,"원가";#N/A,#N/A,FALSE,"경영"}</definedName>
    <definedName name="lkmnd">#REF!</definedName>
    <definedName name="lkoiphm" hidden="1">{#N/A,#N/A,FALSE,"BS";#N/A,#N/A,FALSE,"PL";#N/A,#N/A,FALSE,"처분";#N/A,#N/A,FALSE,"현금";#N/A,#N/A,FALSE,"매출";#N/A,#N/A,FALSE,"원가";#N/A,#N/A,FALSE,"경영"}</definedName>
    <definedName name="LKTY" localSheetId="0">BlankMacro1</definedName>
    <definedName name="LKTY">BlankMacro1</definedName>
    <definedName name="LL">#N/A</definedName>
    <definedName name="LL0">#REF!</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FE">#N/A</definedName>
    <definedName name="LLFO">#REF!</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kllkk" hidden="1">{#N/A,#N/A,FALSE,"BS";#N/A,#N/A,FALSE,"PL";#N/A,#N/A,FALSE,"처분";#N/A,#N/A,FALSE,"현금";#N/A,#N/A,FALSE,"매출";#N/A,#N/A,FALSE,"원가";#N/A,#N/A,FALSE,"경영"}</definedName>
    <definedName name="LLL" hidden="1">{#N/A,#N/A,FALSE,"Sheet6"}</definedName>
    <definedName name="lllkkk">#REF!</definedName>
    <definedName name="LLLL">#REF!</definedName>
    <definedName name="LLLLL" hidden="1">#REF!</definedName>
    <definedName name="LLLLLL">#REF!</definedName>
    <definedName name="lllllll">#REF!</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M">#REF!</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m">#REF!</definedName>
    <definedName name="lmkik" hidden="1">{#N/A,#N/A,FALSE,"BS";#N/A,#N/A,FALSE,"PL";#N/A,#N/A,FALSE,"처분";#N/A,#N/A,FALSE,"현금";#N/A,#N/A,FALSE,"매출";#N/A,#N/A,FALSE,"원가";#N/A,#N/A,FALSE,"경영"}</definedName>
    <definedName name="lmmm" hidden="1">{#N/A,#N/A,FALSE,"BS";#N/A,#N/A,FALSE,"PL";#N/A,#N/A,FALSE,"처분";#N/A,#N/A,FALSE,"현금";#N/A,#N/A,FALSE,"매출";#N/A,#N/A,FALSE,"원가";#N/A,#N/A,FALSE,"경영"}</definedName>
    <definedName name="lmmmm" hidden="1">{#N/A,#N/A,FALSE,"BS";#N/A,#N/A,FALSE,"PL";#N/A,#N/A,FALSE,"처분";#N/A,#N/A,FALSE,"현금";#N/A,#N/A,FALSE,"매출";#N/A,#N/A,FALSE,"원가";#N/A,#N/A,FALSE,"경영"}</definedName>
    <definedName name="LMO">#REF!</definedName>
    <definedName name="lmpo">#REF!</definedName>
    <definedName name="LNG_SYSTEM">#REF!</definedName>
    <definedName name="lnl">#REF!</definedName>
    <definedName name="lns">#REF!</definedName>
    <definedName name="LOANRATE">#REF!</definedName>
    <definedName name="LOANTO">#REF!</definedName>
    <definedName name="LOB_09" hidden="1">{#N/A,#N/A,FALSE,"사업총괄";#N/A,#N/A,FALSE,"장비사업";#N/A,#N/A,FALSE,"철구사업";#N/A,#N/A,FALSE,"준설사업"}</definedName>
    <definedName name="LONG">#REF!</definedName>
    <definedName name="LOOK1">#REF!</definedName>
    <definedName name="LOOK10">#REF!</definedName>
    <definedName name="LOOK11">#REF!</definedName>
    <definedName name="LOOK12">#REF!</definedName>
    <definedName name="LOOK13">#N/A</definedName>
    <definedName name="LOOK14">#REF!</definedName>
    <definedName name="LOOK15">#REF!</definedName>
    <definedName name="LOOK16">#REF!</definedName>
    <definedName name="LOOK17">#REF!</definedName>
    <definedName name="LOOK18">#REF!</definedName>
    <definedName name="LOOK19">#REF!</definedName>
    <definedName name="LOOK2">#REF!</definedName>
    <definedName name="LOOK20">#REF!</definedName>
    <definedName name="LOOK21">#REF!</definedName>
    <definedName name="LOOK22">#REF!</definedName>
    <definedName name="LOOK23">#REF!</definedName>
    <definedName name="LOOK24">#REF!</definedName>
    <definedName name="LOOK25">#REF!</definedName>
    <definedName name="LOOK26">#REF!</definedName>
    <definedName name="LOOK27">#REF!</definedName>
    <definedName name="LOOK28">#REF!</definedName>
    <definedName name="LOOK29">#REF!</definedName>
    <definedName name="LOOK3">#REF!</definedName>
    <definedName name="LOOK30">#REF!</definedName>
    <definedName name="LOOK4">#REF!</definedName>
    <definedName name="LOOK5">#REF!</definedName>
    <definedName name="LOOK6">#REF!</definedName>
    <definedName name="LOOK6_1">#REF!</definedName>
    <definedName name="LOOK7">#REF!</definedName>
    <definedName name="LOOK8">#REF!</definedName>
    <definedName name="LOOK9">#REF!</definedName>
    <definedName name="loooo" hidden="1">{#N/A,#N/A,FALSE,"BS";#N/A,#N/A,FALSE,"PL";#N/A,#N/A,FALSE,"처분";#N/A,#N/A,FALSE,"현금";#N/A,#N/A,FALSE,"매출";#N/A,#N/A,FALSE,"원가";#N/A,#N/A,FALSE,"경영"}</definedName>
    <definedName name="LOOP">#REF!</definedName>
    <definedName name="LOOP1">#REF!</definedName>
    <definedName name="LOOP11">#REF!</definedName>
    <definedName name="LOOP2">#REF!</definedName>
    <definedName name="LOOP22">#REF!</definedName>
    <definedName name="LOOP3">#REF!</definedName>
    <definedName name="LOOP33">#REF!</definedName>
    <definedName name="LOOP4">#REF!</definedName>
    <definedName name="LOOP5">#REF!</definedName>
    <definedName name="LOOP7">#REF!</definedName>
    <definedName name="lop">#REF!</definedName>
    <definedName name="LP___4">#N/A</definedName>
    <definedName name="LP1A">#REF!</definedName>
    <definedName name="LP1B">#REF!</definedName>
    <definedName name="LP3A">#REF!</definedName>
    <definedName name="LPB">#REF!</definedName>
    <definedName name="LPBA">#REF!</definedName>
    <definedName name="LPG">#REF!</definedName>
    <definedName name="LPGSOCKET">#REF!</definedName>
    <definedName name="LPI">#REF!</definedName>
    <definedName name="LPKA">#REF!</definedName>
    <definedName name="LPKB">#REF!</definedName>
    <definedName name="LPM">#REF!</definedName>
    <definedName name="LPMA">#REF!</definedName>
    <definedName name="lpo">#REF!</definedName>
    <definedName name="LPOA">#REF!</definedName>
    <definedName name="LPRIC">#N/A</definedName>
    <definedName name="lq" localSheetId="0">BlankMacro1</definedName>
    <definedName name="lq">BlankMacro1</definedName>
    <definedName name="LS">#REF!</definedName>
    <definedName name="ls_ea">#REF!</definedName>
    <definedName name="LSA">#REF!</definedName>
    <definedName name="Lsd">#REF!</definedName>
    <definedName name="Lsd_h">#REF!</definedName>
    <definedName name="LSE">#REF!</definedName>
    <definedName name="LSH">#REF!</definedName>
    <definedName name="LSK">#REF!</definedName>
    <definedName name="LST">#REF!</definedName>
    <definedName name="lst_GJ">#REF!</definedName>
    <definedName name="LT">#REF!</definedName>
    <definedName name="LTL">#REF!</definedName>
    <definedName name="LU">#REF!</definedName>
    <definedName name="LUIL"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UP">#REF!</definedName>
    <definedName name="LUX">#REF!</definedName>
    <definedName name="LV">#REF!</definedName>
    <definedName name="LV_">#REF!</definedName>
    <definedName name="LV02A">#REF!</definedName>
    <definedName name="LV02B">#REF!</definedName>
    <definedName name="LV04A">#REF!</definedName>
    <definedName name="LV04B">#REF!</definedName>
    <definedName name="LV25_1">#REF!</definedName>
    <definedName name="LV25_2">#REF!</definedName>
    <definedName name="lw">#REF!</definedName>
    <definedName name="LW25_1">#REF!</definedName>
    <definedName name="LW25_2">#REF!</definedName>
    <definedName name="lwe">#REF!</definedName>
    <definedName name="lweth">#REF!</definedName>
    <definedName name="lwithlw">#REF!</definedName>
    <definedName name="LWSALES">#REF!</definedName>
    <definedName name="LY" hidden="1">#REF!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A_L_G_A">#N/A</definedName>
    <definedName name="M_EF">#REF!</definedName>
    <definedName name="m_errchk">#REF!</definedName>
    <definedName name="M_L_N_G">#N/A</definedName>
    <definedName name="M_P_D_P">#N/A</definedName>
    <definedName name="M_pl1">#REF!</definedName>
    <definedName name="M.M" hidden="1">#REF!</definedName>
    <definedName name="M1_">#N/A</definedName>
    <definedName name="M1.더하기">#REF!</definedName>
    <definedName name="M1.빼기">#REF!</definedName>
    <definedName name="M1A1P">#REF!</definedName>
    <definedName name="m1a1t">#REF!</definedName>
    <definedName name="m1a2p">#REF!</definedName>
    <definedName name="m1a2t">#REF!</definedName>
    <definedName name="M2_">#N/A</definedName>
    <definedName name="M2A1P">#REF!</definedName>
    <definedName name="m2a1t">#REF!</definedName>
    <definedName name="m2a2p">#REF!</definedName>
    <definedName name="m2a2t">#REF!</definedName>
    <definedName name="M3A1P">#REF!</definedName>
    <definedName name="m3a1t">#REF!</definedName>
    <definedName name="m3a2p">#REF!</definedName>
    <definedName name="m3a2t">#REF!</definedName>
    <definedName name="M4A1P">#REF!</definedName>
    <definedName name="m4a1t">#REF!</definedName>
    <definedName name="m4a2p">#REF!</definedName>
    <definedName name="m4a2t">#REF!</definedName>
    <definedName name="M당무게">#REF!</definedName>
    <definedName name="MA">#REF!</definedName>
    <definedName name="mac">#REF!</definedName>
    <definedName name="Macro1">#REF!</definedName>
    <definedName name="Macro10">#REF!</definedName>
    <definedName name="Macro11">#REF!</definedName>
    <definedName name="macro111">#REF!</definedName>
    <definedName name="Macro12">#REF!</definedName>
    <definedName name="Macro13">#REF!</definedName>
    <definedName name="Macro14">#REF!</definedName>
    <definedName name="macro15">#REF!</definedName>
    <definedName name="Macro2">#REF!</definedName>
    <definedName name="MACRO20">#REF!</definedName>
    <definedName name="Macro3">#REF!</definedName>
    <definedName name="Macro4">#REF!</definedName>
    <definedName name="Macro5">#REF!</definedName>
    <definedName name="Macro6">#REF!</definedName>
    <definedName name="Macro7">#REF!</definedName>
    <definedName name="Macro8">#REF!</definedName>
    <definedName name="Macro9">#REF!</definedName>
    <definedName name="MaH">#REF!</definedName>
    <definedName name="Main">#REF!</definedName>
    <definedName name="MAIN_COM_소계">#REF!</definedName>
    <definedName name="MAINPART">#REF!</definedName>
    <definedName name="maintitle_top">#REF!</definedName>
    <definedName name="MAN" hidden="1">#REF!</definedName>
    <definedName name="MANDAY">#REF!</definedName>
    <definedName name="MANHOU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Mar">#REF!</definedName>
    <definedName name="MARGINPLAN">#REF!</definedName>
    <definedName name="MARGINPROJ">#REF!</definedName>
    <definedName name="markup">#REF!</definedName>
    <definedName name="MAT">#N/A</definedName>
    <definedName name="MAT_NO">#N/A</definedName>
    <definedName name="MAT_SIZE">#N/A</definedName>
    <definedName name="Material">#REF!</definedName>
    <definedName name="MATL">#N/A</definedName>
    <definedName name="MATL_Rate">#REF!</definedName>
    <definedName name="MATRO">#REF!</definedName>
    <definedName name="mattcal20">#REF!</definedName>
    <definedName name="MB.1">#REF!</definedName>
    <definedName name="MB.2">#REF!</definedName>
    <definedName name="MBG" hidden="1">{#N/A,#N/A,FALSE,"전력간선"}</definedName>
    <definedName name="MBK_2분기" hidden="1">{#N/A,#N/A,FALSE,"BS";#N/A,#N/A,FALSE,"PL";#N/A,#N/A,FALSE,"처분";#N/A,#N/A,FALSE,"현금";#N/A,#N/A,FALSE,"매출";#N/A,#N/A,FALSE,"원가";#N/A,#N/A,FALSE,"경영"}</definedName>
    <definedName name="Mc3Span">#REF!</definedName>
    <definedName name="MCB">#REF!</definedName>
    <definedName name="MCCB_2P">#N/A</definedName>
    <definedName name="MCCB_3P">#N/A</definedName>
    <definedName name="MCCB_4P">#N/A</definedName>
    <definedName name="MCCB_AF1">#REF!</definedName>
    <definedName name="MCCB_AF2">#REF!</definedName>
    <definedName name="MCCB_M_G">#N/A</definedName>
    <definedName name="MCCEA">#REF!</definedName>
    <definedName name="MCCEB">#REF!</definedName>
    <definedName name="MCCF">#REF!</definedName>
    <definedName name="MCCN">#REF!</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CP">#REF!</definedName>
    <definedName name="MCCS">#REF!</definedName>
    <definedName name="MCH">#REF!</definedName>
    <definedName name="MCON">#REF!</definedName>
    <definedName name="MD">#REF!</definedName>
    <definedName name="MDA">#REF!</definedName>
    <definedName name="MDE">#REF!</definedName>
    <definedName name="MDU">#REF!</definedName>
    <definedName name="me">#REF!</definedName>
    <definedName name="MEASURE">#REF!</definedName>
    <definedName name="MENU1">#REF!</definedName>
    <definedName name="MENU2">#REF!</definedName>
    <definedName name="METHOD">#REF!</definedName>
    <definedName name="mf">#REF!</definedName>
    <definedName name="mfd">#REF!</definedName>
    <definedName name="MFGNMBVM">#REF!</definedName>
    <definedName name="mghw4y5" hidden="1">{#N/A,#N/A,FALSE,"Sheet1"}</definedName>
    <definedName name="MGJ_diff">#REF!</definedName>
    <definedName name="MGJ_disp">#REF!</definedName>
    <definedName name="MGJtotal">#REF!</definedName>
    <definedName name="MH">#REF!</definedName>
    <definedName name="MH_소수점">#REF!</definedName>
    <definedName name="MHDG" hidden="1">#REF!</definedName>
    <definedName name="MHELP">#REF!</definedName>
    <definedName name="MHGD" hidden="1">#REF!</definedName>
    <definedName name="MHHG">#REF!</definedName>
    <definedName name="MHRS">#REF!</definedName>
    <definedName name="MID">#REF!</definedName>
    <definedName name="MIN.XLS">#REF!</definedName>
    <definedName name="minjio">#REF!</definedName>
    <definedName name="Misc_Matl_Rate">#REF!</definedName>
    <definedName name="mj" hidden="1">{#N/A,#N/A,FALSE,"BS";#N/A,#N/A,FALSE,"PL";#N/A,#N/A,FALSE,"처분";#N/A,#N/A,FALSE,"현금";#N/A,#N/A,FALSE,"매출";#N/A,#N/A,FALSE,"원가";#N/A,#N/A,FALSE,"경영"}</definedName>
    <definedName name="MLA">#REF!</definedName>
    <definedName name="MLE">#REF!</definedName>
    <definedName name="MLR">#REF!</definedName>
    <definedName name="MLSS">#REF!</definedName>
    <definedName name="MLVSS">#REF!</definedName>
    <definedName name="mm" hidden="1">{#N/A,#N/A,TRUE,"토적및재료집계";#N/A,#N/A,TRUE,"토적및재료집계";#N/A,#N/A,TRUE,"단위량"}</definedName>
    <definedName name="MM_Korean">#REF!</definedName>
    <definedName name="MM_Local.Reg">#REF!</definedName>
    <definedName name="MM_Third.Nation">#REF!</definedName>
    <definedName name="MMD">#N/A</definedName>
    <definedName name="MMH">#REF!</definedName>
    <definedName name="MMJN">#REF!</definedName>
    <definedName name="MMK">#REF!</definedName>
    <definedName name="mml">#REF!</definedName>
    <definedName name="mmm" hidden="1">#REF!</definedName>
    <definedName name="mmmjgtt" hidden="1">{#N/A,#N/A,FALSE,"현장 NCR 분석";#N/A,#N/A,FALSE,"현장품질감사";#N/A,#N/A,FALSE,"현장품질감사"}</definedName>
    <definedName name="mmmjgtt_1" hidden="1">{#N/A,#N/A,FALSE,"현장 NCR 분석";#N/A,#N/A,FALSE,"현장품질감사";#N/A,#N/A,FALSE,"현장품질감사"}</definedName>
    <definedName name="mmmm">#N/A</definedName>
    <definedName name="mmmmm" hidden="1">{#N/A,#N/A,FALSE,"CCTV"}</definedName>
    <definedName name="MMN">#REF!</definedName>
    <definedName name="mms.ss" hidden="1">{#N/A,#N/A,TRUE,"토적및재료집계";#N/A,#N/A,TRUE,"토적및재료집계";#N/A,#N/A,TRUE,"단위량"}</definedName>
    <definedName name="MMX">#REF!</definedName>
    <definedName name="MN">#REF!</definedName>
    <definedName name="MNB" hidden="1">{#N/A,#N/A,FALSE,"2~8번"}</definedName>
    <definedName name="MNH">#REF!</definedName>
    <definedName name="MNHL">#REF!</definedName>
    <definedName name="MO_DES">#N/A</definedName>
    <definedName name="MO_NO">#N/A</definedName>
    <definedName name="MODEL">#N/A</definedName>
    <definedName name="MODEL_NO">#N/A</definedName>
    <definedName name="MODEL명">#N/A</definedName>
    <definedName name="MODES">#N/A</definedName>
    <definedName name="MODESC">#N/A</definedName>
    <definedName name="Module1.매크로4">#REF!</definedName>
    <definedName name="Module1.매크로5">#REF!</definedName>
    <definedName name="Module1.매크로6">#REF!</definedName>
    <definedName name="Module1.매크로7">#REF!</definedName>
    <definedName name="Module4.Macro3">#N/A</definedName>
    <definedName name="Module6.Macro4">#N/A</definedName>
    <definedName name="MOITEM">#N/A</definedName>
    <definedName name="MOK_DO_GONG">#REF!</definedName>
    <definedName name="MOK_GONG">#REF!</definedName>
    <definedName name="MOM">#REF!</definedName>
    <definedName name="MONEY">#REF!,#REF!</definedName>
    <definedName name="monitor">#REF!</definedName>
    <definedName name="MONITORPNT">#REF!</definedName>
    <definedName name="MONO">#N/A</definedName>
    <definedName name="MOR10L">#REF!</definedName>
    <definedName name="MOR10R">#REF!</definedName>
    <definedName name="MOR3L">#REF!</definedName>
    <definedName name="MOR3R">#REF!</definedName>
    <definedName name="MOR4L">#REF!</definedName>
    <definedName name="MOR4R">#REF!</definedName>
    <definedName name="MOR5L">#REF!</definedName>
    <definedName name="MOR5R">#REF!</definedName>
    <definedName name="MOR6L">#REF!</definedName>
    <definedName name="MOR6R">#REF!</definedName>
    <definedName name="MOR7L">#REF!</definedName>
    <definedName name="MOR7R">#REF!</definedName>
    <definedName name="MOR8L">#REF!</definedName>
    <definedName name="MOR8R">#REF!</definedName>
    <definedName name="MOR9L">#REF!</definedName>
    <definedName name="MOR9R">#REF!</definedName>
    <definedName name="MOTER_1">#REF!</definedName>
    <definedName name="MOTER_3">#REF!</definedName>
    <definedName name="MOTH">#REF!</definedName>
    <definedName name="MOTOR">#REF!</definedName>
    <definedName name="MOTOR__농형_전폐">#REF!</definedName>
    <definedName name="MOUNT">#REF!</definedName>
    <definedName name="moyt">#REF!</definedName>
    <definedName name="MP" hidden="1">{#N/A,#N/A,FALSE,"CCTV"}</definedName>
    <definedName name="MPRIC">#N/A</definedName>
    <definedName name="MR">#REF!</definedName>
    <definedName name="mrate">#REF!</definedName>
    <definedName name="MS">#REF!</definedName>
    <definedName name="msgbox_1" hidden="1">#N/A</definedName>
    <definedName name="MST_CHK">#N/A</definedName>
    <definedName name="MST_CHK1">#N/A</definedName>
    <definedName name="MST_CHK2">#N/A</definedName>
    <definedName name="MST_CODE">#N/A</definedName>
    <definedName name="MST_CST">#N/A</definedName>
    <definedName name="MST_EXPEN">#N/A</definedName>
    <definedName name="MST_GONG">#N/A</definedName>
    <definedName name="MST_KEY">#N/A</definedName>
    <definedName name="MST_LABOR">#N/A</definedName>
    <definedName name="MST_NAME">#N/A</definedName>
    <definedName name="MST_QUAN">#N/A</definedName>
    <definedName name="MST_REMAK">#N/A</definedName>
    <definedName name="MST_SCODE1">#N/A</definedName>
    <definedName name="MST_SCODE2">#N/A</definedName>
    <definedName name="MST_SCODE3">#N/A</definedName>
    <definedName name="MST_SCST">#N/A</definedName>
    <definedName name="MST_SEQ">#N/A</definedName>
    <definedName name="MST_SEQ_1">#N/A</definedName>
    <definedName name="MST_SEXPEN">#N/A</definedName>
    <definedName name="MST_SIGN">#N/A</definedName>
    <definedName name="MST_SLABOR">#N/A</definedName>
    <definedName name="MST_SPER1">#N/A</definedName>
    <definedName name="MST_SPER2">#N/A</definedName>
    <definedName name="MST_SPER3">#N/A</definedName>
    <definedName name="MST_SQUAN">#N/A</definedName>
    <definedName name="MST_STAD">#N/A</definedName>
    <definedName name="MST_UNIT">#N/A</definedName>
    <definedName name="MT">#REF!</definedName>
    <definedName name="MTL">#N/A</definedName>
    <definedName name="Mu">#REF!</definedName>
    <definedName name="mu565u3">#REF!</definedName>
    <definedName name="mug" hidden="1">{#N/A,#N/A,FALSE,"단가표지"}</definedName>
    <definedName name="MUO_REA">#REF!</definedName>
    <definedName name="MUO_TOE">#REF!</definedName>
    <definedName name="MUP">#REF!</definedName>
    <definedName name="musu">#REF!</definedName>
    <definedName name="MV">#REF!</definedName>
    <definedName name="MYB.1">#REF!</definedName>
    <definedName name="MYB.2">#REF!</definedName>
    <definedName name="MYCAP">#REF!</definedName>
    <definedName name="MYH">#REF!</definedName>
    <definedName name="MYLOAN">#REF!</definedName>
    <definedName name="myRange1">#REF!</definedName>
    <definedName name="myRange2">#REF!</definedName>
    <definedName name="myRange3">#REF!</definedName>
    <definedName name="myRange4">#REF!</definedName>
    <definedName name="MYRATE">#REF!</definedName>
    <definedName name="MYTO">#REF!</definedName>
    <definedName name="myukyujmuy" hidden="1">{#N/A,#N/A,FALSE,"Sheet1"}</definedName>
    <definedName name="N">#REF!</definedName>
    <definedName name="n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_C">#REF!</definedName>
    <definedName name="N_D">#REF!</definedName>
    <definedName name="N_Q">#REF!</definedName>
    <definedName name="N_R">#REF!</definedName>
    <definedName name="n_x">#REF!</definedName>
    <definedName name="n_x1">#REF!</definedName>
    <definedName name="n_y">#REF!</definedName>
    <definedName name="n_y1">#REF!</definedName>
    <definedName name="N1A">#REF!</definedName>
    <definedName name="N1D">#REF!</definedName>
    <definedName name="N1S">#REF!</definedName>
    <definedName name="N2S">#REF!</definedName>
    <definedName name="N3S">#REF!</definedName>
    <definedName name="n이">#REF!</definedName>
    <definedName name="n이_1">#REF!</definedName>
    <definedName name="n이_2">#REF!</definedName>
    <definedName name="n일">#REF!</definedName>
    <definedName name="N치">#REF!</definedName>
    <definedName name="n치강파2" hidden="1">{#N/A,#N/A,FALSE,"현장 NCR 분석";#N/A,#N/A,FALSE,"현장품질감사";#N/A,#N/A,FALSE,"현장품질감사"}</definedName>
    <definedName name="NA">#REF!</definedName>
    <definedName name="NAE">#REF!</definedName>
    <definedName name="NAK">#N/A</definedName>
    <definedName name="Name">#REF!</definedName>
    <definedName name="name_one" hidden="1">#REF!</definedName>
    <definedName name="name_three" hidden="1">#REF!</definedName>
    <definedName name="name_two" hidden="1">#REF!</definedName>
    <definedName name="NAP">#REF!</definedName>
    <definedName name="NATION">#REF!</definedName>
    <definedName name="NB" hidden="1">{#N/A,#N/A,FALSE,"운반시간"}</definedName>
    <definedName name="NBBV">#REF!</definedName>
    <definedName name="NBC">#REF!,#REF!,#REF!</definedName>
    <definedName name="NBDFF">#REF!,#REF!</definedName>
    <definedName name="nbgettwrwh">#N/A</definedName>
    <definedName name="nbv">#REF!</definedName>
    <definedName name="NC">#REF!</definedName>
    <definedName name="Nca">#REF!</definedName>
    <definedName name="Ncd">#REF!</definedName>
    <definedName name="ND">#REF!</definedName>
    <definedName name="ndhg">#REF!</definedName>
    <definedName name="NDO">#REF!</definedName>
    <definedName name="NE">#REF!</definedName>
    <definedName name="needle">#REF!</definedName>
    <definedName name="nege">#REF!</definedName>
    <definedName name="nego" localSheetId="0">BlankMacro1</definedName>
    <definedName name="nego">BlankMacro1</definedName>
    <definedName name="nego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twark" hidden="1">{#N/A,#N/A,FALSE,"골재소요량";#N/A,#N/A,FALSE,"골재소요량"}</definedName>
    <definedName name="NEW">#REF!</definedName>
    <definedName name="NEWGONG">#REF!</definedName>
    <definedName name="NEWNAME" hidden="1">{#N/A,#N/A,FALSE,"CCTV"}</definedName>
    <definedName name="NEWNAME_1" hidden="1">{#N/A,#N/A,FALSE,"CCTV"}</definedName>
    <definedName name="NEWTONG">#N/A</definedName>
    <definedName name="NEXT">#REF!</definedName>
    <definedName name="NEXT1">#REF!</definedName>
    <definedName name="NEXT2">#REF!</definedName>
    <definedName name="NFB">#REF!</definedName>
    <definedName name="NGDFS" hidden="1">#REF!</definedName>
    <definedName name="NGDSF" hidden="1">#REF!</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dfgretqre" hidden="1">#REF!</definedName>
    <definedName name="NGFHFGER45" hidden="1">{#N/A,#N/A,FALSE,"Sheet1"}</definedName>
    <definedName name="NGHNGHDSF">#N/A</definedName>
    <definedName name="NGS" hidden="1">#REF!</definedName>
    <definedName name="NGTS" hidden="1">#REF!</definedName>
    <definedName name="NH3N">#REF!</definedName>
    <definedName name="NH4N">#REF!</definedName>
    <definedName name="NHGF">#REF!</definedName>
    <definedName name="NHL">#REF!</definedName>
    <definedName name="NHM">#REF!</definedName>
    <definedName name="nhy" hidden="1">{#N/A,#N/A,FALSE,"BS";#N/A,#N/A,FALSE,"PL";#N/A,#N/A,FALSE,"처분";#N/A,#N/A,FALSE,"현금";#N/A,#N/A,FALSE,"매출";#N/A,#N/A,FALSE,"원가";#N/A,#N/A,FALSE,"경영"}</definedName>
    <definedName name="NI">#REF!</definedName>
    <definedName name="NIPP">#REF!</definedName>
    <definedName name="niubg">#REF!</definedName>
    <definedName name="NJHT">#REF!,#REF!</definedName>
    <definedName name="njj">#REF!</definedName>
    <definedName name="nkknk" hidden="1">{#N/A,#N/A,FALSE,"CCTV"}</definedName>
    <definedName name="NL">#REF!</definedName>
    <definedName name="NLG">#REF!,#REF!</definedName>
    <definedName name="NM" hidden="1">{#N/A,#N/A,FALSE,"전력간선"}</definedName>
    <definedName name="nmb">#REF!</definedName>
    <definedName name="NMFGNMGHG" hidden="1">{#N/A,#N/A,FALSE,"Sheet1"}</definedName>
    <definedName name="NMJ">#REF!</definedName>
    <definedName name="NN">#REF!</definedName>
    <definedName name="NNA">#REF!</definedName>
    <definedName name="NNC">#REF!</definedName>
    <definedName name="NND">#REF!</definedName>
    <definedName name="NNF">#REF!</definedName>
    <definedName name="NNG">#REF!</definedName>
    <definedName name="nnj">#REF!</definedName>
    <definedName name="nnk">#REF!</definedName>
    <definedName name="nnm">#REF!</definedName>
    <definedName name="NNN">#REF!</definedName>
    <definedName name="NNNN">#REF!</definedName>
    <definedName name="nnnnn" hidden="1">{#N/A,#N/A,FALSE,"조골재"}</definedName>
    <definedName name="NNNNNN">#REF!</definedName>
    <definedName name="NO">#N/A</definedName>
    <definedName name="No_Actr">#REF!</definedName>
    <definedName name="No.">#REF!</definedName>
    <definedName name="NO2N">#REF!</definedName>
    <definedName name="NO3eq">#REF!</definedName>
    <definedName name="NO3N">#REF!</definedName>
    <definedName name="nogo">#REF!</definedName>
    <definedName name="NOIM">#REF!</definedName>
    <definedName name="NOMOO">#N/A</definedName>
    <definedName name="NOMU">#REF!</definedName>
    <definedName name="NOMUBY">#REF!</definedName>
    <definedName name="NON">#REF!</definedName>
    <definedName name="NOON">#REF!</definedName>
    <definedName name="NOR">#REF!</definedName>
    <definedName name="NOT">#REF!</definedName>
    <definedName name="NOTCH">#REF!</definedName>
    <definedName name="now_ef">#REF!</definedName>
    <definedName name="now_iv">#REF!</definedName>
    <definedName name="Nox">#REF!</definedName>
    <definedName name="NPI">#REF!</definedName>
    <definedName name="NS">#REF!</definedName>
    <definedName name="NSA">#REF!</definedName>
    <definedName name="NSC">#REF!</definedName>
    <definedName name="NSD">#REF!</definedName>
    <definedName name="NSE">#REF!</definedName>
    <definedName name="NSH">#REF!</definedName>
    <definedName name="NSO">#REF!</definedName>
    <definedName name="NSP">#REF!</definedName>
    <definedName name="NST">#REF!</definedName>
    <definedName name="NSV">#REF!</definedName>
    <definedName name="NT">#REF!</definedName>
    <definedName name="nth">#REF!</definedName>
    <definedName name="ntl">#REF!</definedName>
    <definedName name="NTON">#REF!</definedName>
    <definedName name="NTT">#REF!</definedName>
    <definedName name="ntyu" hidden="1">{#N/A,#N/A,FALSE,"혼합골재"}</definedName>
    <definedName name="NUMBER">#REF!</definedName>
    <definedName name="NVBC" hidden="1">{#N/A,#N/A,FALSE,"배수2"}</definedName>
    <definedName name="Nx">#REF!</definedName>
    <definedName name="NYDATA">#REF!</definedName>
    <definedName name="nyn">#REF!</definedName>
    <definedName name="O">#REF!</definedName>
    <definedName name="o_m">#REF!</definedName>
    <definedName name="ocf" hidden="1">#REF!</definedName>
    <definedName name="ODD">#REF!,#REF!,#REF!,#REF!,#REF!,#REF!,#REF!,#REF!,#REF!,#REF!,#REF!,#REF!,#REF!,#REF!,#REF!,#REF!,#REF!,#REF!</definedName>
    <definedName name="ODH" hidden="1">#REF!</definedName>
    <definedName name="oe">#REF!</definedName>
    <definedName name="oewfjoifsiosfd" hidden="1">{#N/A,#N/A,FALSE,"Sheet1"}</definedName>
    <definedName name="of">#REF!</definedName>
    <definedName name="OFSAFO" hidden="1">{#N/A,#N/A,FALSE,"CCTV"}</definedName>
    <definedName name="OH" hidden="1">{#N/A,#N/A,FALSE,"명세표"}</definedName>
    <definedName name="OHH" hidden="1">{#N/A,#N/A,FALSE,"명세표"}</definedName>
    <definedName name="oi" hidden="1">{#N/A,#N/A,FALSE,"CCTV"}</definedName>
    <definedName name="oi8uip" hidden="1">{#N/A,#N/A,FALSE,"이정표"}</definedName>
    <definedName name="oifjowiearjloe" hidden="1">{#N/A,#N/A,FALSE,"Sheet1"}</definedName>
    <definedName name="OIL" hidden="1">{"'용역비'!$A$4:$C$8"}</definedName>
    <definedName name="oililui" hidden="1">{#N/A,#N/A,FALSE,"CCTV"}</definedName>
    <definedName name="OIOK">#REF!</definedName>
    <definedName name="OIOPIPOPOPPOIPOOOIP">#REF!</definedName>
    <definedName name="OIU">#REF!</definedName>
    <definedName name="oiuhkl" hidden="1">{#N/A,#N/A,FALSE,"BS";#N/A,#N/A,FALSE,"PL";#N/A,#N/A,FALSE,"처분";#N/A,#N/A,FALSE,"현금";#N/A,#N/A,FALSE,"매출";#N/A,#N/A,FALSE,"원가";#N/A,#N/A,FALSE,"경영"}</definedName>
    <definedName name="oiuyo" hidden="1">{#N/A,#N/A,FALSE,"부대1"}</definedName>
    <definedName name="oiwqrojfdsfsd" hidden="1">{#N/A,#N/A,FALSE,"Sheet1"}</definedName>
    <definedName name="oiy" hidden="1">{#N/A,#N/A,FALSE,"포장2"}</definedName>
    <definedName name="ojjmjk" hidden="1">{#N/A,#N/A,FALSE,"배수1"}</definedName>
    <definedName name="OK" hidden="1">#REF!</definedName>
    <definedName name="OL" hidden="1">{#N/A,#N/A,FALSE,"포장2"}</definedName>
    <definedName name="old예산" hidden="1">{#N/A,#N/A,TRUE,"손익보고"}</definedName>
    <definedName name="ollkj" hidden="1">{#N/A,#N/A,FALSE,"BS";#N/A,#N/A,FALSE,"PL";#N/A,#N/A,FALSE,"처분";#N/A,#N/A,FALSE,"현금";#N/A,#N/A,FALSE,"매출";#N/A,#N/A,FALSE,"원가";#N/A,#N/A,FALSE,"경영"}</definedName>
    <definedName name="om">#REF!</definedName>
    <definedName name="ONP" hidden="1">#REF!</definedName>
    <definedName name="OO">#N/A</definedName>
    <definedName name="OOO">#REF!</definedName>
    <definedName name="OOO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o">#REF!</definedName>
    <definedName name="ooooo">#REF!</definedName>
    <definedName name="OOOOOO">#N/A</definedName>
    <definedName name="ooooooo">#REF!</definedName>
    <definedName name="OP" hidden="1">#REF!</definedName>
    <definedName name="OPC">#REF!</definedName>
    <definedName name="OPIU" localSheetId="0">BlankMacro1</definedName>
    <definedName name="OPIU">BlankMacro1</definedName>
    <definedName name="OPL">#REF!</definedName>
    <definedName name="opo" hidden="1">{#N/A,#N/A,FALSE,"지침";#N/A,#N/A,FALSE,"환경분석";#N/A,#N/A,FALSE,"Sheet16"}</definedName>
    <definedName name="OPOIY">#REF!</definedName>
    <definedName name="OPOP" localSheetId="0">BlankMacro1</definedName>
    <definedName name="OPOP">BlankMacro1</definedName>
    <definedName name="opopop" hidden="1">#REF!</definedName>
    <definedName name="OPP" hidden="1">#REF!</definedName>
    <definedName name="OPPP" hidden="1">#REF!</definedName>
    <definedName name="OPR" hidden="1">#N/A</definedName>
    <definedName name="OPTION">#REF!</definedName>
    <definedName name="oq" hidden="1">{#N/A,#N/A,FALSE,"이정표"}</definedName>
    <definedName name="ORDER1" hidden="1">255</definedName>
    <definedName name="order2" hidden="1">0</definedName>
    <definedName name="order2_1">0</definedName>
    <definedName name="ORI">#REF!</definedName>
    <definedName name="os" hidden="1">{#N/A,#N/A,FALSE,"TABLE"}</definedName>
    <definedName name="OSBL" hidden="1">{#N/A,#N/A,FALSE,"CCTV"}</definedName>
    <definedName name="ouio" hidden="1">{#N/A,#N/A,FALSE,"부대2"}</definedName>
    <definedName name="OUT">#REF!</definedName>
    <definedName name="Out_of_Scope">#REF!</definedName>
    <definedName name="OUY">#N/A</definedName>
    <definedName name="overhau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w">#REF!</definedName>
    <definedName name="owethwhe">#REF!</definedName>
    <definedName name="P">#REF!</definedName>
    <definedName name="P_A">#REF!</definedName>
    <definedName name="P_D">#REF!</definedName>
    <definedName name="P_E">#REF!</definedName>
    <definedName name="p_m">#REF!</definedName>
    <definedName name="P.D_BOX_카바">#REF!</definedName>
    <definedName name="P.R.D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S.C.BEAM">#REF!</definedName>
    <definedName name="P00">#REF!</definedName>
    <definedName name="P01_">#REF!</definedName>
    <definedName name="P1_">#N/A</definedName>
    <definedName name="P10_">#N/A</definedName>
    <definedName name="p10pile">#REF!</definedName>
    <definedName name="P10TL">#REF!</definedName>
    <definedName name="P10TR">#REF!</definedName>
    <definedName name="P11_">#N/A</definedName>
    <definedName name="p11pile">#REF!</definedName>
    <definedName name="P12_">#N/A</definedName>
    <definedName name="p12pile">#REF!</definedName>
    <definedName name="P13_">#N/A</definedName>
    <definedName name="p13pile">#REF!</definedName>
    <definedName name="P14_">#N/A</definedName>
    <definedName name="p14pile">#REF!</definedName>
    <definedName name="P15_">#N/A</definedName>
    <definedName name="p15pile">#REF!</definedName>
    <definedName name="P16_">#N/A</definedName>
    <definedName name="P1693a3">#N/A</definedName>
    <definedName name="p16pile">#REF!</definedName>
    <definedName name="P17_">#N/A</definedName>
    <definedName name="p17pile">#REF!</definedName>
    <definedName name="P1H1">#REF!</definedName>
    <definedName name="p1pile">#REF!</definedName>
    <definedName name="P2_">#N/A</definedName>
    <definedName name="p2pile">#REF!</definedName>
    <definedName name="P3_">#N/A</definedName>
    <definedName name="P33A">"Picture 2"</definedName>
    <definedName name="p3pile">#REF!</definedName>
    <definedName name="P3TL">#REF!</definedName>
    <definedName name="P3TR">#REF!</definedName>
    <definedName name="P4_">#N/A</definedName>
    <definedName name="p4pile">#REF!</definedName>
    <definedName name="P4R2_2수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4TL">#REF!</definedName>
    <definedName name="P4TR">#REF!</definedName>
    <definedName name="P5_">#N/A</definedName>
    <definedName name="p5pile">#REF!</definedName>
    <definedName name="P5TL">#REF!</definedName>
    <definedName name="P5TR">#REF!</definedName>
    <definedName name="P6_">#N/A</definedName>
    <definedName name="p6pile">#REF!</definedName>
    <definedName name="P6TL">#REF!</definedName>
    <definedName name="P6TR">#REF!</definedName>
    <definedName name="P7_">#N/A</definedName>
    <definedName name="p7pile">#REF!</definedName>
    <definedName name="P7TL">#REF!</definedName>
    <definedName name="P7TR">#REF!</definedName>
    <definedName name="P8_">#N/A</definedName>
    <definedName name="p8pile">#REF!</definedName>
    <definedName name="P8TL">#REF!</definedName>
    <definedName name="P8TR">#REF!</definedName>
    <definedName name="P9_">#N/A</definedName>
    <definedName name="p9pile">#REF!</definedName>
    <definedName name="P9TL">#REF!</definedName>
    <definedName name="P9TR">#REF!</definedName>
    <definedName name="PA">#REF!</definedName>
    <definedName name="pa삼">#REF!</definedName>
    <definedName name="Pa오">#REF!</definedName>
    <definedName name="PAC">#N/A</definedName>
    <definedName name="PACB">#N/A</definedName>
    <definedName name="PACC">#N/A</definedName>
    <definedName name="PACD">#N/A</definedName>
    <definedName name="Packed">#REF!</definedName>
    <definedName name="Pad_1">#REF!</definedName>
    <definedName name="PAGE">#N/A</definedName>
    <definedName name="PAGE____9__OF__18">#REF!</definedName>
    <definedName name="PAGE1">#REF!</definedName>
    <definedName name="PAGE11">#N/A</definedName>
    <definedName name="PAGE12">#N/A</definedName>
    <definedName name="PAGE2">#N/A</definedName>
    <definedName name="PAGE21">#N/A</definedName>
    <definedName name="PAGE22">#N/A</definedName>
    <definedName name="PAGE3">#N/A</definedName>
    <definedName name="PAGE31">#N/A</definedName>
    <definedName name="PAGE32">#N/A</definedName>
    <definedName name="PAGE41">#N/A</definedName>
    <definedName name="PAGE42">#N/A</definedName>
    <definedName name="pai">#REF!</definedName>
    <definedName name="PANEL">#REF!</definedName>
    <definedName name="panel1">#REF!</definedName>
    <definedName name="PAR">#REF!</definedName>
    <definedName name="PARCA">#N/A</definedName>
    <definedName name="PART">#REF!</definedName>
    <definedName name="PART_NO">#N/A</definedName>
    <definedName name="PARTS">#REF!</definedName>
    <definedName name="PAS">#REF!</definedName>
    <definedName name="PASS">#REF!</definedName>
    <definedName name="pass_x">#REF!</definedName>
    <definedName name="pass_x2">#REF!</definedName>
    <definedName name="pass_x3">#REF!</definedName>
    <definedName name="pass_x4">#REF!</definedName>
    <definedName name="pastcod_blk">#REF!</definedName>
    <definedName name="pastcod_pnt">#REF!</definedName>
    <definedName name="PASY">#REF!</definedName>
    <definedName name="path">"Edit Box 5"</definedName>
    <definedName name="PAV">#REF!</definedName>
    <definedName name="PAVE">#REF!</definedName>
    <definedName name="PB">#REF!</definedName>
    <definedName name="PBB">#REF!</definedName>
    <definedName name="PBR">#REF!</definedName>
    <definedName name="PBS">#REF!</definedName>
    <definedName name="PC">#REF!</definedName>
    <definedName name="PC_Pile">#REF!</definedName>
    <definedName name="PC관기초DATA">#REF!</definedName>
    <definedName name="PC대수">#REF!</definedName>
    <definedName name="PCL">#N/A</definedName>
    <definedName name="PCN">#REF!</definedName>
    <definedName name="PCNO">#REF!</definedName>
    <definedName name="PCNO1">#REF!</definedName>
    <definedName name="PCR">#REF!</definedName>
    <definedName name="PCS">#REF!</definedName>
    <definedName name="PD">#REF!</definedName>
    <definedName name="PD_18_23.75_제작설치">#REF!</definedName>
    <definedName name="PD_30_23.75_제작설치">#REF!</definedName>
    <definedName name="PD박스카바노">#REF!</definedName>
    <definedName name="PD점검구관련" hidden="1">{#N/A,#N/A,FALSE,"물량산출"}</definedName>
    <definedName name="PDF">#REF!</definedName>
    <definedName name="PDR">#REF!</definedName>
    <definedName name="PDS">#REF!</definedName>
    <definedName name="PE">#REF!</definedName>
    <definedName name="PE100C">#REF!</definedName>
    <definedName name="PE16C">#REF!</definedName>
    <definedName name="PE22C">#REF!</definedName>
    <definedName name="PE28C">#REF!</definedName>
    <definedName name="PE36C">#REF!</definedName>
    <definedName name="PE42C">#REF!</definedName>
    <definedName name="PE54C">#REF!</definedName>
    <definedName name="PEA">#REF!</definedName>
    <definedName name="PEAK">#N/A</definedName>
    <definedName name="PEE">#REF!</definedName>
    <definedName name="PER">#REF!</definedName>
    <definedName name="PERE">#REF!</definedName>
    <definedName name="Period_Const">#REF!</definedName>
    <definedName name="Period_Excav">#REF!</definedName>
    <definedName name="Period_Struc">#REF!</definedName>
    <definedName name="peroxide" hidden="1">{#N/A,#N/A,FALSE,"CCTV"}</definedName>
    <definedName name="PersonSelectionRange">#REF!</definedName>
    <definedName name="PES">#REF!</definedName>
    <definedName name="PF">#REF!</definedName>
    <definedName name="PFAB">#REF!</definedName>
    <definedName name="PFD">#REF!</definedName>
    <definedName name="PFR">#REF!</definedName>
    <definedName name="PFS">#REF!</definedName>
    <definedName name="PG">#REF!</definedName>
    <definedName name="PG_9_9_제작설치">#REF!</definedName>
    <definedName name="PGASKET">#REF!</definedName>
    <definedName name="PGR">#REF!</definedName>
    <definedName name="PGS">#REF!</definedName>
    <definedName name="PH">#REF!</definedName>
    <definedName name="PI">#REF!</definedName>
    <definedName name="pi_e">#REF!</definedName>
    <definedName name="pi_ea">#REF!</definedName>
    <definedName name="PIB">#REF!</definedName>
    <definedName name="PIBA">#REF!</definedName>
    <definedName name="PibokB">#REF!</definedName>
    <definedName name="piece">#REF!</definedName>
    <definedName name="PierType">#REF!</definedName>
    <definedName name="PILE">#REF!</definedName>
    <definedName name="Pile_cut">#REF!</definedName>
    <definedName name="Pile_Driving">#REF!</definedName>
    <definedName name="pile_s">#REF!</definedName>
    <definedName name="pile길이">#REF!</definedName>
    <definedName name="PILED10L">#REF!</definedName>
    <definedName name="PILED10R">#REF!</definedName>
    <definedName name="PILED3L">#REF!</definedName>
    <definedName name="PILED3R">#REF!</definedName>
    <definedName name="PILED4L">#REF!</definedName>
    <definedName name="PILED4R">#REF!</definedName>
    <definedName name="PILED5L">#REF!</definedName>
    <definedName name="PILED5R">#REF!</definedName>
    <definedName name="PILED6L">#REF!</definedName>
    <definedName name="PILED6R">#REF!</definedName>
    <definedName name="PILED7L">#REF!</definedName>
    <definedName name="PILED7R">#REF!</definedName>
    <definedName name="PILED8L">#REF!</definedName>
    <definedName name="PILED8R">#REF!</definedName>
    <definedName name="PILED9L">#REF!</definedName>
    <definedName name="PILED9R">#REF!</definedName>
    <definedName name="PILET10L">#REF!</definedName>
    <definedName name="PILET10R">#REF!</definedName>
    <definedName name="PILET3L">#REF!</definedName>
    <definedName name="PILET3R">#REF!</definedName>
    <definedName name="PILET4L">#REF!</definedName>
    <definedName name="PILET4R">#REF!</definedName>
    <definedName name="PILET5L">#REF!</definedName>
    <definedName name="PILET5R">#REF!</definedName>
    <definedName name="PILET6L">#REF!</definedName>
    <definedName name="PILET6R">#REF!</definedName>
    <definedName name="PILET7L">#REF!</definedName>
    <definedName name="PILET7R">#REF!</definedName>
    <definedName name="PILET8L">#REF!</definedName>
    <definedName name="PILET8R">#REF!</definedName>
    <definedName name="PILET9L">#REF!</definedName>
    <definedName name="PILET9R">#REF!</definedName>
    <definedName name="PIP">#REF!,#REF!</definedName>
    <definedName name="pipe">#REF!</definedName>
    <definedName name="PIPE_CLAMP">#N/A</definedName>
    <definedName name="PIPE1">#REF!</definedName>
    <definedName name="PIPE2">#REF!</definedName>
    <definedName name="PIPE250">#REF!</definedName>
    <definedName name="PIPE300">#REF!</definedName>
    <definedName name="PIPE350">#REF!</definedName>
    <definedName name="PIPE40">#REF!</definedName>
    <definedName name="piph">#REF!</definedName>
    <definedName name="PIS">#REF!</definedName>
    <definedName name="pit">#REF!</definedName>
    <definedName name="piv">#REF!</definedName>
    <definedName name="PJ">#REF!</definedName>
    <definedName name="PJG">#REF!</definedName>
    <definedName name="pjlij">#REF!</definedName>
    <definedName name="PJT">#N/A</definedName>
    <definedName name="PK">#REF!</definedName>
    <definedName name="PKAAA" hidden="1">#REF!</definedName>
    <definedName name="PKBB" hidden="1">#REF!</definedName>
    <definedName name="PKCC" hidden="1">#REF!</definedName>
    <definedName name="PL">#REF!</definedName>
    <definedName name="PL_10">#REF!</definedName>
    <definedName name="PL_10t">#REF!</definedName>
    <definedName name="Pl_15">#REF!</definedName>
    <definedName name="pl_15t">#REF!</definedName>
    <definedName name="pl_15tc">#REF!</definedName>
    <definedName name="PL_20">#REF!</definedName>
    <definedName name="pl_20t">#REF!</definedName>
    <definedName name="pl_25t">#REF!</definedName>
    <definedName name="PL_5">#REF!</definedName>
    <definedName name="pl_5t">#REF!</definedName>
    <definedName name="pl_5tc">#REF!</definedName>
    <definedName name="PL50T">#REF!</definedName>
    <definedName name="PlanRate">#REF!</definedName>
    <definedName name="PLANT_BAE_GWAN_GONG">#REF!</definedName>
    <definedName name="PLANT_GI_GAE_SUL_CHI_GONG">#REF!</definedName>
    <definedName name="PLANT_JE_GWAN_GONG">#REF!</definedName>
    <definedName name="PLANT_JUN_GONG">#REF!</definedName>
    <definedName name="PLANT_YONG_JUB_GONG">#REF!</definedName>
    <definedName name="PLINT_TITLES">#REF!</definedName>
    <definedName name="plk">#REF!</definedName>
    <definedName name="plmko" hidden="1">{#N/A,#N/A,FALSE,"BS";#N/A,#N/A,FALSE,"PL";#N/A,#N/A,FALSE,"처분";#N/A,#N/A,FALSE,"현금";#N/A,#N/A,FALSE,"매출";#N/A,#N/A,FALSE,"원가";#N/A,#N/A,FALSE,"경영"}</definedName>
    <definedName name="plo">#REF!</definedName>
    <definedName name="PLT">#N/A</definedName>
    <definedName name="PLUG">#REF!</definedName>
    <definedName name="plus" hidden="1">{#N/A,#N/A,FALSE,"Sheet1"}</definedName>
    <definedName name="plus견적서" hidden="1">{#N/A,#N/A,FALSE,"Sheet1"}</definedName>
    <definedName name="PM">#REF!</definedName>
    <definedName name="PMCH">#REF!</definedName>
    <definedName name="PMS_BLK">#REF!</definedName>
    <definedName name="PMS_C_CHK">#REF!</definedName>
    <definedName name="PMS_CB_BLK">#REF!</definedName>
    <definedName name="PMS_CB_PNT">#REF!</definedName>
    <definedName name="PMS_CORD">#REF!</definedName>
    <definedName name="PMS_CORDBOX">#REF!</definedName>
    <definedName name="PMS_GIHO">#REF!</definedName>
    <definedName name="PMS_GJNAME">#REF!</definedName>
    <definedName name="PMS_T_CORD">#REF!</definedName>
    <definedName name="PMS_TSUM">#REF!</definedName>
    <definedName name="PMS_VAR">#REF!</definedName>
    <definedName name="PN">#REF!</definedName>
    <definedName name="PN2건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AME">#N/A</definedName>
    <definedName name="PNLW10">#REF!</definedName>
    <definedName name="PNLW8">#REF!</definedName>
    <definedName name="PO">#REF!</definedName>
    <definedName name="poa1RTRTpoa2RTRT">#REF!</definedName>
    <definedName name="poaaRTRTpobbRTRT">#REF!</definedName>
    <definedName name="poaaRTRTpobbRTRTpoccRTRTpoddRTR">#REF!</definedName>
    <definedName name="POARTM0TB0TB0TB0TB4.8TB55TB200R">#REF!</definedName>
    <definedName name="POARTSQKS15C5LRTRT">#REF!</definedName>
    <definedName name="POI" hidden="1">{#N/A,#N/A,FALSE,"전력간선"}</definedName>
    <definedName name="poilk" hidden="1">{#N/A,#N/A,FALSE,"BS";#N/A,#N/A,FALSE,"PL";#N/A,#N/A,FALSE,"처분";#N/A,#N/A,FALSE,"현금";#N/A,#N/A,FALSE,"매출";#N/A,#N/A,FALSE,"원가";#N/A,#N/A,FALSE,"경영"}</definedName>
    <definedName name="point">#REF!</definedName>
    <definedName name="pojjRTRTpoiiRTRTpohhRTRT">#REF!</definedName>
    <definedName name="pokopfekopfed">#N/A</definedName>
    <definedName name="POL">#REF!</definedName>
    <definedName name="polkiop" hidden="1">{#N/A,#N/A,FALSE,"BS";#N/A,#N/A,FALSE,"PL";#N/A,#N/A,FALSE,"처분";#N/A,#N/A,FALSE,"현금";#N/A,#N/A,FALSE,"매출";#N/A,#N/A,FALSE,"원가";#N/A,#N/A,FALSE,"경영"}</definedName>
    <definedName name="PONO">#N/A</definedName>
    <definedName name="pooll" hidden="1">{#N/A,#N/A,FALSE,"BS";#N/A,#N/A,FALSE,"PL";#N/A,#N/A,FALSE,"처분";#N/A,#N/A,FALSE,"현금";#N/A,#N/A,FALSE,"매출";#N/A,#N/A,FALSE,"원가";#N/A,#N/A,FALSE,"경영"}</definedName>
    <definedName name="POOM">#REF!</definedName>
    <definedName name="poop" hidden="1">{#N/A,#N/A,FALSE,"BS";#N/A,#N/A,FALSE,"PL";#N/A,#N/A,FALSE,"처분";#N/A,#N/A,FALSE,"현금";#N/A,#N/A,FALSE,"매출";#N/A,#N/A,FALSE,"원가";#N/A,#N/A,FALSE,"경영"}</definedName>
    <definedName name="pop" hidden="1">{#N/A,#N/A,FALSE,"BS";#N/A,#N/A,FALSE,"PL";#N/A,#N/A,FALSE,"처분";#N/A,#N/A,FALSE,"현금";#N/A,#N/A,FALSE,"매출";#N/A,#N/A,FALSE,"원가";#N/A,#N/A,FALSE,"경영"}</definedName>
    <definedName name="popo" hidden="1">#REF!</definedName>
    <definedName name="popooo" hidden="1">{#N/A,#N/A,FALSE,"BS";#N/A,#N/A,FALSE,"PL";#N/A,#N/A,FALSE,"처분";#N/A,#N/A,FALSE,"현금";#N/A,#N/A,FALSE,"매출";#N/A,#N/A,FALSE,"원가";#N/A,#N/A,FALSE,"경영"}</definedName>
    <definedName name="popoooop" hidden="1">{#N/A,#N/A,FALSE,"BS";#N/A,#N/A,FALSE,"PL";#N/A,#N/A,FALSE,"처분";#N/A,#N/A,FALSE,"현금";#N/A,#N/A,FALSE,"매출";#N/A,#N/A,FALSE,"원가";#N/A,#N/A,FALSE,"경영"}</definedName>
    <definedName name="popooopp" hidden="1">{#N/A,#N/A,FALSE,"BS";#N/A,#N/A,FALSE,"PL";#N/A,#N/A,FALSE,"처분";#N/A,#N/A,FALSE,"현금";#N/A,#N/A,FALSE,"매출";#N/A,#N/A,FALSE,"원가";#N/A,#N/A,FALSE,"경영"}</definedName>
    <definedName name="popoopp" hidden="1">{#N/A,#N/A,FALSE,"BS";#N/A,#N/A,FALSE,"PL";#N/A,#N/A,FALSE,"처분";#N/A,#N/A,FALSE,"현금";#N/A,#N/A,FALSE,"매출";#N/A,#N/A,FALSE,"원가";#N/A,#N/A,FALSE,"경영"}</definedName>
    <definedName name="popop" hidden="1">{#N/A,#N/A,FALSE,"BS";#N/A,#N/A,FALSE,"PL";#N/A,#N/A,FALSE,"처분";#N/A,#N/A,FALSE,"현금";#N/A,#N/A,FALSE,"매출";#N/A,#N/A,FALSE,"원가";#N/A,#N/A,FALSE,"경영"}</definedName>
    <definedName name="popoppp" hidden="1">{#N/A,#N/A,FALSE,"BS";#N/A,#N/A,FALSE,"PL";#N/A,#N/A,FALSE,"처분";#N/A,#N/A,FALSE,"현금";#N/A,#N/A,FALSE,"매출";#N/A,#N/A,FALSE,"원가";#N/A,#N/A,FALSE,"경영"}</definedName>
    <definedName name="popopppoo" hidden="1">{#N/A,#N/A,FALSE,"BS";#N/A,#N/A,FALSE,"PL";#N/A,#N/A,FALSE,"처분";#N/A,#N/A,FALSE,"현금";#N/A,#N/A,FALSE,"매출";#N/A,#N/A,FALSE,"원가";#N/A,#N/A,FALSE,"경영"}</definedName>
    <definedName name="popp" hidden="1">{#N/A,#N/A,FALSE,"BS";#N/A,#N/A,FALSE,"PL";#N/A,#N/A,FALSE,"처분";#N/A,#N/A,FALSE,"현금";#N/A,#N/A,FALSE,"매출";#N/A,#N/A,FALSE,"원가";#N/A,#N/A,FALSE,"경영"}</definedName>
    <definedName name="poppp" hidden="1">{#N/A,#N/A,FALSE,"BS";#N/A,#N/A,FALSE,"PL";#N/A,#N/A,FALSE,"처분";#N/A,#N/A,FALSE,"현금";#N/A,#N/A,FALSE,"매출";#N/A,#N/A,FALSE,"원가";#N/A,#N/A,FALSE,"경영"}</definedName>
    <definedName name="popppp" hidden="1">{#N/A,#N/A,FALSE,"BS";#N/A,#N/A,FALSE,"PL";#N/A,#N/A,FALSE,"처분";#N/A,#N/A,FALSE,"현금";#N/A,#N/A,FALSE,"매출";#N/A,#N/A,FALSE,"원가";#N/A,#N/A,FALSE,"경영"}</definedName>
    <definedName name="poppppop" hidden="1">{#N/A,#N/A,FALSE,"BS";#N/A,#N/A,FALSE,"PL";#N/A,#N/A,FALSE,"처분";#N/A,#N/A,FALSE,"현금";#N/A,#N/A,FALSE,"매출";#N/A,#N/A,FALSE,"원가";#N/A,#N/A,FALSE,"경영"}</definedName>
    <definedName name="poppppp" hidden="1">{#N/A,#N/A,FALSE,"BS";#N/A,#N/A,FALSE,"PL";#N/A,#N/A,FALSE,"처분";#N/A,#N/A,FALSE,"현금";#N/A,#N/A,FALSE,"매출";#N/A,#N/A,FALSE,"원가";#N/A,#N/A,FALSE,"경영"}</definedName>
    <definedName name="POR11C45R141C45RTSKS15C5LRTHR5C">#REF!</definedName>
    <definedName name="POR121175C2054RTSKS15C6LRTHDLRT">#REF!</definedName>
    <definedName name="POR16C16R589C41RTSKS15C6LRTHR8C">#REF!</definedName>
    <definedName name="POR3C1R50C13RTSKS15C5LRTHDLRTMT">#REF!</definedName>
    <definedName name="POR3C41R52C44RTSKS13C5LRTHDLTBD">#N/A</definedName>
    <definedName name="POR3C56R44C76RTSKS15C5LRTHDLTBD">#N/A</definedName>
    <definedName name="POR458C2054RTSKS15C6LRTHDLRTM4T">#REF!</definedName>
    <definedName name="POR6C20R55C38RTSKS13C5LRTHDLTBD">#N/A</definedName>
    <definedName name="POR7280C116RTSKS15C6LRTHR26C116">#REF!</definedName>
    <definedName name="POR7C2R55C18RTSKS13C5LRTHDLTBDL">#REF!</definedName>
    <definedName name="POR7C77R72C83RTSKS13C5LRTHDLTBD">#REF!</definedName>
    <definedName name="por840c3542RTsks12c4lRTm1TB0TB5">#REF!</definedName>
    <definedName name="POR8C46R200C54RTSKS13C6LRTHR3C4">#N/A</definedName>
    <definedName name="POSITION">#N/A</definedName>
    <definedName name="POT_BEARING">#REF!</definedName>
    <definedName name="POTF">#REF!</definedName>
    <definedName name="pound">#REF!</definedName>
    <definedName name="pp">#REF!,#REF!</definedName>
    <definedName name="PPA">#REF!</definedName>
    <definedName name="ppl">#REF!</definedName>
    <definedName name="PPNT">#REF!</definedName>
    <definedName name="ppoopop" hidden="1">{#N/A,#N/A,FALSE,"BS";#N/A,#N/A,FALSE,"PL";#N/A,#N/A,FALSE,"처분";#N/A,#N/A,FALSE,"현금";#N/A,#N/A,FALSE,"매출";#N/A,#N/A,FALSE,"원가";#N/A,#N/A,FALSE,"경영"}</definedName>
    <definedName name="PPP">#REF!</definedName>
    <definedName name="ppplll" hidden="1">{#N/A,#N/A,FALSE,"이태원철근"}</definedName>
    <definedName name="pppp">#REF!</definedName>
    <definedName name="pppppp">#N/A</definedName>
    <definedName name="pppppppp">#REF!</definedName>
    <definedName name="PPPPPPPPPP">#REF!</definedName>
    <definedName name="pppppppppppppppp" hidden="1">{#N/A,#N/A,FALSE,"지침";#N/A,#N/A,FALSE,"환경분석";#N/A,#N/A,FALSE,"Sheet16"}</definedName>
    <definedName name="PPTL">#REF!</definedName>
    <definedName name="PQ">#REF!</definedName>
    <definedName name="PQ점수">"Dialog Frame 1"</definedName>
    <definedName name="PR">#REF!</definedName>
    <definedName name="PracRate">#REF!</definedName>
    <definedName name="PRAYER" hidden="1">{#N/A,#N/A,FALSE,"CCTV"}</definedName>
    <definedName name="PRC">#REF!</definedName>
    <definedName name="PRDump">#REF!</definedName>
    <definedName name="Prel">#REF!</definedName>
    <definedName name="Premium_Beer">#REF!</definedName>
    <definedName name="PREST">#REF!</definedName>
    <definedName name="prg">#REF!</definedName>
    <definedName name="price">#REF!</definedName>
    <definedName name="Price_Acoust._Ceil">#REF!</definedName>
    <definedName name="Price_Block">#REF!</definedName>
    <definedName name="Price_Brick">#REF!</definedName>
    <definedName name="Price_Conc_4000">#REF!</definedName>
    <definedName name="Price_Conc_5000">#REF!</definedName>
    <definedName name="Price_Conc_6000">#REF!</definedName>
    <definedName name="Price_Form_Beam">#REF!</definedName>
    <definedName name="Price_Form_Colmn">#REF!</definedName>
    <definedName name="Price_Form_Core">#REF!</definedName>
    <definedName name="Price_Form_Slab">#REF!</definedName>
    <definedName name="Price_Form_Wall">#REF!</definedName>
    <definedName name="Price_Gyp._Ceil">#REF!</definedName>
    <definedName name="Price_Gyp.W_Both">#REF!</definedName>
    <definedName name="Price_Gyp.W_One">#REF!</definedName>
    <definedName name="Price_Paint_Emulsn">#REF!</definedName>
    <definedName name="Price_Plaster_Ceil">#REF!</definedName>
    <definedName name="Price_Plaster_Ext">#REF!</definedName>
    <definedName name="Price_Plaster_Floor">#REF!</definedName>
    <definedName name="Price_Plaster_Wall">#REF!</definedName>
    <definedName name="Price_Rebar_High">#REF!</definedName>
    <definedName name="Price_Rebar_Mild">#REF!</definedName>
    <definedName name="Price_Stl.Door_D">#REF!</definedName>
    <definedName name="Price_Stl.Door_S">#REF!</definedName>
    <definedName name="Price_Stone_Floor">#REF!</definedName>
    <definedName name="Price_Stone_Wall">#REF!</definedName>
    <definedName name="Price_Wd.Door_D">#REF!</definedName>
    <definedName name="Price_Wd.Door_S">#REF!</definedName>
    <definedName name="PRIN">#REF!</definedName>
    <definedName name="PRIN_TITLES">#REF!</definedName>
    <definedName name="PRINT">#REF!</definedName>
    <definedName name="PRINT_ALL">#REF!</definedName>
    <definedName name="print_Are">#REF!</definedName>
    <definedName name="_xlnm.Print_Area">#REF!</definedName>
    <definedName name="Print_Area_MI">#REF!</definedName>
    <definedName name="PRINT_AREA_MI1">#REF!</definedName>
    <definedName name="Print_Area_Mi2">#REF!</definedName>
    <definedName name="Print_Area\C">#REF!</definedName>
    <definedName name="Print_Area1">#REF!</definedName>
    <definedName name="print_sd" hidden="1">#N/A</definedName>
    <definedName name="PRINT_SUM">#REF!</definedName>
    <definedName name="PRINT_TILIES">#REF!,#REF!,#REF!,#REF!,#REF!</definedName>
    <definedName name="PRINT_TILTES">#REF!</definedName>
    <definedName name="print_tital">#REF!</definedName>
    <definedName name="PRINT_TITEL">#N/A</definedName>
    <definedName name="PRINT_TITELS">#N/A</definedName>
    <definedName name="Print_Title">#REF!</definedName>
    <definedName name="PRINT_TITLEES">#REF!</definedName>
    <definedName name="PRINT_TITLEES.">#REF!</definedName>
    <definedName name="PRINT_TITLEN">#REF!</definedName>
    <definedName name="_xlnm.Print_Titles">#REF!</definedName>
    <definedName name="Print_Titles_MI">#REF!</definedName>
    <definedName name="PRINT_TITLES_MI1">#REF!</definedName>
    <definedName name="Print_Titles?">#REF!</definedName>
    <definedName name="PRINT_TITLES1">#REF!</definedName>
    <definedName name="Print_Titles2">#REF!</definedName>
    <definedName name="print_titls">#REF!</definedName>
    <definedName name="PRINT_TLTLES">#REF!</definedName>
    <definedName name="PRINTED_TITLES">#REF!</definedName>
    <definedName name="printer">#REF!</definedName>
    <definedName name="PRINTER_AREA">#REF!</definedName>
    <definedName name="printer_Titles">#REF!</definedName>
    <definedName name="printer_ttitle">#REF!</definedName>
    <definedName name="PRIORITY">#N/A</definedName>
    <definedName name="PRN">#REF!</definedName>
    <definedName name="prn_compa">#REF!</definedName>
    <definedName name="PRN_T">#REF!</definedName>
    <definedName name="prnit_titles">#REF!</definedName>
    <definedName name="PROC_NO1">#N/A</definedName>
    <definedName name="PROC_NO2">#N/A</definedName>
    <definedName name="PROC_NO3">#N/A</definedName>
    <definedName name="PROC_NO4">#N/A</definedName>
    <definedName name="PROC_NO5">#N/A</definedName>
    <definedName name="PROC_NO6">#N/A</definedName>
    <definedName name="PROC_NO7">#N/A</definedName>
    <definedName name="PROC_NO8">#N/A</definedName>
    <definedName name="PROJ">#REF!</definedName>
    <definedName name="projactiday">#REF!</definedName>
    <definedName name="projactiday2">#REF!</definedName>
    <definedName name="projactiday3">#REF!</definedName>
    <definedName name="projaddr">#REF!</definedName>
    <definedName name="projapprover">#REF!</definedName>
    <definedName name="projbuf_0">#REF!</definedName>
    <definedName name="projbuf_1">#REF!</definedName>
    <definedName name="projbuf_2">#REF!</definedName>
    <definedName name="projcalday">#REF!</definedName>
    <definedName name="projcompoday">#REF!</definedName>
    <definedName name="projcomposer">#REF!</definedName>
    <definedName name="projduration">#REF!</definedName>
    <definedName name="PROJECT">#N/A</definedName>
    <definedName name="Project_Name">#REF!</definedName>
    <definedName name="Project_Type">#REF!</definedName>
    <definedName name="projendday">#REF!</definedName>
    <definedName name="projname">#REF!</definedName>
    <definedName name="projstday">#REF!</definedName>
    <definedName name="projstday2">#REF!</definedName>
    <definedName name="projstday22">#REF!</definedName>
    <definedName name="projstday3">#REF!</definedName>
    <definedName name="Prop_Matl_Rate">#REF!</definedName>
    <definedName name="Prop_MD_Rate">#REF!</definedName>
    <definedName name="PRS" hidden="1">#REF!</definedName>
    <definedName name="PRT">#N/A</definedName>
    <definedName name="PS">#REF!</definedName>
    <definedName name="PS15C4LRTOR5C1R1000C10RTHR3C1R4">#REF!</definedName>
    <definedName name="PSKS12C4LRTOR50C1R84C10RTHDLRTM">#REF!</definedName>
    <definedName name="PSKS12C4LRTOR6C73R45C74RTHDLRTM">#REF!</definedName>
    <definedName name="PSKS12C4LRTOR9C1R47C10RTHDLRTM3">#REF!</definedName>
    <definedName name="PSKS13C4LRTOR138C45R180C58RTHDL">#REF!</definedName>
    <definedName name="PSKS13C4LRTOR182C45R224C58RTHDL">#REF!</definedName>
    <definedName name="PSKS13C4LRTOR39C29R79C43RTHDLRT">#REF!</definedName>
    <definedName name="PSKS13C4LRTOR49C45R91C58RTHDLRT">#REF!</definedName>
    <definedName name="PSKS13C4LRTOR5C29R40C43RTHDLRTM">#REF!</definedName>
    <definedName name="PSKS13C4LRTOR5C45R47C58RTHDLRTM">#REF!</definedName>
    <definedName name="PSKS13C4LRTOR94C45R136C58RTHDLR">#REF!</definedName>
    <definedName name="PSKS13C6LRTOR3C76R62C87RTM1TB0T">#REF!</definedName>
    <definedName name="PSKS15C6LRTOR3C76R62C88RTM1TB0T">#REF!</definedName>
    <definedName name="Psqlbp4lRTOR6C15R45C16RTHDLRTM0">#REF!</definedName>
    <definedName name="Psqlbp4lRTOR6C15R45C16RTHDLRTM7">#REF!</definedName>
    <definedName name="PSS">#REF!</definedName>
    <definedName name="PT">#REF!</definedName>
    <definedName name="PTINT">#N/A</definedName>
    <definedName name="ptint_titles">#REF!</definedName>
    <definedName name="PTOL">#REF!</definedName>
    <definedName name="PTRN">#REF!</definedName>
    <definedName name="PTT">#REF!</definedName>
    <definedName name="PU">#REF!</definedName>
    <definedName name="PU_BOX_화인">#N/A</definedName>
    <definedName name="PULL_BOX">#N/A</definedName>
    <definedName name="PUM">#REF!</definedName>
    <definedName name="PUMP">#REF!</definedName>
    <definedName name="PUU">#REF!</definedName>
    <definedName name="PV">#REF!</definedName>
    <definedName name="PVC10T">#REF!</definedName>
    <definedName name="PVC5T">#REF!</definedName>
    <definedName name="PVC6T">#REF!</definedName>
    <definedName name="PVC8T">#REF!</definedName>
    <definedName name="pvc9t">#REF!</definedName>
    <definedName name="PVC급배기구">#REF!</definedName>
    <definedName name="PVC선홈통100">#REF!</definedName>
    <definedName name="PVC선홈통50">#REF!</definedName>
    <definedName name="PVC에어콘">#REF!</definedName>
    <definedName name="PVC주방배기구">#REF!</definedName>
    <definedName name="PVCPLATE15">#REF!</definedName>
    <definedName name="PVI">#REF!</definedName>
    <definedName name="PVP">#REF!</definedName>
    <definedName name="PVR">#REF!</definedName>
    <definedName name="PVS">#REF!</definedName>
    <definedName name="PVT">#REF!</definedName>
    <definedName name="PW_10_6_제작설치">#REF!</definedName>
    <definedName name="PW_15_12_제작설치">#REF!</definedName>
    <definedName name="PW_18_15_제작설치">#REF!</definedName>
    <definedName name="PW_18_15_제작설치고층">#REF!</definedName>
    <definedName name="PW_24_19.5_제작설치">#REF!</definedName>
    <definedName name="PW_24_19.5_제작설치고층">#REF!</definedName>
    <definedName name="PW_9__9_제작설치">#REF!</definedName>
    <definedName name="pwa">#REF!</definedName>
    <definedName name="PWS">#REF!</definedName>
    <definedName name="Px">#REF!</definedName>
    <definedName name="Pxa">#REF!</definedName>
    <definedName name="Pxan">#REF!</definedName>
    <definedName name="Pxh">#REF!</definedName>
    <definedName name="PY">#REF!</definedName>
    <definedName name="PYUUYF" localSheetId="0">BlankMacro1</definedName>
    <definedName name="PYUUYF">BlankMacro1</definedName>
    <definedName name="Q">#REF!</definedName>
    <definedName name="q_1" hidden="1">{#N/A,#N/A,FALSE,"CCTV"}</definedName>
    <definedName name="Q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_ty">#REF!</definedName>
    <definedName name="Q0" localSheetId="0">BlankMacro1</definedName>
    <definedName name="Q0">BlankMacro1</definedName>
    <definedName name="q00" hidden="1">{#N/A,#N/A,FALSE,"운반시간"}</definedName>
    <definedName name="q1u">#REF!</definedName>
    <definedName name="q234562456" hidden="1">{"'용역비'!$A$4:$C$8"}</definedName>
    <definedName name="Q3WEE" hidden="1">{#N/A,#N/A,FALSE,"조골재"}</definedName>
    <definedName name="Q3WEE_1" hidden="1">{#N/A,#N/A,FALSE,"조골재"}</definedName>
    <definedName name="Q4TA" hidden="1">{#N/A,#N/A,FALSE,"단가표지"}</definedName>
    <definedName name="Q91A">#REF!</definedName>
    <definedName name="q91b">#REF!</definedName>
    <definedName name="q디">#REF!</definedName>
    <definedName name="q방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앨">#REF!</definedName>
    <definedName name="QA">#REF!</definedName>
    <definedName name="qaa" hidden="1">{#N/A,#N/A,FALSE,"속도"}</definedName>
    <definedName name="qaaa" hidden="1">{#N/A,#N/A,FALSE,"속도"}</definedName>
    <definedName name="QAQA">#REF!</definedName>
    <definedName name="qas">#REF!</definedName>
    <definedName name="qb" hidden="1">{#N/A,#N/A,FALSE,"2~8번"}</definedName>
    <definedName name="qbb" hidden="1">{#N/A,#N/A,FALSE,"2~8번"}</definedName>
    <definedName name="qc" hidden="1">{#N/A,#N/A,FALSE,"전력간선"}</definedName>
    <definedName name="qdr">#REF!</definedName>
    <definedName name="qe">#REF!</definedName>
    <definedName name="Qe앨">#REF!</definedName>
    <definedName name="qedgagsd" hidden="1">#REF!</definedName>
    <definedName name="qedrcc" hidden="1">{#N/A,#N/A,FALSE,"부대1"}</definedName>
    <definedName name="QENGFHM" hidden="1">{#N/A,#N/A,FALSE,"Sheet1"}</definedName>
    <definedName name="QEQ">#REF!</definedName>
    <definedName name="QEQERERR" hidden="1">{#N/A,#N/A,FALSE,"Sheet1"}</definedName>
    <definedName name="QEQWE">#REF!</definedName>
    <definedName name="qeqweww">#N/A</definedName>
    <definedName name="QERER">#REF!</definedName>
    <definedName name="QERERTE" hidden="1">#REF!</definedName>
    <definedName name="QERGDADFG" hidden="1">{#N/A,#N/A,FALSE,"Sheet1"}</definedName>
    <definedName name="QERGFDGDG" hidden="1">{#N/A,#N/A,FALSE,"Sheet1"}</definedName>
    <definedName name="QERGGDQ" hidden="1">{#N/A,#N/A,FALSE,"Sheet1"}</definedName>
    <definedName name="qerhhhhhhhhhhh" hidden="1">{#N/A,#N/A,FALSE,"배수2"}</definedName>
    <definedName name="qerhhhhhhhhhhhh" hidden="1">{#N/A,#N/A,FALSE,"부대1"}</definedName>
    <definedName name="qerhhhhhhhhhhhhhhh" hidden="1">{#N/A,#N/A,FALSE,"구조2"}</definedName>
    <definedName name="qerqwerqwrqwr">#REF!</definedName>
    <definedName name="QERTQV">#REF!</definedName>
    <definedName name="qet4321156" hidden="1">{#N/A,#N/A,FALSE,"Sheet1"}</definedName>
    <definedName name="qewewre" hidden="1">#REF!</definedName>
    <definedName name="qewqwe">#REF!,#REF!</definedName>
    <definedName name="qf" hidden="1">{#N/A,#N/A,FALSE,"부대2"}</definedName>
    <definedName name="qfbs">#REF!</definedName>
    <definedName name="QFFGGB"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FQF" hidden="1">#REF!</definedName>
    <definedName name="qg" hidden="1">{#N/A,#N/A,FALSE,"속도"}</definedName>
    <definedName name="QGC">#REF!</definedName>
    <definedName name="QGR">#REF!</definedName>
    <definedName name="qh">#REF!</definedName>
    <definedName name="QHDTKS" hidden="1">{#N/A,#N/A,FALSE,"부대2"}</definedName>
    <definedName name="qi">#REF!</definedName>
    <definedName name="qk" hidden="1">{"'자리배치도'!$AG$1:$CI$28"}</definedName>
    <definedName name="QKF">#REF!</definedName>
    <definedName name="QKQH">#REF!,#REF!</definedName>
    <definedName name="qkqh1" hidden="1">{#N/A,#N/A,FALSE,"명세표"}</definedName>
    <definedName name="qkrtm">#REF!</definedName>
    <definedName name="qksksk" hidden="1">{#N/A,#N/A,FALSE,"단가표지"}</definedName>
    <definedName name="QL">#REF!</definedName>
    <definedName name="QLQL">#REF!</definedName>
    <definedName name="QLSU" hidden="1">{#N/A,#N/A,FALSE,"제목"}</definedName>
    <definedName name="QMTH">#REF!</definedName>
    <definedName name="qncjstkdehdwhrud" hidden="1">{#N/A,#N/A,TRUE,"1";#N/A,#N/A,TRUE,"2";#N/A,#N/A,TRUE,"3";#N/A,#N/A,TRUE,"4";#N/A,#N/A,TRUE,"5";#N/A,#N/A,TRUE,"6";#N/A,#N/A,TRUE,"7"}</definedName>
    <definedName name="qncjstkdehdwhrud_1" hidden="1">{#N/A,#N/A,TRUE,"1";#N/A,#N/A,TRUE,"2";#N/A,#N/A,TRUE,"3";#N/A,#N/A,TRUE,"4";#N/A,#N/A,TRUE,"5";#N/A,#N/A,TRUE,"6";#N/A,#N/A,TRUE,"7"}</definedName>
    <definedName name="qor" hidden="1">#REF!</definedName>
    <definedName name="QPPP">#REF!</definedName>
    <definedName name="QPRO">#REF!</definedName>
    <definedName name="qq" hidden="1">{#N/A,#N/A,FALSE,"단가표지"}</definedName>
    <definedName name="QQA">#REF!</definedName>
    <definedName name="qqaa">#REF!</definedName>
    <definedName name="QQQ" hidden="1">{#N/A,#N/A,FALSE,"운반시간"}</definedName>
    <definedName name="QQQAAASSS" hidden="1">{#N/A,#N/A,TRUE,"Y생산";#N/A,#N/A,TRUE,"Y판매";#N/A,#N/A,TRUE,"Y총물량";#N/A,#N/A,TRUE,"Y능력";#N/A,#N/A,TRUE,"YKD"}</definedName>
    <definedName name="QQQQ">#REF!</definedName>
    <definedName name="QQQQAAAAA">#REF!</definedName>
    <definedName name="qqqqq" hidden="1">{#N/A,#N/A,FALSE,"운반시간"}</definedName>
    <definedName name="qqqqqq"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QQQQQQQ" hidden="1">{#N/A,#N/A,FALSE,"CCTV"}</definedName>
    <definedName name="QQQQQQQETET" hidden="1">{#N/A,#N/A,FALSE,"운반시간"}</definedName>
    <definedName name="QQQQQQQQ" hidden="1">{#N/A,#N/A,FALSE,"CCTV"}</definedName>
    <definedName name="QQQQQQQQQQQ" hidden="1">{#N/A,#N/A,FALSE,"전력간선"}</definedName>
    <definedName name="qqqqqqqqqqqq" localSheetId="0">BlankMacro1</definedName>
    <definedName name="qqqqqqqqqqqq">BlankMacro1</definedName>
    <definedName name="qr" hidden="1">{#N/A,#N/A,FALSE,"배수1"}</definedName>
    <definedName name="QRE">#REF!</definedName>
    <definedName name="QREGERGRG" hidden="1">{#N/A,#N/A,FALSE,"Sheet1"}</definedName>
    <definedName name="QREW">#REF!</definedName>
    <definedName name="QREWQ">#N/A</definedName>
    <definedName name="qrgt3q4541y">#REF!</definedName>
    <definedName name="qrqer" hidden="1">#REF!</definedName>
    <definedName name="QS" hidden="1">{#N/A,#N/A,FALSE,"배수1"}</definedName>
    <definedName name="qsdf" hidden="1">{"'Firr(선)'!$AS$1:$AY$62","'Firr(사)'!$AS$1:$AY$62","'Firr(회)'!$AS$1:$AY$62","'Firr(선)'!$L$1:$V$62","'Firr(사)'!$L$1:$V$62","'Firr(회)'!$L$1:$V$62"}</definedName>
    <definedName name="qsqsqs">{"Book1","토공.xls"}</definedName>
    <definedName name="QSR">#REF!</definedName>
    <definedName name="QSS">#REF!</definedName>
    <definedName name="qt" hidden="1">{#N/A,#N/A,FALSE,"배수2"}</definedName>
    <definedName name="QTETQT" hidden="1">{#N/A,#N/A,FALSE,"표지목차"}</definedName>
    <definedName name="QTTTTTTTT" hidden="1">{#N/A,#N/A,FALSE,"손익표지";#N/A,#N/A,FALSE,"손익계산";#N/A,#N/A,FALSE,"일반관리비";#N/A,#N/A,FALSE,"영업외수익";#N/A,#N/A,FALSE,"영업외비용";#N/A,#N/A,FALSE,"매출액";#N/A,#N/A,FALSE,"요약손익";#N/A,#N/A,FALSE,"요약대차";#N/A,#N/A,FALSE,"매출채권현황";#N/A,#N/A,FALSE,"매출채권명세"}</definedName>
    <definedName name="QTY">#N/A</definedName>
    <definedName name="Qty_1">#REF!</definedName>
    <definedName name="Qty_Ceiling">#REF!</definedName>
    <definedName name="Qty_Conc">#REF!</definedName>
    <definedName name="Qty_Door.Window">#REF!</definedName>
    <definedName name="Qty_Excavation">#REF!</definedName>
    <definedName name="Qty_Form">#REF!</definedName>
    <definedName name="Qty_Masonry">#REF!</definedName>
    <definedName name="Qty_Painting">#REF!</definedName>
    <definedName name="Qty_Plastering">#REF!</definedName>
    <definedName name="Qty_Rebar">#REF!</definedName>
    <definedName name="Qty_Stone">#REF!</definedName>
    <definedName name="Qty_Wall">#REF!</definedName>
    <definedName name="QTYQYQY" hidden="1">{#N/A,#N/A,FALSE,"부대2"}</definedName>
    <definedName name="qu">#REF!</definedName>
    <definedName name="QUIT">#N/A</definedName>
    <definedName name="qw" hidden="1">{#N/A,#N/A,FALSE,"단가표지"}</definedName>
    <definedName name="QW_1" hidden="1">{#N/A,#N/A,FALSE,"이태원철근"}</definedName>
    <definedName name="QW_2" hidden="1">{#N/A,#N/A,FALSE,"이태원철근"}</definedName>
    <definedName name="QW_3" hidden="1">{#N/A,#N/A,FALSE,"이태원철근"}</definedName>
    <definedName name="qw_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w_5" hidden="1">{#N/A,#N/A,FALSE,"단가표지"}</definedName>
    <definedName name="qwaff" hidden="1">{#N/A,#N/A,FALSE,"Sheet1"}</definedName>
    <definedName name="qwan" hidden="1">{#N/A,#N/A,FALSE,"2~8번"}</definedName>
    <definedName name="QWCDS">#REF!</definedName>
    <definedName name="QWE" hidden="1">{#N/A,#N/A,FALSE,"이태원철근"}</definedName>
    <definedName name="QWE_1" hidden="1">{#N/A,#N/A,FALSE,"이태원철근"}</definedName>
    <definedName name="QWE_2" hidden="1">{#N/A,#N/A,FALSE,"이태원철근"}</definedName>
    <definedName name="QWE_3" hidden="1">{#N/A,#N/A,FALSE,"이태원철근"}</definedName>
    <definedName name="QWE_5" hidden="1">{#N/A,#N/A,FALSE,"이태원철근"}</definedName>
    <definedName name="qwefcvqfeqew">#REF!</definedName>
    <definedName name="qwefsafds">#REF!</definedName>
    <definedName name="qweokopew" hidden="1">{#N/A,#N/A,FALSE,"Sheet1"}</definedName>
    <definedName name="QWEQ">#N/A</definedName>
    <definedName name="qweqerw">#N/A</definedName>
    <definedName name="QWEQWE">#REF!</definedName>
    <definedName name="qweqwqweedghd">#REF!</definedName>
    <definedName name="qwer" hidden="1">{#N/A,#N/A,FALSE,"BS";#N/A,#N/A,FALSE,"PL";#N/A,#N/A,FALSE,"처분";#N/A,#N/A,FALSE,"현금";#N/A,#N/A,FALSE,"매출";#N/A,#N/A,FALSE,"원가";#N/A,#N/A,FALSE,"경영"}</definedName>
    <definedName name="QWER_1" hidden="1">{#N/A,#N/A,FALSE,"이태원철근"}</definedName>
    <definedName name="QWER_2" hidden="1">{#N/A,#N/A,FALSE,"이태원철근"}</definedName>
    <definedName name="QWER_3" hidden="1">{#N/A,#N/A,FALSE,"이태원철근"}</definedName>
    <definedName name="QWER_4" hidden="1">{#N/A,#N/A,FALSE,"이태원철근"}</definedName>
    <definedName name="qwerdg" hidden="1">#REF!</definedName>
    <definedName name="qwerfdfqh">#REF!</definedName>
    <definedName name="qwerqerwr" hidden="1">#REF!</definedName>
    <definedName name="QWERQWER" hidden="1">#REF!</definedName>
    <definedName name="qwerqwrewrw">#REF!</definedName>
    <definedName name="QWERRTT" hidden="1">{#N/A,#N/A,FALSE,"Sheet1"}</definedName>
    <definedName name="QWERT" hidden="1">#REF!</definedName>
    <definedName name="qwertyuuj">#REF!</definedName>
    <definedName name="qwes" hidden="1">{#N/A,#N/A,FALSE,"현장 NCR 분석";#N/A,#N/A,FALSE,"현장품질감사";#N/A,#N/A,FALSE,"현장품질감사"}</definedName>
    <definedName name="qwes_1" hidden="1">{#N/A,#N/A,FALSE,"현장 NCR 분석";#N/A,#N/A,FALSE,"현장품질감사";#N/A,#N/A,FALSE,"현장품질감사"}</definedName>
    <definedName name="qwesxavdsv">#REF!</definedName>
    <definedName name="QWEWQE" hidden="1">#REF!</definedName>
    <definedName name="QWQ" hidden="1">{#N/A,#N/A,FALSE,"배수2"}</definedName>
    <definedName name="QWQW">#REF!</definedName>
    <definedName name="qwqwwqw">#REF!</definedName>
    <definedName name="QWREG">#N/A</definedName>
    <definedName name="qwrn10" hidden="1">{#N/A,#N/A,FALSE,"이정표"}</definedName>
    <definedName name="qwrn11" hidden="1">{#N/A,#N/A,FALSE,"조골재"}</definedName>
    <definedName name="qwrn12" hidden="1">{#N/A,#N/A,FALSE,"구조1"}</definedName>
    <definedName name="qwrn13" hidden="1">{#N/A,#N/A,FALSE,"토공2"}</definedName>
    <definedName name="qwrn14" hidden="1">{#N/A,#N/A,FALSE,"포장1";#N/A,#N/A,FALSE,"포장1"}</definedName>
    <definedName name="qwrn15" hidden="1">{#N/A,#N/A,FALSE,"포장2"}</definedName>
    <definedName name="qwrn16" hidden="1">{#N/A,#N/A,FALSE,"표지목차"}</definedName>
    <definedName name="qwrn17" hidden="1">{#N/A,#N/A,FALSE,"혼합골재"}</definedName>
    <definedName name="qwrn2" hidden="1">{#N/A,#N/A,FALSE,"구조2"}</definedName>
    <definedName name="qwrn3" hidden="1">{#N/A,#N/A,FALSE,"단가표지"}</definedName>
    <definedName name="qwrn4" hidden="1">{#N/A,#N/A,FALSE,"배수1"}</definedName>
    <definedName name="qwrn5" hidden="1">{#N/A,#N/A,FALSE,"배수2"}</definedName>
    <definedName name="qwrn6" hidden="1">{#N/A,#N/A,FALSE,"부대1"}</definedName>
    <definedName name="qwrn7" hidden="1">{#N/A,#N/A,FALSE,"부대2"}</definedName>
    <definedName name="qwrn8" hidden="1">{#N/A,#N/A,FALSE,"속도"}</definedName>
    <definedName name="qwrn9" hidden="1">{#N/A,#N/A,FALSE,"운반시간"}</definedName>
    <definedName name="qwrnn" hidden="1">{#N/A,#N/A,FALSE,"골재소요량";#N/A,#N/A,FALSE,"골재소요량"}</definedName>
    <definedName name="QWS" hidden="1">#REF!</definedName>
    <definedName name="qwszsx" hidden="1">{#N/A,#N/A,FALSE,"구조1"}</definedName>
    <definedName name="QWT">#REF!</definedName>
    <definedName name="QWWE">#REF!</definedName>
    <definedName name="qwweee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wwsdxdd" hidden="1">{#N/A,#N/A,FALSE,"속도"}</definedName>
    <definedName name="qyk" hidden="1">{"'용역비'!$A$4:$C$8"}</definedName>
    <definedName name="qz" hidden="1">{#N/A,#N/A,FALSE,"구조1"}</definedName>
    <definedName name="R_">#REF!</definedName>
    <definedName name="R_COVER" hidden="1">{#N/A,#N/A,FALSE,"단축1";#N/A,#N/A,FALSE,"단축2";#N/A,#N/A,FALSE,"단축3";#N/A,#N/A,FALSE,"장축";#N/A,#N/A,FALSE,"4WD"}</definedName>
    <definedName name="R_I_Q_A_S">#N/A</definedName>
    <definedName name="r견적" hidden="1">{#N/A,#N/A,FALSE,"월공사비집계표양식 (7)";#N/A,#N/A,FALSE,"월공사비집계표양식 (7)"}</definedName>
    <definedName name="R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#REF!</definedName>
    <definedName name="RACE_WAY">#N/A</definedName>
    <definedName name="RACK">#N/A</definedName>
    <definedName name="RAD">#REF!</definedName>
    <definedName name="RAEGA" hidden="1">{#N/A,#N/A,FALSE,"조골재"}</definedName>
    <definedName name="RAGA" hidden="1">{#N/A,#N/A,FALSE,"운반시간"}</definedName>
    <definedName name="ramp.c" hidden="1">{#N/A,#N/A,FALSE,"집계";#N/A,#N/A,FALSE,"철근";#N/A,#N/A,FALSE,"외봉육교(교대A1)";#N/A,#N/A,FALSE,"외봉육교(교대A2)"}</definedName>
    <definedName name="range">#REF!</definedName>
    <definedName name="range_T">#REF!</definedName>
    <definedName name="RANGE1">#REF!</definedName>
    <definedName name="RANGE2">#REF!</definedName>
    <definedName name="RANGE3">#REF!</definedName>
    <definedName name="RANGE4">#REF!</definedName>
    <definedName name="RANGE5">#REF!</definedName>
    <definedName name="rank" hidden="1">#N/A</definedName>
    <definedName name="rarasfsda" hidden="1">{#N/A,#N/A,FALSE,"이정표"}</definedName>
    <definedName name="rarewt" hidden="1">{#N/A,#N/A,FALSE,"CCTV"}</definedName>
    <definedName name="RAS">#REF!</definedName>
    <definedName name="RASCO__3">#N/A</definedName>
    <definedName name="RASCO__A">#N/A</definedName>
    <definedName name="rasfsafsafdsa" hidden="1">{#N/A,#N/A,FALSE,"조골재"}</definedName>
    <definedName name="RASG" hidden="1">{#N/A,#N/A,FALSE,"Sheet1"}</definedName>
    <definedName name="RATE">#REF!</definedName>
    <definedName name="rate_top">#REF!</definedName>
    <definedName name="rate1">#REF!</definedName>
    <definedName name="rate2">#REF!</definedName>
    <definedName name="ratg">#REF!</definedName>
    <definedName name="RAW">#REF!</definedName>
    <definedName name="RawAgencyPrice">#REF!</definedName>
    <definedName name="RB">#REF!</definedName>
    <definedName name="RBData">#REF!</definedName>
    <definedName name="rbh" hidden="1">{#N/A,#N/A,FALSE,"조골재"}</definedName>
    <definedName name="RBOLT">#REF!</definedName>
    <definedName name="RC매출" hidden="1">#REF!</definedName>
    <definedName name="RCBJ" hidden="1">{#N/A,#N/A,FALSE,"표지"}</definedName>
    <definedName name="RCC">#REF!</definedName>
    <definedName name="RCD">#REF!</definedName>
    <definedName name="rcon">#REF!</definedName>
    <definedName name="rdatad" hidden="1">{#N/A,#N/A,FALSE,"Sheet1"}</definedName>
    <definedName name="rdefjh273832" hidden="1">{#N/A,#N/A,FALSE,"Sheet1"}</definedName>
    <definedName name="rdfg">#REF!</definedName>
    <definedName name="rdg43qt5">#REF!</definedName>
    <definedName name="RDSJYGS" hidden="1">{#N/A,#N/A,FALSE,"현장 NCR 분석";#N/A,#N/A,FALSE,"현장품질감사";#N/A,#N/A,FALSE,"현장품질감사"}</definedName>
    <definedName name="rdthdhrtgrth" hidden="1">{#N/A,#N/A,FALSE,"포장2"}</definedName>
    <definedName name="re" hidden="1">{#N/A,#N/A,FALSE,"BS";#N/A,#N/A,FALSE,"PL";#N/A,#N/A,FALSE,"처분";#N/A,#N/A,FALSE,"현금";#N/A,#N/A,FALSE,"매출";#N/A,#N/A,FALSE,"원가";#N/A,#N/A,FALSE,"경영"}</definedName>
    <definedName name="RE_SIZE">#REF!</definedName>
    <definedName name="Rebar">#REF!</definedName>
    <definedName name="Rebar_unitprice">#REF!</definedName>
    <definedName name="Record1">#REF!</definedName>
    <definedName name="RecordCount">#REF!</definedName>
    <definedName name="_xlnm.Recorder">#REF!</definedName>
    <definedName name="Rectangle118_Click">#REF!</definedName>
    <definedName name="RED">#REF!</definedName>
    <definedName name="reeeee" hidden="1">{#N/A,#N/A,FALSE,"BS";#N/A,#N/A,FALSE,"PL";#N/A,#N/A,FALSE,"처분";#N/A,#N/A,FALSE,"현금";#N/A,#N/A,FALSE,"매출";#N/A,#N/A,FALSE,"원가";#N/A,#N/A,FALSE,"경영"}</definedName>
    <definedName name="REEG">#REF!</definedName>
    <definedName name="reewrqerw" hidden="1">{#N/A,#N/A,FALSE,"단가표지"}</definedName>
    <definedName name="REF_TRV">#N/A</definedName>
    <definedName name="RefBlock">#REF!</definedName>
    <definedName name="REG" hidden="1">#REF!</definedName>
    <definedName name="regnhg">#N/A</definedName>
    <definedName name="REGREGQGRG" hidden="1">{#N/A,#N/A,FALSE,"Sheet1"}</definedName>
    <definedName name="REGSVTEB">#REF!</definedName>
    <definedName name="REHATRTG">#REF!</definedName>
    <definedName name="REM">#N/A</definedName>
    <definedName name="REMK">#N/A</definedName>
    <definedName name="REPORT" hidden="1">{#N/A,#N/A,TRUE,"대외공문"}</definedName>
    <definedName name="REPORT_1" hidden="1">{#N/A,#N/A,TRUE,"대외공문"}</definedName>
    <definedName name="REPORT_2" hidden="1">{#N/A,#N/A,TRUE,"대외공문"}</definedName>
    <definedName name="REPORT_3" hidden="1">{#N/A,#N/A,TRUE,"대외공문"}</definedName>
    <definedName name="RER">#REF!</definedName>
    <definedName name="RERE">#REF!</definedName>
    <definedName name="rererere" hidden="1">#REF!</definedName>
    <definedName name="Reselects">#REF!</definedName>
    <definedName name="rest4y" hidden="1">{#N/A,#N/A,FALSE,"CCTV"}</definedName>
    <definedName name="resum">#REF!</definedName>
    <definedName name="ret" hidden="1">{#N/A,#N/A,FALSE,"단가표지"}</definedName>
    <definedName name="RETE3434134" hidden="1">{#N/A,#N/A,FALSE,"Sheet1"}</definedName>
    <definedName name="RETERTRERET" hidden="1">#REF!</definedName>
    <definedName name="reth">#REF!</definedName>
    <definedName name="rethhrteh">#REF!</definedName>
    <definedName name="RETRH" hidden="1">{#N/A,#N/A,FALSE,"현장 NCR 분석";#N/A,#N/A,FALSE,"현장품질감사";#N/A,#N/A,FALSE,"현장품질감사"}</definedName>
    <definedName name="RETRH_1" hidden="1">{#N/A,#N/A,FALSE,"현장 NCR 분석";#N/A,#N/A,FALSE,"현장품질감사";#N/A,#N/A,FALSE,"현장품질감사"}</definedName>
    <definedName name="RETRH_2" hidden="1">{#N/A,#N/A,FALSE,"현장 NCR 분석";#N/A,#N/A,FALSE,"현장품질감사";#N/A,#N/A,FALSE,"현장품질감사"}</definedName>
    <definedName name="RETRH_3" hidden="1">{#N/A,#N/A,FALSE,"현장 NCR 분석";#N/A,#N/A,FALSE,"현장품질감사";#N/A,#N/A,FALSE,"현장품질감사"}</definedName>
    <definedName name="rety" hidden="1">{#N/A,#N/A,FALSE,"CCTV"}</definedName>
    <definedName name="RETYRE" hidden="1">{#N/A,#N/A,FALSE,"골재소요량";#N/A,#N/A,FALSE,"골재소요량"}</definedName>
    <definedName name="REUIHGURI">#REF!</definedName>
    <definedName name="REU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VISION1">#REF!</definedName>
    <definedName name="REW" hidden="1">#REF!</definedName>
    <definedName name="rewfwdsvasdff">#N/A</definedName>
    <definedName name="rewrwryfh">#N/A</definedName>
    <definedName name="rewwhht">#REF!</definedName>
    <definedName name="REYT" hidden="1">{#N/A,#N/A,FALSE,"CCTV"}</definedName>
    <definedName name="RF" localSheetId="0">BlankMacro1</definedName>
    <definedName name="RF">BlankMacro1</definedName>
    <definedName name="rff">#REF!</definedName>
    <definedName name="RFG">#REF!,#REF!,#REF!</definedName>
    <definedName name="Rform_unitprice">#REF!</definedName>
    <definedName name="rFormula">#REF!</definedName>
    <definedName name="rfrf" hidden="1">{#N/A,#N/A,FALSE,"골재소요량";#N/A,#N/A,FALSE,"골재소요량"}</definedName>
    <definedName name="rfrfe" hidden="1">{#N/A,#N/A,FALSE,"골재소요량";#N/A,#N/A,FALSE,"골재소요량"}</definedName>
    <definedName name="rfsajyg72123" hidden="1">{#N/A,#N/A,FALSE,"Sheet1"}</definedName>
    <definedName name="rfuh23er32" hidden="1">{#N/A,#N/A,FALSE,"Sheet1"}</definedName>
    <definedName name="RFV" hidden="1">{#N/A,#N/A,FALSE,"CCTV"}</definedName>
    <definedName name="rfvvvv" hidden="1">{#N/A,#N/A,FALSE,"BS";#N/A,#N/A,FALSE,"PL";#N/A,#N/A,FALSE,"처분";#N/A,#N/A,FALSE,"현금";#N/A,#N/A,FALSE,"매출";#N/A,#N/A,FALSE,"원가";#N/A,#N/A,FALSE,"경영"}</definedName>
    <definedName name="RFWE">#REF!</definedName>
    <definedName name="RFYIFIOYGOPIO" hidden="1">#REF!</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DDF">#REF!</definedName>
    <definedName name="rgfg">#REF!</definedName>
    <definedName name="rgh" hidden="1">255</definedName>
    <definedName name="rghrt">#REF!</definedName>
    <definedName name="RGR">#REF!</definedName>
    <definedName name="rgret345q43" hidden="1">{#N/A,#N/A,FALSE,"Sheet1"}</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TRET43T" hidden="1">{#N/A,#N/A,FALSE,"Sheet1"}</definedName>
    <definedName name="RGTT454T34" hidden="1">{#N/A,#N/A,FALSE,"Sheet1"}</definedName>
    <definedName name="RGTWEGREG">#REF!</definedName>
    <definedName name="RGVBF">#REF!</definedName>
    <definedName name="RH" hidden="1">{"'용역비'!$A$4:$C$8"}</definedName>
    <definedName name="RH.4">#REF!</definedName>
    <definedName name="RH.7">#REF!</definedName>
    <definedName name="RHAB">#REF!</definedName>
    <definedName name="RHD" hidden="1">#REF!</definedName>
    <definedName name="rhdjfir" hidden="1">{#N/A,#N/A,FALSE,"표지목차"}</definedName>
    <definedName name="RHDK" hidden="1">{#N/A,#N/A,FALSE,"이태원철근"}</definedName>
    <definedName name="RHDRL" hidden="1">#REF!</definedName>
    <definedName name="rhdrmq"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TK" hidden="1">#REF!</definedName>
    <definedName name="rhe">#REF!</definedName>
    <definedName name="rhfgh">#REF!</definedName>
    <definedName name="rhkd" hidden="1">{#N/A,#N/A,FALSE,"단가표지"}</definedName>
    <definedName name="rhks">#REF!</definedName>
    <definedName name="rhrtnu" hidden="1">{#N/A,#N/A,FALSE,"조골재"}</definedName>
    <definedName name="RI집계2">#REF!</definedName>
    <definedName name="RIBET_GONG">#REF!</definedName>
    <definedName name="rid" hidden="1">{"'Sheet1'!$L$16"}</definedName>
    <definedName name="RIRIRIRI" hidden="1">{#N/A,#N/A,FALSE,"이태원철근"}</definedName>
    <definedName name="RIRIRIRI_1" hidden="1">{#N/A,#N/A,FALSE,"이태원철근"}</definedName>
    <definedName name="RIRIRIRI_2" hidden="1">{#N/A,#N/A,FALSE,"이태원철근"}</definedName>
    <definedName name="RIRIRIRI_3" hidden="1">{#N/A,#N/A,FALSE,"이태원철근"}</definedName>
    <definedName name="risl" hidden="1">{#N/A,#N/A,FALSE,"속도"}</definedName>
    <definedName name="rjfgjg" hidden="1">{#N/A,#N/A,FALSE,"전력간선"}</definedName>
    <definedName name="rjfjkldl" hidden="1">{#N/A,#N/A,FALSE,"2~8번"}</definedName>
    <definedName name="rjfl" hidden="1">#REF!</definedName>
    <definedName name="rjhyudf" hidden="1">{#N/A,#N/A,FALSE,"단가표지"}</definedName>
    <definedName name="RJRJ" localSheetId="0">BlankMacro1</definedName>
    <definedName name="RJRJ">BlankMacro1</definedName>
    <definedName name="RJRKJRKJR" localSheetId="0">BlankMacro1</definedName>
    <definedName name="RJRKJRKJR">BlankMacro1</definedName>
    <definedName name="rjwltjf" hidden="1">{#N/A,#N/A,FALSE,"단가표지"}</definedName>
    <definedName name="RK" hidden="1">{#N/A,#N/A,FALSE,"이태원철근"}</definedName>
    <definedName name="rka"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rkatnwl" localSheetId="0">BlankMacro1</definedName>
    <definedName name="rkatnwl">BlankMacro1</definedName>
    <definedName name="rkd">#REF!</definedName>
    <definedName name="rkdjfhurg" hidden="1">{#N/A,#N/A,FALSE,"운반시간"}</definedName>
    <definedName name="rkdkd" hidden="1">{#N/A,#N/A,FALSE,"2~8번"}</definedName>
    <definedName name="rkdmfdms" hidden="1">{#N/A,#N/A,FALSE,"표지목차"}</definedName>
    <definedName name="rkghufd" hidden="1">{#N/A,#N/A,FALSE,"단가표지"}</definedName>
    <definedName name="rkl">#REF!</definedName>
    <definedName name="rkq">#REF!</definedName>
    <definedName name="RKQWL">#REF!</definedName>
    <definedName name="rks" hidden="1">{#N/A,#N/A,FALSE,"구조2"}</definedName>
    <definedName name="rksk" hidden="1">{#N/A,#N/A,FALSE,"배수1"}</definedName>
    <definedName name="RKSKEK" hidden="1">{#N/A,#N/A,FALSE,"이태원철근"}</definedName>
    <definedName name="rkss" hidden="1">{#N/A,#N/A,FALSE,"부대1"}</definedName>
    <definedName name="rksss" hidden="1">{#N/A,#N/A,FALSE,"부대2"}</definedName>
    <definedName name="rkssss" hidden="1">{#N/A,#N/A,FALSE,"속도"}</definedName>
    <definedName name="rkstjs">#N/A</definedName>
    <definedName name="RKWLTJ" hidden="1">{#N/A,#N/A,FALSE,"조골재"}</definedName>
    <definedName name="RL" localSheetId="0">BlankMacro1</definedName>
    <definedName name="RL">BlankMacro1</definedName>
    <definedName name="Rl이">#REF!</definedName>
    <definedName name="Rl일">#REF!</definedName>
    <definedName name="rladudqo">#REF!</definedName>
    <definedName name="rlr">#REF!</definedName>
    <definedName name="RLTJD" localSheetId="0">BlankMacro1</definedName>
    <definedName name="RLTJD">BlankMacro1</definedName>
    <definedName name="RM_D">#REF!</definedName>
    <definedName name="RN">#N/A</definedName>
    <definedName name="rngj" hidden="1">{#N/A,#N/A,FALSE,"골재소요량";#N/A,#N/A,FALSE,"골재소요량"}</definedName>
    <definedName name="RNJS" hidden="1">{#N/A,#N/A,FALSE,"사업총괄";#N/A,#N/A,FALSE,"장비사업";#N/A,#N/A,FALSE,"철구사업";#N/A,#N/A,FALSE,"준설사업"}</definedName>
    <definedName name="RNJSDBSGH" hidden="1">{#N/A,#N/A,FALSE,"이태원철근"}</definedName>
    <definedName name="RNO">#N/A</definedName>
    <definedName name="RNR">#REF!</definedName>
    <definedName name="RNSEO" hidden="1">{#N/A,#N/A,FALSE,"현장 NCR 분석";#N/A,#N/A,FALSE,"현장품질감사";#N/A,#N/A,FALSE,"현장품질감사"}</definedName>
    <definedName name="rnwhwh" hidden="1">{#N/A,#N/A,FALSE,"구조2"}</definedName>
    <definedName name="RO" hidden="1">{#N/A,#N/A,FALSE,"구조2"}</definedName>
    <definedName name="ROCK1">#REF!</definedName>
    <definedName name="rock1_e">#REF!</definedName>
    <definedName name="rock1_ea">#REF!</definedName>
    <definedName name="ROCK2">#REF!</definedName>
    <definedName name="rock2_e">#REF!</definedName>
    <definedName name="rock2_ea">#REF!</definedName>
    <definedName name="ROCK3">#REF!</definedName>
    <definedName name="rock3_e">#REF!</definedName>
    <definedName name="rock3_ea">#REF!</definedName>
    <definedName name="ROCK4">#REF!</definedName>
    <definedName name="rock4_e">#REF!</definedName>
    <definedName name="rock4_ea">#REF!</definedName>
    <definedName name="ROIC_2" hidden="1">{#N/A,#N/A,FALSE,"지침";#N/A,#N/A,FALSE,"환경분석";#N/A,#N/A,FALSE,"Sheet16"}</definedName>
    <definedName name="ROO" hidden="1">#REF!</definedName>
    <definedName name="ROOF">#REF!</definedName>
    <definedName name="ROTAT">#N/A</definedName>
    <definedName name="ROTAT1">#N/A</definedName>
    <definedName name="ROTAT2">#N/A</definedName>
    <definedName name="ROTAT3">#N/A</definedName>
    <definedName name="ROTAT4">#N/A</definedName>
    <definedName name="row_def_array">{"성명",0,"Auto","Auto",""}</definedName>
    <definedName name="rowclm">MOD(ROW(),2)</definedName>
    <definedName name="Royalty" hidden="1">{#N/A,#N/A,FALSE,"Sheet1"}</definedName>
    <definedName name="Royalty1">#REF!</definedName>
    <definedName name="rp">#REF!</definedName>
    <definedName name="RPE">#REF!</definedName>
    <definedName name="RR">#REF!</definedName>
    <definedName name="RRE">#REF!,#REF!</definedName>
    <definedName name="RRERW" hidden="1">{#N/A,#N/A,FALSE,"CCTV"}</definedName>
    <definedName name="RREZR" hidden="1">{#N/A,#N/A,FALSE,"손익표지";#N/A,#N/A,FALSE,"손익계산";#N/A,#N/A,FALSE,"일반관리비";#N/A,#N/A,FALSE,"영업외수익";#N/A,#N/A,FALSE,"영업외비용";#N/A,#N/A,FALSE,"매출액";#N/A,#N/A,FALSE,"요약손익";#N/A,#N/A,FALSE,"요약대차";#N/A,#N/A,FALSE,"매출채권현황";#N/A,#N/A,FALSE,"매출채권명세"}</definedName>
    <definedName name="RRR">#REF!</definedName>
    <definedName name="rrrr" hidden="1">#REF!</definedName>
    <definedName name="rrrrr" hidden="1">{#N/A,#N/A,FALSE,"2~8번"}</definedName>
    <definedName name="RRRRRR">#N/A</definedName>
    <definedName name="rs">#REF!</definedName>
    <definedName name="rsaraf" hidden="1">{#N/A,#N/A,FALSE,"운반시간"}</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S">#REF!</definedName>
    <definedName name="rsub">#REF!</definedName>
    <definedName name="RT">#REF!,#REF!,#REF!</definedName>
    <definedName name="RT_1" hidden="1">{#N/A,#N/A,FALSE,"이태원철근"}</definedName>
    <definedName name="RT_2" hidden="1">{#N/A,#N/A,FALSE,"이태원철근"}</definedName>
    <definedName name="RT_3" hidden="1">{#N/A,#N/A,FALSE,"이태원철근"}</definedName>
    <definedName name="RT5G">#REF!</definedName>
    <definedName name="rt6bd" hidden="1">{#N/A,#N/A,FALSE,"운반시간"}</definedName>
    <definedName name="rt6ey" hidden="1">{#N/A,#N/A,FALSE,"CCTV"}</definedName>
    <definedName name="RTCLCRDLCRCRCRCRCRDLRT">#REF!</definedName>
    <definedName name="RTCVHBFSHF">#N/A</definedName>
    <definedName name="RTDCDSFDSFSA">#N/A</definedName>
    <definedName name="rtffff">#REF!</definedName>
    <definedName name="rtfhgefyht">#N/A</definedName>
    <definedName name="rtfyh" hidden="1">{#N/A,#N/A,FALSE,"운반시간"}</definedName>
    <definedName name="RTG">#REF!</definedName>
    <definedName name="RTGH">{"'용역비'!$A$4:$C$8"}</definedName>
    <definedName name="RTGRGB">#N/A</definedName>
    <definedName name="rtgsh" hidden="1">{#N/A,#N/A,FALSE,"Sheet1"}</definedName>
    <definedName name="rth" hidden="1">{"'용역비'!$A$4:$C$8"}</definedName>
    <definedName name="rthhtrfhythe">#N/A</definedName>
    <definedName name="rthreth">#REF!</definedName>
    <definedName name="rthrthrth">#REF!</definedName>
    <definedName name="rthrtu">#REF!</definedName>
    <definedName name="RTHSHTRJSRT" hidden="1">#REF!</definedName>
    <definedName name="RTHT">#REF!</definedName>
    <definedName name="RTHTHGF">#N/A</definedName>
    <definedName name="rthtrhsthhg" hidden="1">{#N/A,#N/A,FALSE,"Sheet1"}</definedName>
    <definedName name="rtj">#REF!</definedName>
    <definedName name="RTJSJG" hidden="1">#REF!</definedName>
    <definedName name="RTPNT">#REF!</definedName>
    <definedName name="RTR">#REF!</definedName>
    <definedName name="rtrtr" hidden="1">#REF!</definedName>
    <definedName name="RTS">#REF!</definedName>
    <definedName name="rtt">#REF!</definedName>
    <definedName name="RTU">#REF!,#REF!</definedName>
    <definedName name="rtuetyeuetyujtyu">#REF!</definedName>
    <definedName name="rtuetytyueruyu">#REF!</definedName>
    <definedName name="rturtytyu">#REF!</definedName>
    <definedName name="RTU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uww" hidden="1">{#N/A,#N/A,FALSE,"토공2"}</definedName>
    <definedName name="rty" hidden="1">{"'용역비'!$A$4:$C$8"}</definedName>
    <definedName name="RTYE" hidden="1">{"'장비'!$A$3:$M$12"}</definedName>
    <definedName name="rtytry" hidden="1">{"'장비'!$A$3:$M$12"}</definedName>
    <definedName name="RTY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U">{"Book1","예술의전당.xls"}</definedName>
    <definedName name="RUD" hidden="1">{#N/A,#N/A,FALSE,"현장 NCR 분석";#N/A,#N/A,FALSE,"현장품질감사";#N/A,#N/A,FALSE,"현장품질감사"}</definedName>
    <definedName name="rukyrujdgyhj">#N/A</definedName>
    <definedName name="rurtrruryuru" hidden="1">{#N/A,#N/A,FALSE,"포장1";#N/A,#N/A,FALSE,"포장1"}</definedName>
    <definedName name="Rustic20">#REF!</definedName>
    <definedName name="ruswjr" hidden="1">{#N/A,#N/A,FALSE,"현장 NCR 분석";#N/A,#N/A,FALSE,"현장품질감사";#N/A,#N/A,FALSE,"현장품질감사"}</definedName>
    <definedName name="ruswjr1" hidden="1">{#N/A,#N/A,FALSE,"현장 NCR 분석";#N/A,#N/A,FALSE,"현장품질감사";#N/A,#N/A,FALSE,"현장품질감사"}</definedName>
    <definedName name="RUSWJRSHEET" hidden="1">{#N/A,#N/A,FALSE,"CCTV"}</definedName>
    <definedName name="RUSWJRTJ" hidden="1">{#N/A,#N/A,FALSE,"CCTV"}</definedName>
    <definedName name="rwaweewr" hidden="1">{#N/A,#N/A,FALSE,"골재소요량";#N/A,#N/A,FALSE,"골재소요량"}</definedName>
    <definedName name="R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we6vtd" hidden="1">{#N/A,#N/A,FALSE,"표지목차"}</definedName>
    <definedName name="rweerwarawewe" hidden="1">{#N/A,#N/A,FALSE,"운반시간"}</definedName>
    <definedName name="RWEF">#N/A</definedName>
    <definedName name="RWER" hidden="1">{#N/A,#N/A,FALSE,"제목"}</definedName>
    <definedName name="rwerwawer" hidden="1">{#N/A,#N/A,FALSE,"단가표지"}</definedName>
    <definedName name="rwgnjet">#N/A</definedName>
    <definedName name="RWP">#REF!</definedName>
    <definedName name="rwref" hidden="1">#REF!</definedName>
    <definedName name="rwsfsdf">#N/A</definedName>
    <definedName name="rwwerawer" hidden="1">{#N/A,#N/A,FALSE,"단가표지"}</definedName>
    <definedName name="rwwerweraawre" hidden="1">{#N/A,#N/A,FALSE,"표지목차"}</definedName>
    <definedName name="RYANG">#N/A</definedName>
    <definedName name="RYERY" hidden="1">{#N/A,#N/A,FALSE,"단가표지"}</definedName>
    <definedName name="ryescerfwe" hidden="1">{#N/A,#N/A,FALSE,"부대2"}</definedName>
    <definedName name="ryrty" hidden="1">{#N/A,#N/A,FALSE,"손익표지";#N/A,#N/A,FALSE,"손익계산";#N/A,#N/A,FALSE,"일반관리비";#N/A,#N/A,FALSE,"영업외수익";#N/A,#N/A,FALSE,"영업외비용";#N/A,#N/A,FALSE,"매출액";#N/A,#N/A,FALSE,"요약손익";#N/A,#N/A,FALSE,"요약대차";#N/A,#N/A,FALSE,"매출채권현황";#N/A,#N/A,FALSE,"매출채권명세"}</definedName>
    <definedName name="RYU" hidden="1">{#N/A,#N/A,FALSE,"현장 NCR 분석";#N/A,#N/A,FALSE,"현장품질감사";#N/A,#N/A,FALSE,"현장품질감사"}</definedName>
    <definedName name="RYUIRYU">{"'용역비'!$A$4:$C$8"}</definedName>
    <definedName name="ryuk" hidden="1">#REF!</definedName>
    <definedName name="S">#REF!</definedName>
    <definedName name="s_1">#REF!</definedName>
    <definedName name="s_2">#REF!</definedName>
    <definedName name="S_BB">#REF!</definedName>
    <definedName name="S_BU">#REF!</definedName>
    <definedName name="S_EF">#REF!</definedName>
    <definedName name="S_M_D_S">#N/A</definedName>
    <definedName name="S_P">#REF!</definedName>
    <definedName name="S_W_시험기사">#REF!</definedName>
    <definedName name="S10FL">#REF!</definedName>
    <definedName name="S10FR">#REF!</definedName>
    <definedName name="S10L">#REF!</definedName>
    <definedName name="S10L1">#REF!</definedName>
    <definedName name="S10L2">#REF!</definedName>
    <definedName name="S10R">#REF!</definedName>
    <definedName name="S10RL">#REF!</definedName>
    <definedName name="S10RR">#REF!</definedName>
    <definedName name="S10TL">#REF!</definedName>
    <definedName name="S10TR">#REF!</definedName>
    <definedName name="S11L1">#REF!</definedName>
    <definedName name="S11L2">#REF!</definedName>
    <definedName name="S11LA">#REF!</definedName>
    <definedName name="S12L1">#REF!</definedName>
    <definedName name="S12L2">#REF!</definedName>
    <definedName name="S13L1">#REF!</definedName>
    <definedName name="S13L2">#REF!</definedName>
    <definedName name="S14L1">#REF!</definedName>
    <definedName name="S14L2">#REF!</definedName>
    <definedName name="S15L1">#REF!</definedName>
    <definedName name="S15L2">#REF!</definedName>
    <definedName name="S16L1">#REF!</definedName>
    <definedName name="S16L2">#REF!</definedName>
    <definedName name="S17L1">#REF!</definedName>
    <definedName name="S17L2">#REF!</definedName>
    <definedName name="S18L1">#REF!</definedName>
    <definedName name="S18L2">#REF!</definedName>
    <definedName name="S19L1">#REF!</definedName>
    <definedName name="S19L2">#REF!</definedName>
    <definedName name="S1견적기준">#REF!</definedName>
    <definedName name="s1고">#REF!</definedName>
    <definedName name="S1공사명">#REF!</definedName>
    <definedName name="S1부지면적">#REF!</definedName>
    <definedName name="S1부지위치">#REF!</definedName>
    <definedName name="S1수신처">#REF!</definedName>
    <definedName name="S1연면적">#REF!</definedName>
    <definedName name="S1저">#REF!</definedName>
    <definedName name="S1ITEM11">#REF!</definedName>
    <definedName name="S1ITEM12">#REF!</definedName>
    <definedName name="S1ITEM13">#REF!</definedName>
    <definedName name="S1ITEM14">#REF!</definedName>
    <definedName name="S1ITEM15">#REF!</definedName>
    <definedName name="S1ITEM21">#REF!</definedName>
    <definedName name="S1ITEM22">#REF!</definedName>
    <definedName name="S1ITEM23">#REF!</definedName>
    <definedName name="S1ITEM24">#REF!</definedName>
    <definedName name="S1ITEM25">#REF!</definedName>
    <definedName name="S1ITEM31">#REF!</definedName>
    <definedName name="S1ITEM32">#REF!</definedName>
    <definedName name="S1ITEM33">#REF!</definedName>
    <definedName name="S1ITEM34">#REF!</definedName>
    <definedName name="S1ITEM35">#REF!</definedName>
    <definedName name="S1ITEM41">#REF!</definedName>
    <definedName name="S1ITEM42">#REF!</definedName>
    <definedName name="S1ITEM43">#REF!</definedName>
    <definedName name="S1ITEM44">#REF!</definedName>
    <definedName name="S1ITEM45">#REF!</definedName>
    <definedName name="S1ITEM51">#REF!</definedName>
    <definedName name="S1ITEM52">#REF!</definedName>
    <definedName name="S1ITEM53">#REF!</definedName>
    <definedName name="S1ITEM54">#REF!</definedName>
    <definedName name="S1ITEM55">#REF!</definedName>
    <definedName name="S1ITEM61">#REF!</definedName>
    <definedName name="S1ITEM62">#REF!</definedName>
    <definedName name="S1ITEM63">#REF!</definedName>
    <definedName name="S1ITEM64">#REF!</definedName>
    <definedName name="S1ITEM65">#REF!</definedName>
    <definedName name="S1ITEM71">#REF!</definedName>
    <definedName name="S1ITEM72">#REF!</definedName>
    <definedName name="S1ITEM73">#REF!</definedName>
    <definedName name="S1ITEM74">#REF!</definedName>
    <definedName name="S1ITEM75">#REF!</definedName>
    <definedName name="S1L1">#REF!</definedName>
    <definedName name="S1L2">#REF!</definedName>
    <definedName name="S20L1">#REF!</definedName>
    <definedName name="S20L2">#REF!</definedName>
    <definedName name="s2고">#REF!</definedName>
    <definedName name="S2공기">#REF!</definedName>
    <definedName name="S2세대수">#REF!</definedName>
    <definedName name="S2연면적">#REF!</definedName>
    <definedName name="s2저">#REF!</definedName>
    <definedName name="S2착공일">#REF!</definedName>
    <definedName name="S2ADDCOST">#REF!</definedName>
    <definedName name="S2APT_AREA">#REF!</definedName>
    <definedName name="S2APT_TOTAREA">#REF!</definedName>
    <definedName name="S2BLDG_INFO">#REF!</definedName>
    <definedName name="S2CIVILPYCOST">#REF!</definedName>
    <definedName name="S2DONG">#REF!</definedName>
    <definedName name="S2FLOOR">#REF!</definedName>
    <definedName name="S2KINDER_AREA">#REF!</definedName>
    <definedName name="S2L">#REF!</definedName>
    <definedName name="S2L1">#REF!</definedName>
    <definedName name="S2L2">#REF!</definedName>
    <definedName name="S2MECH_AREA">#REF!</definedName>
    <definedName name="S2MGR_AREA">#REF!</definedName>
    <definedName name="S2PARK_AREA">#REF!</definedName>
    <definedName name="S2PYTYPE">#REF!</definedName>
    <definedName name="S2SHOP_AREA">#REF!</definedName>
    <definedName name="S2UNIT">#REF!</definedName>
    <definedName name="s3고">#REF!</definedName>
    <definedName name="s3저">#REF!</definedName>
    <definedName name="S3FL">#REF!</definedName>
    <definedName name="S3FR">#REF!</definedName>
    <definedName name="S3KINDER">#REF!</definedName>
    <definedName name="S3L">#REF!</definedName>
    <definedName name="S3L1">#REF!</definedName>
    <definedName name="S3L2">#REF!</definedName>
    <definedName name="S3L3">#REF!</definedName>
    <definedName name="S3MACH">#REF!</definedName>
    <definedName name="S3MANAGE">#REF!</definedName>
    <definedName name="S3PARK">#REF!</definedName>
    <definedName name="S3R">#REF!</definedName>
    <definedName name="S3RL">#REF!</definedName>
    <definedName name="S3RR">#REF!</definedName>
    <definedName name="S3SEPTIC">#REF!</definedName>
    <definedName name="S3SHOP">#REF!</definedName>
    <definedName name="S3TL">#REF!</definedName>
    <definedName name="S3TR">#REF!</definedName>
    <definedName name="S3WATER">#REF!</definedName>
    <definedName name="S4APT_PYCOST">#REF!</definedName>
    <definedName name="S4APTBOX">#REF!</definedName>
    <definedName name="S4CIVIL_COST">#REF!</definedName>
    <definedName name="S4DONG">#REF!</definedName>
    <definedName name="S4FL">#REF!</definedName>
    <definedName name="S4FR">#REF!</definedName>
    <definedName name="S4L">#REF!</definedName>
    <definedName name="S4L1">#REF!</definedName>
    <definedName name="S4L2">#REF!</definedName>
    <definedName name="S4R">#REF!</definedName>
    <definedName name="S4RL">#REF!</definedName>
    <definedName name="S4RR">#REF!</definedName>
    <definedName name="S4TL">#REF!</definedName>
    <definedName name="S4TR">#REF!</definedName>
    <definedName name="S5공기">#REF!</definedName>
    <definedName name="S5세대수">#REF!</definedName>
    <definedName name="S5연면적">#REF!</definedName>
    <definedName name="S5추가공사비">#REF!</definedName>
    <definedName name="S5층수">#REF!</definedName>
    <definedName name="S5FL">#REF!</definedName>
    <definedName name="S5FR">#REF!</definedName>
    <definedName name="S5L">#REF!</definedName>
    <definedName name="S5L1">#REF!</definedName>
    <definedName name="S5L2">#REF!</definedName>
    <definedName name="S5R">#REF!</definedName>
    <definedName name="S5RL">#REF!</definedName>
    <definedName name="S5RR">#REF!</definedName>
    <definedName name="S5SITE">#REF!</definedName>
    <definedName name="S5TL">#REF!</definedName>
    <definedName name="S5TR">#REF!</definedName>
    <definedName name="S6견적금액">#REF!</definedName>
    <definedName name="S6견적자">#REF!</definedName>
    <definedName name="S6기타">#REF!</definedName>
    <definedName name="S6담장">#REF!</definedName>
    <definedName name="S6시설물">#REF!</definedName>
    <definedName name="S6연면적">#REF!</definedName>
    <definedName name="S6조경">#REF!</definedName>
    <definedName name="S6토목금액">#REF!</definedName>
    <definedName name="S6FL">#REF!</definedName>
    <definedName name="S6FR">#REF!</definedName>
    <definedName name="S6L">#REF!</definedName>
    <definedName name="S6L1">#REF!</definedName>
    <definedName name="S6L2">#REF!</definedName>
    <definedName name="S6R">#REF!</definedName>
    <definedName name="S6RL">#REF!</definedName>
    <definedName name="S6RR">#REF!</definedName>
    <definedName name="S6TL">#REF!</definedName>
    <definedName name="S6TR">#REF!</definedName>
    <definedName name="S7ARGUE_PYCOST">#REF!</definedName>
    <definedName name="S7ARGUE1">#REF!</definedName>
    <definedName name="S7FL">#REF!</definedName>
    <definedName name="S7FR">#REF!</definedName>
    <definedName name="S7L">#REF!</definedName>
    <definedName name="S7L1">#REF!</definedName>
    <definedName name="S7L2">#REF!</definedName>
    <definedName name="S7R">#REF!</definedName>
    <definedName name="S7RL">#REF!</definedName>
    <definedName name="S7RR">#REF!</definedName>
    <definedName name="S7TL">#REF!</definedName>
    <definedName name="S7TR">#REF!</definedName>
    <definedName name="S8ADD">#REF!</definedName>
    <definedName name="S8ARCHADD_BOX">#REF!</definedName>
    <definedName name="S8FL">#REF!</definedName>
    <definedName name="S8FR">#REF!</definedName>
    <definedName name="S8L">#REF!</definedName>
    <definedName name="S8L1">#REF!</definedName>
    <definedName name="S8L2">#REF!</definedName>
    <definedName name="S8R">#REF!</definedName>
    <definedName name="S8RL">#REF!</definedName>
    <definedName name="S8RR">#REF!</definedName>
    <definedName name="S8TL">#REF!</definedName>
    <definedName name="S8TR">#REF!</definedName>
    <definedName name="S9매입세율">#REF!</definedName>
    <definedName name="S9법정안전관리비">#REF!</definedName>
    <definedName name="S9보험료_기본">#REF!</definedName>
    <definedName name="S9비적용면적">#REF!</definedName>
    <definedName name="S9설비">#REF!</definedName>
    <definedName name="S9안전_경비율">#REF!</definedName>
    <definedName name="S9안전관리비공제">#REF!</definedName>
    <definedName name="S9연면적">#REF!</definedName>
    <definedName name="S9전기">#REF!</definedName>
    <definedName name="S9토목">#REF!</definedName>
    <definedName name="S9FL">#REF!</definedName>
    <definedName name="S9FR">#REF!</definedName>
    <definedName name="S9L">#REF!</definedName>
    <definedName name="S9L1">#REF!</definedName>
    <definedName name="S9L2">#REF!</definedName>
    <definedName name="S9R">#REF!</definedName>
    <definedName name="S9RL">#REF!</definedName>
    <definedName name="S9RR">#REF!</definedName>
    <definedName name="S9TL">#REF!</definedName>
    <definedName name="S9TR">#REF!</definedName>
    <definedName name="S방수">#REF!</definedName>
    <definedName name="S행">#REF!</definedName>
    <definedName name="SA">#N/A</definedName>
    <definedName name="SAC" hidden="1">{#N/A,#N/A,FALSE,"갑지";#N/A,#N/A,FALSE,"개요";#N/A,#N/A,FALSE,"비목별";#N/A,#N/A,FALSE,"건물별";#N/A,#N/A,FALSE,"기구표";#N/A,#N/A,FALSE,"직원투입"}</definedName>
    <definedName name="sad" hidden="1">{#N/A,#N/A,FALSE,"이태원철근"}</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ASD" localSheetId="0">BlankMacro1</definedName>
    <definedName name="SADADASD">BlankMacro1</definedName>
    <definedName name="SADASDA" hidden="1">{#N/A,#N/A,FALSE,"UNIT";#N/A,#N/A,FALSE,"UNIT";#N/A,#N/A,FALSE,"계정"}</definedName>
    <definedName name="SADDLE">#REF!</definedName>
    <definedName name="SADE">#REF!</definedName>
    <definedName name="SADF">#REF!</definedName>
    <definedName name="SADFAR23" hidden="1">{#N/A,#N/A,FALSE,"Sheet1"}</definedName>
    <definedName name="SADFF" hidden="1">{#N/A,#N/A,FALSE,"단가표지"}</definedName>
    <definedName name="SADFI23HUI92R32" hidden="1">{#N/A,#N/A,FALSE,"Sheet1"}</definedName>
    <definedName name="sads"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sadsad"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sadsfd" hidden="1">#REF!</definedName>
    <definedName name="saDVC" hidden="1">{#N/A,#N/A,FALSE,"전력간선"}</definedName>
    <definedName name="SAE" hidden="1">{#N/A,#N/A,FALSE,"골재소요량";#N/A,#N/A,FALSE,"골재소요량"}</definedName>
    <definedName name="saf" hidden="1">{#N/A,#N/A,FALSE,"CCTV"}</definedName>
    <definedName name="SAFDAF">{"'Firr(선)'!$AS$1:$AY$62","'Firr(사)'!$AS$1:$AY$62","'Firr(회)'!$AS$1:$AY$62","'Firr(선)'!$L$1:$V$62","'Firr(사)'!$L$1:$V$62","'Firr(회)'!$L$1:$V$62"}</definedName>
    <definedName name="safdas" hidden="1">#REF!</definedName>
    <definedName name="SAFD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FDNJKJIK323" hidden="1">{#N/A,#N/A,FALSE,"Sheet1"}</definedName>
    <definedName name="safdsaf" hidden="1">#REF!</definedName>
    <definedName name="sagsgf" hidden="1">#REF!</definedName>
    <definedName name="Sal.Escal_Korean">#REF!</definedName>
    <definedName name="Sal.Escal_Local.Reg">#REF!</definedName>
    <definedName name="Sal.Escal_Third.N">#REF!</definedName>
    <definedName name="Salary_Korean">#REF!</definedName>
    <definedName name="Salary_Local.Reg">#REF!</definedName>
    <definedName name="Salary_Third.N">#REF!</definedName>
    <definedName name="SALESPLAN">#REF!</definedName>
    <definedName name="SalesRegions">{"S. California";"Pacific NW";"SouthWest";"Central";"SouthEast";"NorthEast"}</definedName>
    <definedName name="SALI">#REF!</definedName>
    <definedName name="SAM" hidden="1">{#N/A,#N/A,TRUE,"Basic";#N/A,#N/A,TRUE,"EXT-TABLE";#N/A,#N/A,TRUE,"STEEL";#N/A,#N/A,TRUE,"INT-Table";#N/A,#N/A,TRUE,"STEEL";#N/A,#N/A,TRUE,"Door"}</definedName>
    <definedName name="sample">#REF!</definedName>
    <definedName name="Sample1">#REF!</definedName>
    <definedName name="SAN">#REF!</definedName>
    <definedName name="sanch_2">#REF!</definedName>
    <definedName name="sanch_3">#REF!</definedName>
    <definedName name="sanch_4">#REF!</definedName>
    <definedName name="sand">#REF!</definedName>
    <definedName name="SAO_pnt">#REF!</definedName>
    <definedName name="SAPBEXdnldView" hidden="1">"41JLQUL0YNPVK3OX98UIGJGNP"</definedName>
    <definedName name="SAPBEXrevision" hidden="1">26</definedName>
    <definedName name="SAPBEXsysID" hidden="1">"BWP"</definedName>
    <definedName name="SAPBEXwbID" hidden="1">"C7426BSEW341K0NJFZU41FTQX"</definedName>
    <definedName name="sarsda">#REF!</definedName>
    <definedName name="sasa" hidden="1">{#N/A,#N/A,FALSE,"CCTV"}</definedName>
    <definedName name="sasasa" hidden="1">{#N/A,#N/A,FALSE,"속도"}</definedName>
    <definedName name="sasdf" hidden="1">0</definedName>
    <definedName name="SASL">#REF!</definedName>
    <definedName name="SAV">#N/A</definedName>
    <definedName name="SB">#REF!</definedName>
    <definedName name="SBP">#REF!</definedName>
    <definedName name="SBS" hidden="1">{#N/A,#N/A,FALSE,"생산성";#N/A,#N/A,FALSE,"인력1";#N/A,#N/A,FALSE,"인력2";#N/A,#N/A,FALSE,"인력3";#N/A,#N/A,FALSE,"인건1";#N/A,#N/A,FALSE,"인건2";#N/A,#N/A,FALSE,"인건3";#N/A,#N/A,FALSE,"인원증감";#N/A,#N/A,FALSE,"인건증감";#N/A,#N/A,FALSE,"표지등"}</definedName>
    <definedName name="Sc">#REF!</definedName>
    <definedName name="SC_pnt">#REF!</definedName>
    <definedName name="SC_pnt_blk">#REF!</definedName>
    <definedName name="SC주자재집계푶" hidden="1">{#N/A,#N/A,FALSE,"견적갑지";#N/A,#N/A,FALSE,"총괄표";#N/A,#N/A,FALSE,"철골공사";#N/A,#N/A,FALSE,"토목공사";#N/A,#N/A,FALSE,"판넬전기공사"}</definedName>
    <definedName name="SCCR">#REF!</definedName>
    <definedName name="SCDT">#REF!</definedName>
    <definedName name="sche_buf1">#REF!</definedName>
    <definedName name="sche_buf2">#REF!</definedName>
    <definedName name="sche_buf3">#REF!</definedName>
    <definedName name="sche_duration">#REF!</definedName>
    <definedName name="sche_endday">#REF!</definedName>
    <definedName name="sche_projname">#REF!</definedName>
    <definedName name="sche_stday">#REF!</definedName>
    <definedName name="ScheChange_Cri">#REF!</definedName>
    <definedName name="ScheChange_Out">#REF!</definedName>
    <definedName name="SChonsei">#REF!</definedName>
    <definedName name="SCK">#REF!</definedName>
    <definedName name="SCO_acti_addr">#REF!</definedName>
    <definedName name="SCO_acti_pnt">#REF!</definedName>
    <definedName name="SCO_pnt">#REF!</definedName>
    <definedName name="SCODcr">#REF!</definedName>
    <definedName name="SCODE">#N/A</definedName>
    <definedName name="SCOPE">#REF!</definedName>
    <definedName name="scri_out">#REF!</definedName>
    <definedName name="scri_top">#REF!</definedName>
    <definedName name="SCRUBBER">#REF!</definedName>
    <definedName name="SCRUBBERHOUSING">#REF!</definedName>
    <definedName name="SCW" localSheetId="0">BlankMacro1</definedName>
    <definedName name="SCW">BlankMacro1</definedName>
    <definedName name="sd" hidden="1">{#N/A,#N/A,FALSE,"전력간선"}</definedName>
    <definedName name="SD_9_21_제작설치">#REF!</definedName>
    <definedName name="sda">#REF!,#REF!</definedName>
    <definedName name="SDADFFDDDFFGD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adSdsasdsa">{"'자리배치도'!$AG$1:$CI$28"}</definedName>
    <definedName name="sdadsffdsaf2132432">#REF!</definedName>
    <definedName name="SDAFADF" hidden="1">{#N/A,#N/A,FALSE,"손익표지";#N/A,#N/A,FALSE,"손익계산";#N/A,#N/A,FALSE,"일반관리비";#N/A,#N/A,FALSE,"영업외수익";#N/A,#N/A,FALSE,"영업외비용";#N/A,#N/A,FALSE,"매출액";#N/A,#N/A,FALSE,"요약손익";#N/A,#N/A,FALSE,"요약대차";#N/A,#N/A,FALSE,"매출채권현황";#N/A,#N/A,FALSE,"매출채권명세"}</definedName>
    <definedName name="SDAFNK332" hidden="1">{#N/A,#N/A,FALSE,"Sheet1"}</definedName>
    <definedName name="sdakfdjiofad">#N/A</definedName>
    <definedName name="SDAS" hidden="1">{"'Firr(선)'!$AS$1:$AY$62","'Firr(사)'!$AS$1:$AY$62","'Firr(회)'!$AS$1:$AY$62","'Firr(선)'!$L$1:$V$62","'Firr(사)'!$L$1:$V$62","'Firr(회)'!$L$1:$V$62"}</definedName>
    <definedName name="SDAVF">#REF!</definedName>
    <definedName name="sdbyu2723" hidden="1">{#N/A,#N/A,FALSE,"Sheet1"}</definedName>
    <definedName name="SDC">#REF!,#REF!</definedName>
    <definedName name="SdcdF">#REF!</definedName>
    <definedName name="SDCFG\" hidden="1">{#N/A,#N/A,FALSE,"운반시간"}</definedName>
    <definedName name="sdcvbzdfghadg" hidden="1">{#N/A,#N/A,FALSE,"BS";#N/A,#N/A,FALSE,"PL";#N/A,#N/A,FALSE,"처분";#N/A,#N/A,FALSE,"현금";#N/A,#N/A,FALSE,"매출";#N/A,#N/A,FALSE,"원가";#N/A,#N/A,FALSE,"경영"}</definedName>
    <definedName name="sdd" hidden="1">{#N/A,#N/A,FALSE,"전력간선"}</definedName>
    <definedName name="sdddddd" hidden="1">{#N/A,#N/A,FALSE,"BS";#N/A,#N/A,FALSE,"PL";#N/A,#N/A,FALSE,"처분";#N/A,#N/A,FALSE,"현금";#N/A,#N/A,FALSE,"매출";#N/A,#N/A,FALSE,"원가";#N/A,#N/A,FALSE,"경영"}</definedName>
    <definedName name="SDDFD" hidden="1">{#N/A,#N/A,FALSE,"배수1"}</definedName>
    <definedName name="sdeft23y23" hidden="1">{#N/A,#N/A,FALSE,"Sheet1"}</definedName>
    <definedName name="sder" hidden="1">{#N/A,#N/A,FALSE,"현장 NCR 분석";#N/A,#N/A,FALSE,"현장품질감사";#N/A,#N/A,FALSE,"현장품질감사"}</definedName>
    <definedName name="sder_1" hidden="1">{#N/A,#N/A,FALSE,"현장 NCR 분석";#N/A,#N/A,FALSE,"현장품질감사";#N/A,#N/A,FALSE,"현장품질감사"}</definedName>
    <definedName name="SDF" hidden="1">{#N/A,#N/A,FALSE,"혼합골재"}</definedName>
    <definedName name="SDF3R32" hidden="1">{#N/A,#N/A,FALSE,"Sheet1"}</definedName>
    <definedName name="SDF3RR233R32" hidden="1">{#N/A,#N/A,FALSE,"Sheet1"}</definedName>
    <definedName name="sdf7872121" hidden="1">{#N/A,#N/A,FALSE,"Sheet1"}</definedName>
    <definedName name="SDF872387R32" hidden="1">{#N/A,#N/A,FALSE,"Sheet1"}</definedName>
    <definedName name="sdfag" hidden="1">#REF!</definedName>
    <definedName name="sdfdd">#N/A</definedName>
    <definedName name="sdfdf" hidden="1">{"'장비'!$A$3:$M$12"}</definedName>
    <definedName name="SDFDFADSE">#REF!</definedName>
    <definedName name="SDFDFD" hidden="1">{#N/A,#N/A,FALSE,"운반시간"}</definedName>
    <definedName name="sdfdghfj">#REF!</definedName>
    <definedName name="SDFDHFHJ23U32">#REF!</definedName>
    <definedName name="SDFFEW32R32R32R" hidden="1">{#N/A,#N/A,FALSE,"Sheet1"}</definedName>
    <definedName name="SDFFFFFFFFFFFFFFFFFFFFFFFFFFFFFF" hidden="1">{#N/A,#N/A,FALSE,"이태원철근"}</definedName>
    <definedName name="sdfg">#REF!</definedName>
    <definedName name="sdfgdfsdgn">#REF!</definedName>
    <definedName name="SDFGDSFGDSG" hidden="1">{#N/A,#N/A,FALSE,"기안지";#N/A,#N/A,FALSE,"통신지"}</definedName>
    <definedName name="sdfgggg" hidden="1">{#N/A,#N/A,FALSE,"BS";#N/A,#N/A,FALSE,"PL";#N/A,#N/A,FALSE,"처분";#N/A,#N/A,FALSE,"현금";#N/A,#N/A,FALSE,"매출";#N/A,#N/A,FALSE,"원가";#N/A,#N/A,FALSE,"경영"}</definedName>
    <definedName name="sdfghyu3e2yu32" hidden="1">{#N/A,#N/A,FALSE,"Sheet1"}</definedName>
    <definedName name="SDFGSDFG" hidden="1">{#N/A,#N/A,FALSE,"기안지";#N/A,#N/A,FALSE,"통신지"}</definedName>
    <definedName name="SDFGSDFGDSFG" hidden="1">{#N/A,#N/A,FALSE,"기안지";#N/A,#N/A,FALSE,"통신지"}</definedName>
    <definedName name="SDFGSDFGSDDFGSDFGSD" hidden="1">{#N/A,#N/A,FALSE,"기안지";#N/A,#N/A,FALSE,"통신지"}</definedName>
    <definedName name="SDFGSDFGSDFGSDF" hidden="1">{#N/A,#N/A,FALSE,"기안지";#N/A,#N/A,FALSE,"통신지"}</definedName>
    <definedName name="sdfgsdgsgsdfg" hidden="1">{#N/A,#N/A,FALSE,"BS";#N/A,#N/A,FALSE,"PL";#N/A,#N/A,FALSE,"처분";#N/A,#N/A,FALSE,"현금";#N/A,#N/A,FALSE,"매출";#N/A,#N/A,FALSE,"원가";#N/A,#N/A,FALSE,"경영"}</definedName>
    <definedName name="sdfgsdhysr" hidden="1">{#N/A,#N/A,FALSE,"속도"}</definedName>
    <definedName name="SDFGSFG" hidden="1">{#N/A,#N/A,FALSE,"포장1";#N/A,#N/A,FALSE,"포장1"}</definedName>
    <definedName name="sdfguj" hidden="1">{#N/A,#N/A,FALSE,"물가변동 (2)";#N/A,#N/A,FALSE,"공사비";#N/A,#N/A,FALSE,"사급";#N/A,#N/A,FALSE,"도급집계";#N/A,#N/A,FALSE,"재료비";#N/A,#N/A,FALSE,"노무비";#N/A,#N/A,FALSE,"경비"}</definedName>
    <definedName name="SDFGYU2332" hidden="1">{#N/A,#N/A,FALSE,"Sheet1"}</definedName>
    <definedName name="sdfh" hidden="1">{#N/A,#N/A,FALSE,"도급대비시행율";#N/A,#N/A,FALSE,"결의서";#N/A,#N/A,FALSE,"내역서";#N/A,#N/A,FALSE,"도급예상"}</definedName>
    <definedName name="SDFHAEHTQ"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fghdf" hidden="1">#REF!</definedName>
    <definedName name="sdfhjsgfsd" hidden="1">{#N/A,#N/A,FALSE,"Sheet1"}</definedName>
    <definedName name="sdfih78223" hidden="1">{#N/A,#N/A,FALSE,"Sheet1"}</definedName>
    <definedName name="sdfij23r8923" hidden="1">{#N/A,#N/A,FALSE,"Sheet1"}</definedName>
    <definedName name="sdfiuur32832" hidden="1">{#N/A,#N/A,FALSE,"Sheet1"}</definedName>
    <definedName name="sdfjgyu2e23" hidden="1">{#N/A,#N/A,FALSE,"Sheet1"}</definedName>
    <definedName name="sdfjh3e2783232" hidden="1">{#N/A,#N/A,FALSE,"Sheet1"}</definedName>
    <definedName name="SDFJHGUI24323" hidden="1">{#N/A,#N/A,FALSE,"Sheet1"}</definedName>
    <definedName name="sdfjhhj2" hidden="1">{#N/A,#N/A,FALSE,"Sheet1"}</definedName>
    <definedName name="sdfjhyfewy32y" hidden="1">{#N/A,#N/A,FALSE,"Sheet1"}</definedName>
    <definedName name="sdfjj2323" hidden="1">{#N/A,#N/A,FALSE,"Sheet1"}</definedName>
    <definedName name="sdfjkuj322332" hidden="1">{#N/A,#N/A,FALSE,"Sheet1"}</definedName>
    <definedName name="sdfjuihu32832" hidden="1">{#N/A,#N/A,FALSE,"Sheet1"}</definedName>
    <definedName name="sdfjuydsf78jk" hidden="1">{#N/A,#N/A,FALSE,"Sheet1"}</definedName>
    <definedName name="sdfjygu23" hidden="1">{#N/A,#N/A,FALSE,"Sheet1"}</definedName>
    <definedName name="sdfn32872" hidden="1">{#N/A,#N/A,FALSE,"Sheet1"}</definedName>
    <definedName name="SDFR3232R2R332" hidden="1">{#N/A,#N/A,FALSE,"Sheet1"}</definedName>
    <definedName name="sdfr4">#REF!</definedName>
    <definedName name="SDFREW322332R" hidden="1">{#N/A,#N/A,FALSE,"Sheet1"}</definedName>
    <definedName name="SDFS">#N/A</definedName>
    <definedName name="SDFSD" hidden="1">{#N/A,#N/A,FALSE,"제목"}</definedName>
    <definedName name="SDFSDF" hidden="1">{#N/A,#N/A,FALSE,"제목"}</definedName>
    <definedName name="sdfsdfasddfas" hidden="1">{#N/A,#N/A,FALSE,"보고목차";#N/A,#N/A,FALSE,"1)서비스접수";#N/A,#N/A,FALSE,"2)상담";#N/A,#N/A,FALSE,"2.월별접수추이현황"}</definedName>
    <definedName name="SDFSDFSDF" hidden="1">{#N/A,#N/A,FALSE,"기안지";#N/A,#N/A,FALSE,"통신지"}</definedName>
    <definedName name="SDFSDREW23" hidden="1">{#N/A,#N/A,FALSE,"Sheet1"}</definedName>
    <definedName name="SDFSF" hidden="1">#REF!</definedName>
    <definedName name="sdfsgd" hidden="1">{#N/A,#N/A,FALSE,"이태원철근"}</definedName>
    <definedName name="sdfu23" hidden="1">{#N/A,#N/A,FALSE,"Sheet1"}</definedName>
    <definedName name="sdfujujin">#REF!</definedName>
    <definedName name="sdfuy23" hidden="1">{#N/A,#N/A,FALSE,"Sheet1"}</definedName>
    <definedName name="sdfuy32723" hidden="1">{#N/A,#N/A,FALSE,"Sheet1"}</definedName>
    <definedName name="sdfuy32732" hidden="1">{#N/A,#N/A,FALSE,"Sheet1"}</definedName>
    <definedName name="sdfuy3r782332" hidden="1">{#N/A,#N/A,FALSE,"Sheet1"}</definedName>
    <definedName name="sdfuy78223" hidden="1">{#N/A,#N/A,FALSE,"Sheet1"}</definedName>
    <definedName name="sdfuyg32y23" hidden="1">{#N/A,#N/A,FALSE,"Sheet1"}</definedName>
    <definedName name="sdfuygwyte" hidden="1">{#N/A,#N/A,FALSE,"Sheet1"}</definedName>
    <definedName name="sdfuyh237823" hidden="1">{#N/A,#N/A,FALSE,"Sheet1"}</definedName>
    <definedName name="sdfuyyu23e32" hidden="1">{#N/A,#N/A,FALSE,"Sheet1"}</definedName>
    <definedName name="sdfvzcvse" hidden="1">{#N/A,#N/A,FALSE,"BS";#N/A,#N/A,FALSE,"PL";#N/A,#N/A,FALSE,"처분";#N/A,#N/A,FALSE,"현금";#N/A,#N/A,FALSE,"매출";#N/A,#N/A,FALSE,"원가";#N/A,#N/A,FALSE,"경영"}</definedName>
    <definedName name="sdfy32ry32" hidden="1">{#N/A,#N/A,FALSE,"Sheet1"}</definedName>
    <definedName name="sdfy7162" hidden="1">{#N/A,#N/A,FALSE,"Sheet1"}</definedName>
    <definedName name="SDFY82388923" hidden="1">{#N/A,#N/A,FALSE,"Sheet1"}</definedName>
    <definedName name="sdfyu2332" hidden="1">{#N/A,#N/A,FALSE,"Sheet1"}</definedName>
    <definedName name="sdfyu2732332" hidden="1">{#N/A,#N/A,FALSE,"Sheet1"}</definedName>
    <definedName name="sdfyu7623" hidden="1">{#N/A,#N/A,FALSE,"Sheet1"}</definedName>
    <definedName name="sdfyuh2723" hidden="1">{#N/A,#N/A,FALSE,"Sheet1"}</definedName>
    <definedName name="sdfyw2" hidden="1">{#N/A,#N/A,FALSE,"Sheet1"}</definedName>
    <definedName name="sdg" hidden="1">#REF!</definedName>
    <definedName name="SDGA" hidden="1">{#N/A,#N/A,FALSE,"조골재"}</definedName>
    <definedName name="SDGAS" hidden="1">#REF!</definedName>
    <definedName name="SDGASD">#N/A</definedName>
    <definedName name="sdgdsfdsgdsfggfdsd" hidden="1">#REF!</definedName>
    <definedName name="SDGDSFG" hidden="1">{#N/A,#N/A,FALSE,"기안지";#N/A,#N/A,FALSE,"통신지"}</definedName>
    <definedName name="sdgg23" hidden="1">{#N/A,#N/A,FALSE,"Sheet1"}</definedName>
    <definedName name="SDGSDFGEWT" hidden="1">{#N/A,#N/A,FALSE,"기안지";#N/A,#N/A,FALSE,"통신지"}</definedName>
    <definedName name="sdgwer">{"Book1","예술의전당.xls"}</definedName>
    <definedName name="sdgyu2r323" hidden="1">{#N/A,#N/A,FALSE,"Sheet1"}</definedName>
    <definedName name="sdhfgu3232" hidden="1">{#N/A,#N/A,FALSE,"Sheet1"}</definedName>
    <definedName name="sdhgds" hidden="1">{#N/A,#N/A,FALSE,"Sheet1"}</definedName>
    <definedName name="sdhggwqe23yu" hidden="1">{#N/A,#N/A,FALSE,"Sheet1"}</definedName>
    <definedName name="sdhgh12e" hidden="1">{#N/A,#N/A,FALSE,"Sheet1"}</definedName>
    <definedName name="sdhgy7623" hidden="1">{#N/A,#N/A,FALSE,"Sheet1"}</definedName>
    <definedName name="sdhj" hidden="1">{#N/A,#N/A,FALSE,"현장 NCR 분석";#N/A,#N/A,FALSE,"현장품질감사";#N/A,#N/A,FALSE,"현장품질감사"}</definedName>
    <definedName name="sdhuu7332" hidden="1">{#N/A,#N/A,FALSE,"Sheet1"}</definedName>
    <definedName name="sdifu782332" hidden="1">{#N/A,#N/A,FALSE,"Sheet1"}</definedName>
    <definedName name="sdjasld" hidden="1">#REF!</definedName>
    <definedName name="SDJFKJ3EKJF" hidden="1">{#N/A,#N/A,FALSE,"Sheet1"}</definedName>
    <definedName name="sdjh21u213" hidden="1">{#N/A,#N/A,FALSE,"Sheet1"}</definedName>
    <definedName name="sdjh2321" hidden="1">{#N/A,#N/A,FALSE,"Sheet1"}</definedName>
    <definedName name="sdjhfdyu21" hidden="1">{#N/A,#N/A,FALSE,"Sheet1"}</definedName>
    <definedName name="sdjhg32uy32" hidden="1">{#N/A,#N/A,FALSE,"Sheet1"}</definedName>
    <definedName name="SDJHHJH42KJ3W" hidden="1">{#N/A,#N/A,FALSE,"Sheet1"}</definedName>
    <definedName name="sdjhsdg23" hidden="1">{#N/A,#N/A,FALSE,"Sheet1"}</definedName>
    <definedName name="sdjhuy233" hidden="1">{#N/A,#N/A,FALSE,"Sheet1"}</definedName>
    <definedName name="SDJUI">#REF!</definedName>
    <definedName name="SDK">#REF!,#REF!</definedName>
    <definedName name="sdlgkjalsdgjadfs" hidden="1">#REF!</definedName>
    <definedName name="SDNR">#REF!</definedName>
    <definedName name="sdq" hidden="1">{#N/A,#N/A,FALSE,"현장 NCR 분석";#N/A,#N/A,FALSE,"현장품질감사";#N/A,#N/A,FALSE,"현장품질감사"}</definedName>
    <definedName name="sdq_1" hidden="1">{#N/A,#N/A,FALSE,"현장 NCR 분석";#N/A,#N/A,FALSE,"현장품질감사";#N/A,#N/A,FALSE,"현장품질감사"}</definedName>
    <definedName name="SDRFE">#REF!</definedName>
    <definedName name="SDRTHST" hidden="1">#REF!</definedName>
    <definedName name="sdryhj" hidden="1">{"'용역비'!$A$4:$C$8"}</definedName>
    <definedName name="SDS" hidden="1">{#N/A,#N/A,FALSE,"2~8번"}</definedName>
    <definedName name="SDS_1" hidden="1">{#N/A,#N/A,FALSE,"2~8번"}</definedName>
    <definedName name="sdsd" hidden="1">#REF!</definedName>
    <definedName name="sdsda" hidden="1">{#N/A,#N/A,TRUE,"토적및재료집계";#N/A,#N/A,TRUE,"토적및재료집계";#N/A,#N/A,TRUE,"단위량"}</definedName>
    <definedName name="sdsdddd" hidden="1">{#N/A,#N/A,FALSE,"토공2"}</definedName>
    <definedName name="sdsdsd"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sdsdsdsds" hidden="1">{#N/A,#N/A,FALSE,"CCTV"}</definedName>
    <definedName name="SDSDSDSDSD" hidden="1">{#N/A,#N/A,FALSE,"골재소요량";#N/A,#N/A,FALSE,"골재소요량"}</definedName>
    <definedName name="sdsdsdsdsdsd" hidden="1">{#N/A,#N/A,FALSE,"지침";#N/A,#N/A,FALSE,"환경분석";#N/A,#N/A,FALSE,"Sheet16"}</definedName>
    <definedName name="sdsffssds"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sdsss">#REF!</definedName>
    <definedName name="SDT">#N/A</definedName>
    <definedName name="SDTB" hidden="1">#N/A</definedName>
    <definedName name="sduy237623" hidden="1">{#N/A,#N/A,FALSE,"Sheet1"}</definedName>
    <definedName name="sdv">#REF!</definedName>
    <definedName name="SDVF">#REF!</definedName>
    <definedName name="sdwf4rge" hidden="1">{#N/A,#N/A,FALSE,"운반시간"}</definedName>
    <definedName name="sdytewty23ty32\" hidden="1">{#N/A,#N/A,FALSE,"Sheet1"}</definedName>
    <definedName name="sdyuy3223" hidden="1">{#N/A,#N/A,FALSE,"Sheet1"}</definedName>
    <definedName name="SE" hidden="1">{"'용역비'!$A$4:$C$8"}</definedName>
    <definedName name="SEA">#REF!</definedName>
    <definedName name="SearchActi_Out">#REF!</definedName>
    <definedName name="SEB4A">#REF!</definedName>
    <definedName name="SEC1A">#REF!</definedName>
    <definedName name="SECB1">#REF!</definedName>
    <definedName name="SECOND">#REF!</definedName>
    <definedName name="secta">#REF!</definedName>
    <definedName name="sectb">#REF!</definedName>
    <definedName name="sefh7823" hidden="1">{#N/A,#N/A,FALSE,"Sheet1"}</definedName>
    <definedName name="sefhjewyu23" hidden="1">{#N/A,#N/A,FALSE,"Sheet1"}</definedName>
    <definedName name="sefyu2332" hidden="1">{#N/A,#N/A,FALSE,"Sheet1"}</definedName>
    <definedName name="segfn" hidden="1">{#N/A,#N/A,FALSE,"BS";#N/A,#N/A,FALSE,"PL";#N/A,#N/A,FALSE,"처분";#N/A,#N/A,FALSE,"현금";#N/A,#N/A,FALSE,"매출";#N/A,#N/A,FALSE,"원가";#N/A,#N/A,FALSE,"경영"}</definedName>
    <definedName name="SEHDGGD">#N/A</definedName>
    <definedName name="SEIKUM">#N/A</definedName>
    <definedName name="SEJ">#REF!</definedName>
    <definedName name="SELECT">#N/A</definedName>
    <definedName name="select_gj" hidden="1">#N/A</definedName>
    <definedName name="select_gs" hidden="1">#N/A</definedName>
    <definedName name="select_ij1" hidden="1">#N/A</definedName>
    <definedName name="select_ij2" hidden="1">#N/A</definedName>
    <definedName name="select_ij3" hidden="1">#N/A</definedName>
    <definedName name="select_ti" hidden="1">#N/A</definedName>
    <definedName name="sencount" hidden="1">1</definedName>
    <definedName name="seok" hidden="1">#REF!</definedName>
    <definedName name="seoklll">#REF!</definedName>
    <definedName name="SEQU">#N/A</definedName>
    <definedName name="SER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ERVICE" hidden="1">{#N/A,#N/A,FALSE,"이태원철근"}</definedName>
    <definedName name="SERVICE_1" hidden="1">{#N/A,#N/A,FALSE,"이태원철근"}</definedName>
    <definedName name="SERVICE_2" hidden="1">{#N/A,#N/A,FALSE,"이태원철근"}</definedName>
    <definedName name="SERVICE_3" hidden="1">{#N/A,#N/A,FALSE,"이태원철근"}</definedName>
    <definedName name="SERVICE_4" hidden="1">{#N/A,#N/A,FALSE,"이태원철근"}</definedName>
    <definedName name="ses" hidden="1">#REF!</definedName>
    <definedName name="SESFEWRF">#N/A</definedName>
    <definedName name="SET">#REF!</definedName>
    <definedName name="set_out">#REF!</definedName>
    <definedName name="SETANCHOR10">#REF!</definedName>
    <definedName name="SETANCHOR12">#REF!</definedName>
    <definedName name="SEXP">#N/A</definedName>
    <definedName name="sf">#N/A</definedName>
    <definedName name="SF_1">#REF!</definedName>
    <definedName name="SF_2">#REF!</definedName>
    <definedName name="SF_3">#REF!</definedName>
    <definedName name="SF_4">#REF!</definedName>
    <definedName name="SF_5">#REF!</definedName>
    <definedName name="SF_6">#REF!</definedName>
    <definedName name="SF어ㅜㅈ저ㅗㄱ솟"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A" hidden="1">{#N/A,#N/A,FALSE,"포장1";#N/A,#N/A,FALSE,"포장1"}</definedName>
    <definedName name="sfaa">#REF!</definedName>
    <definedName name="sfasasfasfasf" hidden="1">#REF!</definedName>
    <definedName name="sfd">#REF!</definedName>
    <definedName name="sfdbd">#REF!</definedName>
    <definedName name="SFDBJH33223" hidden="1">{#N/A,#N/A,FALSE,"Sheet1"}</definedName>
    <definedName name="sfdd" hidden="1">#REF!</definedName>
    <definedName name="SFDFD">#REF!</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nl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h2e1yu7u23e" hidden="1">{#N/A,#N/A,FALSE,"Sheet1"}</definedName>
    <definedName name="sfdhrfejhbjkg" hidden="1">{#N/A,#N/A,FALSE,"Sheet1"}</definedName>
    <definedName name="SFDJ32HHJ3232">#REF!</definedName>
    <definedName name="sfdjh2yu23" hidden="1">{#N/A,#N/A,FALSE,"Sheet1"}</definedName>
    <definedName name="sfdjhu12421" hidden="1">{#N/A,#N/A,FALSE,"Sheet1"}</definedName>
    <definedName name="SFDJK24IK23" hidden="1">{#N/A,#N/A,FALSE,"Sheet1"}</definedName>
    <definedName name="sfdkhfds234">#REF!</definedName>
    <definedName name="SFDLJD" hidden="1">#N/A</definedName>
    <definedName name="sfduh12gyu32e" hidden="1">{#N/A,#N/A,FALSE,"Sheet1"}</definedName>
    <definedName name="sfduhw2323" hidden="1">{#N/A,#N/A,FALSE,"Sheet1"}</definedName>
    <definedName name="sfdui378232" hidden="1">{#N/A,#N/A,FALSE,"Sheet1"}</definedName>
    <definedName name="sfduyg7217g7821" hidden="1">{#N/A,#N/A,FALSE,"Sheet1"}</definedName>
    <definedName name="sfduygfey73232">#REF!</definedName>
    <definedName name="sfee" hidden="1">#REF!</definedName>
    <definedName name="sfejhdsh7823" hidden="1">{#N/A,#N/A,FALSE,"Sheet1"}</definedName>
    <definedName name="sffd">{"'자리배치도'!$AG$1:$CI$28"}</definedName>
    <definedName name="SFFF" hidden="1">#REF!</definedName>
    <definedName name="SFFFFF" hidden="1">#REF!</definedName>
    <definedName name="sfg">#REF!</definedName>
    <definedName name="sfg34t13513">#REF!</definedName>
    <definedName name="SFGEGRH34" hidden="1">{#N/A,#N/A,FALSE,"Sheet1"}</definedName>
    <definedName name="sfggf" hidden="1">{#N/A,#N/A,FALSE,"배수1"}</definedName>
    <definedName name="sfgh" hidden="1">{#N/A,#N/A,FALSE,"증감대비표";#N/A,#N/A,FALSE,"결의서";#N/A,#N/A,FALSE,"내역서";#N/A,#N/A,FALSE,"도급예상"}</definedName>
    <definedName name="SFGSD">#REF!</definedName>
    <definedName name="sfgshytje">#N/A</definedName>
    <definedName name="SFH">#REF!</definedName>
    <definedName name="sfh34rt" hidden="1">{#N/A,#N/A,FALSE,"Sheet1"}</definedName>
    <definedName name="sfhy45247">#REF!</definedName>
    <definedName name="sfj">#REF!</definedName>
    <definedName name="SFNHFGBDHFGHNDFG">{0,0,0,0}</definedName>
    <definedName name="SFS">#REF!</definedName>
    <definedName name="sfsd">#REF!</definedName>
    <definedName name="sfsdf">#REF!</definedName>
    <definedName name="SFSDFDSF" hidden="1">{#N/A,#N/A,FALSE,"운반시간"}</definedName>
    <definedName name="SFSDFS">#REF!</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D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sㅎ" hidden="1">{#N/A,#N/A,FALSE,"부대2"}</definedName>
    <definedName name="SGJ_diff">#REF!</definedName>
    <definedName name="SGJGFJ">#REF!</definedName>
    <definedName name="SGJtotal">#REF!</definedName>
    <definedName name="SGP">#N/A</definedName>
    <definedName name="sgrfhfsd">#N/A</definedName>
    <definedName name="SH">#REF!</definedName>
    <definedName name="SH10L">#REF!</definedName>
    <definedName name="SH10R">#REF!</definedName>
    <definedName name="SH3L">#REF!</definedName>
    <definedName name="SH3R">#REF!</definedName>
    <definedName name="SH4L">#REF!</definedName>
    <definedName name="SH4R">#REF!</definedName>
    <definedName name="SH5L">#REF!</definedName>
    <definedName name="SH5R">#REF!</definedName>
    <definedName name="SH6L">#REF!</definedName>
    <definedName name="SH6R">#REF!</definedName>
    <definedName name="SH7L">#REF!</definedName>
    <definedName name="SH7R">#REF!</definedName>
    <definedName name="SH8L">#REF!</definedName>
    <definedName name="SH8R">#REF!</definedName>
    <definedName name="SH9L">#REF!</definedName>
    <definedName name="SH9R">#REF!</definedName>
    <definedName name="shawn1318" hidden="1">#REF!</definedName>
    <definedName name="shawn3875" hidden="1">#REF!</definedName>
    <definedName name="SHE">#REF!</definedName>
    <definedName name="sheet" hidden="1">{#N/A,#N/A,FALSE,"골재소요량";#N/A,#N/A,FALSE,"골재소요량"}</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100" hidden="1">#REF!</definedName>
    <definedName name="SHEET2">#N/A</definedName>
    <definedName name="SHEET56">#REF!</definedName>
    <definedName name="sheetName">#REF!</definedName>
    <definedName name="sheetNo">#REF!</definedName>
    <definedName name="SheetNumber">#REF!</definedName>
    <definedName name="SHELTER" hidden="1">{#N/A,#N/A,TRUE,"Basic";#N/A,#N/A,TRUE,"EXT-TABLE";#N/A,#N/A,TRUE,"STEEL";#N/A,#N/A,TRUE,"INT-Table";#N/A,#N/A,TRUE,"STEEL";#N/A,#N/A,TRUE,"Door"}</definedName>
    <definedName name="shin123">#REF!</definedName>
    <definedName name="SHO">#REF!</definedName>
    <definedName name="SHOE10L">#REF!</definedName>
    <definedName name="SHOE10R">#REF!</definedName>
    <definedName name="SHOE3L">#REF!</definedName>
    <definedName name="SHOE3R">#REF!</definedName>
    <definedName name="SHOE4L">#REF!</definedName>
    <definedName name="SHOE4R">#REF!</definedName>
    <definedName name="SHOE5L">#REF!</definedName>
    <definedName name="SHOE5R">#REF!</definedName>
    <definedName name="SHOE6L">#REF!</definedName>
    <definedName name="SHOE6R">#REF!</definedName>
    <definedName name="SHOE7L">#REF!</definedName>
    <definedName name="SHOE7R">#REF!</definedName>
    <definedName name="SHOE8L">#REF!</definedName>
    <definedName name="SHOE8R">#REF!</definedName>
    <definedName name="SHOE9L">#REF!</definedName>
    <definedName name="SHOE9R">#REF!</definedName>
    <definedName name="shsdj"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HT">#REF!</definedName>
    <definedName name="SHTYRE56I77I6" hidden="1">{#N/A,#N/A,FALSE,"Sheet1"}</definedName>
    <definedName name="shutt" hidden="1">#REF!</definedName>
    <definedName name="sigck">#REF!</definedName>
    <definedName name="SIGCK1">#REF!</definedName>
    <definedName name="SIGHT150">#REF!</definedName>
    <definedName name="SIGHT300">#REF!</definedName>
    <definedName name="SIGHT300200">#REF!</definedName>
    <definedName name="SIGHT300300">#REF!</definedName>
    <definedName name="SIGHT450">#REF!</definedName>
    <definedName name="SIGHT450300">#REF!</definedName>
    <definedName name="SIGHT450x450">#REF!</definedName>
    <definedName name="sigy">#REF!</definedName>
    <definedName name="SIGY1">#REF!</definedName>
    <definedName name="SIL">#REF!</definedName>
    <definedName name="sinchook">#REF!</definedName>
    <definedName name="SIS">#REF!</definedName>
    <definedName name="SIZE">#N/A</definedName>
    <definedName name="SIZE2">#REF!</definedName>
    <definedName name="SIZEC">#REF!</definedName>
    <definedName name="sj" hidden="1">#REF!</definedName>
    <definedName name="SJHHJDFHU43" hidden="1">{#N/A,#N/A,FALSE,"Sheet1"}</definedName>
    <definedName name="SJR">#REF!</definedName>
    <definedName name="sjyk">#REF!</definedName>
    <definedName name="SK">#REF!</definedName>
    <definedName name="SK10L">#REF!</definedName>
    <definedName name="SK10R">#REF!</definedName>
    <definedName name="SK3L">#REF!</definedName>
    <definedName name="SK3R">#REF!</definedName>
    <definedName name="SK4L">#REF!</definedName>
    <definedName name="SK4R">#REF!</definedName>
    <definedName name="SK5L">#REF!</definedName>
    <definedName name="SK5R">#REF!</definedName>
    <definedName name="SK6L">#REF!</definedName>
    <definedName name="SK6R">#REF!</definedName>
    <definedName name="SK7L">#REF!</definedName>
    <definedName name="SK7R">#REF!</definedName>
    <definedName name="SK8L">#REF!</definedName>
    <definedName name="SK8R">#REF!</definedName>
    <definedName name="SK9L">#REF!</definedName>
    <definedName name="SK9R">#REF!</definedName>
    <definedName name="SKE">#REF!</definedName>
    <definedName name="SKE10L">#REF!</definedName>
    <definedName name="SKE10R">#REF!</definedName>
    <definedName name="SKE3L">#REF!</definedName>
    <definedName name="SKE3R">#REF!</definedName>
    <definedName name="SKE4L">#REF!</definedName>
    <definedName name="SKE4R">#REF!</definedName>
    <definedName name="SKE5L">#REF!</definedName>
    <definedName name="SKE5R">#REF!</definedName>
    <definedName name="SKE6L">#REF!</definedName>
    <definedName name="SKE6R">#REF!</definedName>
    <definedName name="SKE7L">#REF!</definedName>
    <definedName name="SKE7R">#REF!</definedName>
    <definedName name="SKE8L">#REF!</definedName>
    <definedName name="SKE8R">#REF!</definedName>
    <definedName name="SKE9L">#REF!</definedName>
    <definedName name="SKE9R">#REF!</definedName>
    <definedName name="SKEW">#REF!</definedName>
    <definedName name="Skew1">#REF!</definedName>
    <definedName name="Skew2">#REF!</definedName>
    <definedName name="SKI" hidden="1">#REF!</definedName>
    <definedName name="SKIN">#REF!</definedName>
    <definedName name="SKLS">#REF!</definedName>
    <definedName name="skor">#REF!</definedName>
    <definedName name="skorr">#REF!</definedName>
    <definedName name="SKSK" hidden="1">{#N/A,#N/A,FALSE,"이태원철근"}</definedName>
    <definedName name="SKSK_1" hidden="1">{#N/A,#N/A,FALSE,"이태원철근"}</definedName>
    <definedName name="SKSK_2" hidden="1">{#N/A,#N/A,FALSE,"이태원철근"}</definedName>
    <definedName name="SKSK_3" hidden="1">{#N/A,#N/A,FALSE,"이태원철근"}</definedName>
    <definedName name="sksksksksk" hidden="1">#REF!</definedName>
    <definedName name="SKT" hidden="1">#N/A</definedName>
    <definedName name="SKT신관동기지국___SKT소학동중계기" hidden="1">#N/A</definedName>
    <definedName name="SL">#REF!</definedName>
    <definedName name="SLAB">#N/A</definedName>
    <definedName name="Slab_Connect">#REF!</definedName>
    <definedName name="SLAB1">#REF!</definedName>
    <definedName name="SLAB11">#REF!</definedName>
    <definedName name="SLAB2">#REF!</definedName>
    <definedName name="SLAB3">#REF!</definedName>
    <definedName name="slab외측">#REF!</definedName>
    <definedName name="slabt">#REF!</definedName>
    <definedName name="SLAT_16M">#REF!</definedName>
    <definedName name="SLAT_25M">#REF!</definedName>
    <definedName name="SLAT_50M">#REF!</definedName>
    <definedName name="SLAT_PCS">#REF!</definedName>
    <definedName name="SLAT_PRICE">#REF!</definedName>
    <definedName name="SLAT_PRICE16">#REF!</definedName>
    <definedName name="SLAT_PRICE25">#REF!</definedName>
    <definedName name="SLAT_PRICE50">#REF!</definedName>
    <definedName name="SLAT_SIZE">#REF!</definedName>
    <definedName name="SLDKFJSLKDF" hidden="1">{#N/A,#N/A,FALSE,"기안지";#N/A,#N/A,FALSE,"통신지"}</definedName>
    <definedName name="SLEEVE">#REF!</definedName>
    <definedName name="SLFE">#REF!</definedName>
    <definedName name="slfjafldjflka" hidden="1">{#N/A,#N/A,FALSE,"Sheet1"}</definedName>
    <definedName name="SLFO">#REF!</definedName>
    <definedName name="slh">#REF!</definedName>
    <definedName name="SLID">#REF!</definedName>
    <definedName name="sljhir" hidden="1">{#N/A,#N/A,FALSE,"표지목차"}</definedName>
    <definedName name="slo">#REF!</definedName>
    <definedName name="slocal">#REF!</definedName>
    <definedName name="slocalr">#REF!</definedName>
    <definedName name="SLSLC" localSheetId="0">ErrorHandler_1</definedName>
    <definedName name="SLSLC">ErrorHandler_1</definedName>
    <definedName name="sm" hidden="1">{#N/A,#N/A,FALSE,"표지목차"}</definedName>
    <definedName name="SMAT">#N/A</definedName>
    <definedName name="SMHR">#N/A</definedName>
    <definedName name="SMP">#REF!</definedName>
    <definedName name="sn">#REF!</definedName>
    <definedName name="sngc50t">#REF!</definedName>
    <definedName name="SO">#REF!</definedName>
    <definedName name="SOC">#REF!</definedName>
    <definedName name="soc투자"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CKET">#REF!</definedName>
    <definedName name="SOCKET100">#REF!</definedName>
    <definedName name="SOCKET150">#REF!</definedName>
    <definedName name="SOCKET200">#REF!</definedName>
    <definedName name="SOCKET250">#REF!</definedName>
    <definedName name="SOCKET300">#REF!</definedName>
    <definedName name="SOCKET350">#REF!</definedName>
    <definedName name="SODU" localSheetId="0">BlankMacro1</definedName>
    <definedName name="SODU">BlankMacro1</definedName>
    <definedName name="sodur"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SODURTJ" localSheetId="0">Dlog_Show</definedName>
    <definedName name="SODURTJ">Dlog_Show</definedName>
    <definedName name="SODURTJ2">{"'별표'!$N$220"}</definedName>
    <definedName name="SOIL">#REF!</definedName>
    <definedName name="Soil_Ba_Unitprice">#REF!</definedName>
    <definedName name="Soil_Ba_Unitprice_h">#REF!</definedName>
    <definedName name="Soil_Ba_Unitprice_u">#REF!</definedName>
    <definedName name="Soil_dis_unitprice">#REF!</definedName>
    <definedName name="Soil_dis_unitprice_h">#REF!</definedName>
    <definedName name="Soil_dis_unitprice_u">#REF!</definedName>
    <definedName name="SoilH1">#REF!</definedName>
    <definedName name="Soju_Effect">#REF!</definedName>
    <definedName name="SOL">#REF!</definedName>
    <definedName name="sol배관" hidden="1">{#N/A,#N/A,FALSE,"CCTV"}</definedName>
    <definedName name="solver_cvg" hidden="1">0.001</definedName>
    <definedName name="solver_drv" hidden="1">1</definedName>
    <definedName name="solver_est" hidden="1">1</definedName>
    <definedName name="solver_itr" hidden="1">100</definedName>
    <definedName name="solver_lhs1" hidden="1">#REF!</definedName>
    <definedName name="solver_lin" hidden="1">0</definedName>
    <definedName name="solver_neg" hidden="1">2</definedName>
    <definedName name="solver_num" hidden="1">1</definedName>
    <definedName name="solver_nwt" hidden="1">1</definedName>
    <definedName name="solver_opt" hidden="1">#REF!</definedName>
    <definedName name="solver_pre" hidden="1">0.000001</definedName>
    <definedName name="solver_rel1" hidden="1">1</definedName>
    <definedName name="solver_rhs1" hidden="1">500000000</definedName>
    <definedName name="solver_scl" hidden="1">2</definedName>
    <definedName name="solver_sho" hidden="1">2</definedName>
    <definedName name="solver_tim" hidden="1">100</definedName>
    <definedName name="solver_tmp" hidden="1">500000000</definedName>
    <definedName name="solver_tol" hidden="1">0.05</definedName>
    <definedName name="solver_typ" hidden="1">1</definedName>
    <definedName name="solver_val" hidden="1">0</definedName>
    <definedName name="SOMO">#N/A</definedName>
    <definedName name="SONIK">#REF!</definedName>
    <definedName name="SOOKOANG">#N/A</definedName>
    <definedName name="sort">#REF!</definedName>
    <definedName name="SORT1">#REF!</definedName>
    <definedName name="sort2">#REF!</definedName>
    <definedName name="SORT3">#REF!</definedName>
    <definedName name="SORTCODE">#N/A</definedName>
    <definedName name="SORTS" hidden="1">#REF!</definedName>
    <definedName name="sortt" hidden="1">#REF!</definedName>
    <definedName name="SOS">#REF!</definedName>
    <definedName name="SP">#REF!</definedName>
    <definedName name="sp_150">#REF!</definedName>
    <definedName name="sp_150t">#REF!</definedName>
    <definedName name="sp_175">#REF!</definedName>
    <definedName name="sp_175t">#REF!</definedName>
    <definedName name="sp_i_blk">#REF!</definedName>
    <definedName name="sp.sys">#REF!</definedName>
    <definedName name="sp10_100">#REF!</definedName>
    <definedName name="sp10_100t">#REF!</definedName>
    <definedName name="sp10_150">#REF!</definedName>
    <definedName name="sp10_150t">#REF!</definedName>
    <definedName name="sp10_360">#REF!</definedName>
    <definedName name="sp10_360t">#REF!</definedName>
    <definedName name="sp10_375">#REF!</definedName>
    <definedName name="sp10_375t">#REF!</definedName>
    <definedName name="sp10_385">#REF!</definedName>
    <definedName name="sp10_385t">#REF!</definedName>
    <definedName name="sp10_400">#REF!</definedName>
    <definedName name="sp10_400t">#REF!</definedName>
    <definedName name="sp15_100">#REF!</definedName>
    <definedName name="sp15_100t">#REF!</definedName>
    <definedName name="sp20_275">#REF!</definedName>
    <definedName name="sp20_275t">#REF!</definedName>
    <definedName name="SPA">#REF!</definedName>
    <definedName name="SPACE">#REF!</definedName>
    <definedName name="Span">#REF!</definedName>
    <definedName name="SpanLength">#REF!</definedName>
    <definedName name="SpanWidth">#REF!</definedName>
    <definedName name="SPEC">#N/A</definedName>
    <definedName name="spec구매"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I">#N/A</definedName>
    <definedName name="spi_pnt">#REF!</definedName>
    <definedName name="SPLICE">#REF!</definedName>
    <definedName name="SQRT">#REF!</definedName>
    <definedName name="SQTY">#N/A</definedName>
    <definedName name="sr">#REF!,#REF!</definedName>
    <definedName name="SR7RT">#REF!</definedName>
    <definedName name="SRAWAWEWQ" hidden="1">{#N/A,#N/A,FALSE,"Sheet1"}</definedName>
    <definedName name="srdf" hidden="1">{#N/A,#N/A,FALSE,"포장2"}</definedName>
    <definedName name="SRGDSG" hidden="1">{#N/A,#N/A,FALSE,"CCTV"}</definedName>
    <definedName name="srhcgh">#REF!</definedName>
    <definedName name="SRT_all">#REF!</definedName>
    <definedName name="SRT_d">#REF!</definedName>
    <definedName name="SRT_m">#REF!</definedName>
    <definedName name="srth" hidden="1">{"'용역비'!$A$4:$C$8"}</definedName>
    <definedName name="srtjuryujr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y" hidden="1">{#N/A,#N/A,FALSE,"BS";#N/A,#N/A,FALSE,"PL";#N/A,#N/A,FALSE,"처분";#N/A,#N/A,FALSE,"현금";#N/A,#N/A,FALSE,"매출";#N/A,#N/A,FALSE,"원가";#N/A,#N/A,FALSE,"경영"}</definedName>
    <definedName name="SRYHGG">#N/A</definedName>
    <definedName name="ss">#N/A</definedName>
    <definedName name="SS10L">#REF!</definedName>
    <definedName name="SS10TR">#REF!</definedName>
    <definedName name="SS3L">#REF!</definedName>
    <definedName name="SS3R">#REF!</definedName>
    <definedName name="SS4L">#REF!</definedName>
    <definedName name="SS4R">#REF!</definedName>
    <definedName name="SS5L">#REF!</definedName>
    <definedName name="SS5R">#REF!</definedName>
    <definedName name="SS6L">#REF!</definedName>
    <definedName name="SS6R">#REF!</definedName>
    <definedName name="SS7L">#REF!</definedName>
    <definedName name="SS7R">#REF!</definedName>
    <definedName name="SS8L">#REF!</definedName>
    <definedName name="SS8R">#REF!</definedName>
    <definedName name="SS9L">#REF!</definedName>
    <definedName name="SS9R">#REF!</definedName>
    <definedName name="ssa" hidden="1">{#N/A,#N/A,FALSE,"전력간선"}</definedName>
    <definedName name="SSC10L">#REF!</definedName>
    <definedName name="SSC10R">#REF!</definedName>
    <definedName name="SSC3L">#REF!</definedName>
    <definedName name="SSC3R">#REF!</definedName>
    <definedName name="SSC4L">#REF!</definedName>
    <definedName name="SSC4R">#REF!</definedName>
    <definedName name="SSC5L">#REF!</definedName>
    <definedName name="SSC5R">#REF!</definedName>
    <definedName name="SSC6L">#REF!</definedName>
    <definedName name="SSC6R">#REF!</definedName>
    <definedName name="SSC7L">#REF!</definedName>
    <definedName name="SSC7R">#REF!</definedName>
    <definedName name="SSC8L">#REF!</definedName>
    <definedName name="SSC8R">#REF!</definedName>
    <definedName name="SSC9L">#REF!</definedName>
    <definedName name="SSC9R">#REF!</definedName>
    <definedName name="SSD" hidden="1">{"'Sheet1'!$A$4:$M$21","'Sheet1'!$J$17:$K$19"}</definedName>
    <definedName name="SSD_26_22.8_제작설치">#REF!</definedName>
    <definedName name="SSec1MMax">#REF!</definedName>
    <definedName name="SSec1MMin">#REF!</definedName>
    <definedName name="SSec1PMax">#REF!</definedName>
    <definedName name="SSec1PMin">#REF!</definedName>
    <definedName name="SSec1SMax">#REF!</definedName>
    <definedName name="SSec1SMin">#REF!</definedName>
    <definedName name="SSec2MMax">#REF!</definedName>
    <definedName name="SSec2MMin">#REF!</definedName>
    <definedName name="SSec2PMax">#REF!</definedName>
    <definedName name="SSec2PMin">#REF!</definedName>
    <definedName name="SSec2SMax">#REF!</definedName>
    <definedName name="SSec2SMin">#REF!</definedName>
    <definedName name="SSec3MMax">#REF!</definedName>
    <definedName name="SSec3MMin">#REF!</definedName>
    <definedName name="SSec3PMax">#REF!</definedName>
    <definedName name="SSec3PMin">#REF!</definedName>
    <definedName name="SSec3SMax">#REF!</definedName>
    <definedName name="SSec3SMin">#REF!</definedName>
    <definedName name="SSec4MMax">#REF!</definedName>
    <definedName name="SSec4MMin">#REF!</definedName>
    <definedName name="SSec4PMax">#REF!</definedName>
    <definedName name="SSec4PMin">#REF!</definedName>
    <definedName name="SSec4SMax">#REF!</definedName>
    <definedName name="SSec4SMin">#REF!</definedName>
    <definedName name="SSec5MMax">#REF!</definedName>
    <definedName name="SSec5MMin">#REF!</definedName>
    <definedName name="SSec5PMax">#REF!</definedName>
    <definedName name="SSec5PMin">#REF!</definedName>
    <definedName name="SSec5SMax">#REF!</definedName>
    <definedName name="SSec5SMin">#REF!</definedName>
    <definedName name="SSec6MMax">#REF!</definedName>
    <definedName name="SSec6MMin">#REF!</definedName>
    <definedName name="SSec6PMax">#REF!</definedName>
    <definedName name="SSec6PMin">#REF!</definedName>
    <definedName name="SSec6SMax">#REF!</definedName>
    <definedName name="SSec6SMin">#REF!</definedName>
    <definedName name="SSec7MMax">#REF!</definedName>
    <definedName name="SSec7MMin">#REF!</definedName>
    <definedName name="SSec7PMax">#REF!</definedName>
    <definedName name="SSec7PMin">#REF!</definedName>
    <definedName name="SSec7SMax">#REF!</definedName>
    <definedName name="SSec7SMin">#REF!</definedName>
    <definedName name="SSP">#REF!</definedName>
    <definedName name="SSR">#REF!</definedName>
    <definedName name="sss" hidden="1">{#N/A,#N/A,FALSE,"전력간선"}</definedName>
    <definedName name="sss_1" hidden="1">{#N/A,#N/A,FALSE,"전력간선"}</definedName>
    <definedName name="SSSC">#REF!</definedName>
    <definedName name="sssds" hidden="1">#N/A</definedName>
    <definedName name="sssee" hidden="1">{#N/A,#N/A,FALSE,"골재소요량";#N/A,#N/A,FALSE,"골재소요량"}</definedName>
    <definedName name="SSSS">#N/A</definedName>
    <definedName name="sssss" hidden="1">{#N/A,#N/A,FALSE,"운반시간"}</definedName>
    <definedName name="SSSSSS">#N/A</definedName>
    <definedName name="ssssssssss" hidden="1">{#N/A,#N/A,FALSE,"조골재"}</definedName>
    <definedName name="sssssssssss" hidden="1">{#N/A,#N/A,FALSE,"운반시간"}</definedName>
    <definedName name="ssssssssssssss" hidden="1">{#N/A,#N/A,FALSE,"조골재"}</definedName>
    <definedName name="ssssssssssssssss" hidden="1">{#N/A,#N/A,FALSE,"2~8번"}</definedName>
    <definedName name="sssssssssssssssssss" hidden="1">{#N/A,#N/A,FALSE,"운반시간"}</definedName>
    <definedName name="ssssssssssssssssssss" hidden="1">{#N/A,#N/A,FALSE,"운반시간"}</definedName>
    <definedName name="sssssssssssssssssssssss" hidden="1">{#N/A,#N/A,FALSE,"조골재"}</definedName>
    <definedName name="SST__재료분리대제작설치">#REF!</definedName>
    <definedName name="SST10L">#REF!</definedName>
    <definedName name="SST10R">#REF!</definedName>
    <definedName name="SST3L">#REF!</definedName>
    <definedName name="SST3R">#REF!</definedName>
    <definedName name="SST4L">#REF!</definedName>
    <definedName name="SST4R">#REF!</definedName>
    <definedName name="SST5L">#REF!</definedName>
    <definedName name="SST5R">#REF!</definedName>
    <definedName name="SST6L">#REF!</definedName>
    <definedName name="SST6R">#REF!</definedName>
    <definedName name="SST7L">#REF!</definedName>
    <definedName name="SST7R">#REF!</definedName>
    <definedName name="SST8L">#REF!</definedName>
    <definedName name="SST8R">#REF!</definedName>
    <definedName name="SST9L">#REF!</definedName>
    <definedName name="SST9R">#REF!</definedName>
    <definedName name="SST재료분리대노">#REF!</definedName>
    <definedName name="SSVSS" hidden="1">#REF!</definedName>
    <definedName name="SSW">#REF!,#REF!</definedName>
    <definedName name="SSX">#REF!</definedName>
    <definedName name="SSZ10XL">#REF!</definedName>
    <definedName name="SSZ10XR">#REF!</definedName>
    <definedName name="SSZ10YL">#REF!</definedName>
    <definedName name="SSZ10YR">#REF!</definedName>
    <definedName name="SSZ3XL">#REF!</definedName>
    <definedName name="SSZ3XR">#REF!</definedName>
    <definedName name="SSZ3YL">#REF!</definedName>
    <definedName name="SSZ3YR">#REF!</definedName>
    <definedName name="SSZ4XL">#REF!</definedName>
    <definedName name="SSZ4XR">#REF!</definedName>
    <definedName name="SSZ4YL">#REF!</definedName>
    <definedName name="SSZ4YR">#REF!</definedName>
    <definedName name="SSZ5XL">#REF!</definedName>
    <definedName name="SSZ5XR">#REF!</definedName>
    <definedName name="SSZ5YL">#REF!</definedName>
    <definedName name="SSZ5YR">#REF!</definedName>
    <definedName name="SSZ6XL">#REF!</definedName>
    <definedName name="SSZ6XR">#REF!</definedName>
    <definedName name="SSZ6YL">#REF!</definedName>
    <definedName name="SSZ6YR">#REF!</definedName>
    <definedName name="SSZ7XL">#REF!</definedName>
    <definedName name="SSZ7XR">#REF!</definedName>
    <definedName name="SSZ7YL">#REF!</definedName>
    <definedName name="SSZ7YR">#REF!</definedName>
    <definedName name="SSZ8XL">#REF!</definedName>
    <definedName name="SSZ8XR">#REF!</definedName>
    <definedName name="SSZ8YL">#REF!</definedName>
    <definedName name="SSZ8YR">#REF!</definedName>
    <definedName name="SSZ9XL">#REF!</definedName>
    <definedName name="SSZ9XR">#REF!</definedName>
    <definedName name="SSZ9YL">#REF!</definedName>
    <definedName name="SSZ9YR">#REF!</definedName>
    <definedName name="SSZQ10L">#REF!</definedName>
    <definedName name="SSZQ10R">#REF!</definedName>
    <definedName name="SSZQ3L">#REF!</definedName>
    <definedName name="SSZQ3R">#REF!</definedName>
    <definedName name="SSZQ4L">#REF!</definedName>
    <definedName name="SSZQ4R">#REF!</definedName>
    <definedName name="SSZQ5L">#REF!</definedName>
    <definedName name="SSZQ5R">#REF!</definedName>
    <definedName name="SSZQ6L">#REF!</definedName>
    <definedName name="SSZQ6R">#REF!</definedName>
    <definedName name="SSZQ7L">#REF!</definedName>
    <definedName name="SSZQ7R">#REF!</definedName>
    <definedName name="SSZQ8L">#REF!</definedName>
    <definedName name="SSZQ8R">#REF!</definedName>
    <definedName name="SSZQ9L">#REF!</definedName>
    <definedName name="SSZQ9R">#REF!</definedName>
    <definedName name="ST">#REF!</definedName>
    <definedName name="ST_CC">#REF!</definedName>
    <definedName name="ST_CCT">#REF!</definedName>
    <definedName name="st_day">#REF!</definedName>
    <definedName name="ST_M">#REF!</definedName>
    <definedName name="st_month">#REF!</definedName>
    <definedName name="st_monthday">#REF!</definedName>
    <definedName name="ST_Mt">#REF!</definedName>
    <definedName name="st_year">#REF!</definedName>
    <definedName name="ST산출">#REF!</definedName>
    <definedName name="st산출1">#REF!</definedName>
    <definedName name="STAR">#REF!</definedName>
    <definedName name="STAR1">#REF!</definedName>
    <definedName name="STAR11">#REF!</definedName>
    <definedName name="STAR1111">#REF!</definedName>
    <definedName name="STAR2">#REF!</definedName>
    <definedName name="STAR3">#REF!</definedName>
    <definedName name="START">#REF!</definedName>
    <definedName name="START1">#REF!</definedName>
    <definedName name="START2">#REF!</definedName>
    <definedName name="START3">#REF!</definedName>
    <definedName name="START4">#REF!</definedName>
    <definedName name="START5">#REF!</definedName>
    <definedName name="START6">#REF!</definedName>
    <definedName name="START7">#REF!</definedName>
    <definedName name="START8">#REF!</definedName>
    <definedName name="START9">#REF!</definedName>
    <definedName name="StartChart">#REF!</definedName>
    <definedName name="StartSeller">#REF!</definedName>
    <definedName name="STATIONA1">#REF!</definedName>
    <definedName name="Status">#REF!</definedName>
    <definedName name="stcn">#REF!</definedName>
    <definedName name="stcnr">#REF!</definedName>
    <definedName name="steam_trap">#REF!</definedName>
    <definedName name="STEEL">#REF!</definedName>
    <definedName name="STEEL_GUTTER">#REF!</definedName>
    <definedName name="STERGE">#N/A</definedName>
    <definedName name="STOP">#REF!</definedName>
    <definedName name="STOP1">#REF!</definedName>
    <definedName name="Story_Basement">#REF!</definedName>
    <definedName name="Story_Podium">#REF!</definedName>
    <definedName name="Story_Total">#REF!</definedName>
    <definedName name="Story_Tower">#REF!</definedName>
    <definedName name="STOWH">#REF!</definedName>
    <definedName name="stp_1">#REF!</definedName>
    <definedName name="stp_10">#REF!</definedName>
    <definedName name="stp_100">#REF!</definedName>
    <definedName name="stp_101">#REF!</definedName>
    <definedName name="stp_102">#REF!</definedName>
    <definedName name="stp_103">#REF!</definedName>
    <definedName name="stp_104">#REF!</definedName>
    <definedName name="stp_105">#REF!</definedName>
    <definedName name="stp_106">#REF!</definedName>
    <definedName name="stp_107">#REF!</definedName>
    <definedName name="stp_108">#REF!</definedName>
    <definedName name="stp_109">#REF!</definedName>
    <definedName name="stp_11">#REF!</definedName>
    <definedName name="stp_110">#REF!</definedName>
    <definedName name="stp_111">#REF!</definedName>
    <definedName name="stp_112">#REF!</definedName>
    <definedName name="stp_113">#REF!</definedName>
    <definedName name="stp_114">#REF!</definedName>
    <definedName name="stp_115">#REF!</definedName>
    <definedName name="stp_116">#REF!</definedName>
    <definedName name="stp_117">#REF!</definedName>
    <definedName name="stp_118">#REF!</definedName>
    <definedName name="stp_119">#REF!</definedName>
    <definedName name="stp_12">#REF!</definedName>
    <definedName name="stp_120">#REF!</definedName>
    <definedName name="stp_121">#REF!</definedName>
    <definedName name="stp_122">#REF!</definedName>
    <definedName name="stp_123">#REF!</definedName>
    <definedName name="stp_124">#REF!</definedName>
    <definedName name="stp_125">#REF!</definedName>
    <definedName name="stp_126">#REF!</definedName>
    <definedName name="stp_127">#REF!</definedName>
    <definedName name="stp_128">#REF!</definedName>
    <definedName name="stp_129">#REF!</definedName>
    <definedName name="stp_13">#REF!</definedName>
    <definedName name="stp_130">#REF!</definedName>
    <definedName name="stp_131">#REF!</definedName>
    <definedName name="stp_132">#REF!</definedName>
    <definedName name="stp_133">#REF!</definedName>
    <definedName name="stp_134">#REF!</definedName>
    <definedName name="stp_135">#REF!</definedName>
    <definedName name="stp_136">#REF!</definedName>
    <definedName name="stp_137">#REF!</definedName>
    <definedName name="stp_138">#REF!</definedName>
    <definedName name="stp_139">#REF!</definedName>
    <definedName name="stp_14">#REF!</definedName>
    <definedName name="stp_140">#REF!</definedName>
    <definedName name="stp_141">#REF!</definedName>
    <definedName name="stp_142">#REF!</definedName>
    <definedName name="stp_143">#REF!</definedName>
    <definedName name="stp_144">#REF!</definedName>
    <definedName name="stp_145">#REF!</definedName>
    <definedName name="stp_146">#REF!</definedName>
    <definedName name="stp_147">#REF!</definedName>
    <definedName name="stp_148">#REF!</definedName>
    <definedName name="stp_149">#REF!</definedName>
    <definedName name="stp_15">#REF!</definedName>
    <definedName name="stp_150">#REF!</definedName>
    <definedName name="stp_151">#REF!</definedName>
    <definedName name="stp_152">#REF!</definedName>
    <definedName name="stp_153">#REF!</definedName>
    <definedName name="stp_154">#REF!</definedName>
    <definedName name="stp_155">#REF!</definedName>
    <definedName name="stp_156">#REF!</definedName>
    <definedName name="stp_157">#REF!</definedName>
    <definedName name="stp_158">#REF!</definedName>
    <definedName name="stp_159">#REF!</definedName>
    <definedName name="stp_16">#REF!</definedName>
    <definedName name="stp_160">#REF!</definedName>
    <definedName name="stp_161">#REF!</definedName>
    <definedName name="stp_162">#REF!</definedName>
    <definedName name="stp_163">#REF!</definedName>
    <definedName name="stp_164">#REF!</definedName>
    <definedName name="stp_165">#REF!</definedName>
    <definedName name="stp_166">#REF!</definedName>
    <definedName name="stp_167">#REF!</definedName>
    <definedName name="stp_168">#REF!</definedName>
    <definedName name="stp_169">#REF!</definedName>
    <definedName name="stp_17">#REF!</definedName>
    <definedName name="stp_170">#REF!</definedName>
    <definedName name="stp_171">#REF!</definedName>
    <definedName name="stp_172">#REF!</definedName>
    <definedName name="stp_173">#REF!</definedName>
    <definedName name="stp_174">#REF!</definedName>
    <definedName name="stp_175">#REF!</definedName>
    <definedName name="stp_176">#REF!</definedName>
    <definedName name="stp_177">#REF!</definedName>
    <definedName name="stp_178">#REF!</definedName>
    <definedName name="stp_179">#REF!</definedName>
    <definedName name="stp_18">#REF!</definedName>
    <definedName name="stp_180">#REF!</definedName>
    <definedName name="stp_181">#REF!</definedName>
    <definedName name="stp_182">#REF!</definedName>
    <definedName name="stp_183">#REF!</definedName>
    <definedName name="stp_184">#REF!</definedName>
    <definedName name="stp_185">#REF!</definedName>
    <definedName name="stp_186">#REF!</definedName>
    <definedName name="stp_187">#REF!</definedName>
    <definedName name="stp_188">#REF!</definedName>
    <definedName name="stp_189">#REF!</definedName>
    <definedName name="stp_19">#REF!</definedName>
    <definedName name="stp_190">#REF!</definedName>
    <definedName name="stp_191">#REF!</definedName>
    <definedName name="stp_192">#REF!</definedName>
    <definedName name="stp_193">#REF!</definedName>
    <definedName name="stp_194">#REF!</definedName>
    <definedName name="stp_195">#REF!</definedName>
    <definedName name="stp_196">#REF!</definedName>
    <definedName name="stp_197">#REF!</definedName>
    <definedName name="stp_198">#REF!</definedName>
    <definedName name="stp_199">#REF!</definedName>
    <definedName name="stp_2">#REF!</definedName>
    <definedName name="stp_20">#REF!</definedName>
    <definedName name="stp_21">#REF!</definedName>
    <definedName name="stp_22">#REF!</definedName>
    <definedName name="stp_23">#REF!</definedName>
    <definedName name="stp_24">#REF!</definedName>
    <definedName name="stp_25">#REF!</definedName>
    <definedName name="stp_26">#REF!</definedName>
    <definedName name="stp_27">#REF!</definedName>
    <definedName name="stp_28">#REF!</definedName>
    <definedName name="stp_29">#REF!</definedName>
    <definedName name="stp_3">#REF!</definedName>
    <definedName name="stp_30">#REF!</definedName>
    <definedName name="stp_31">#REF!</definedName>
    <definedName name="stp_32">#REF!</definedName>
    <definedName name="stp_33">#REF!</definedName>
    <definedName name="stp_34">#REF!</definedName>
    <definedName name="stp_35">#REF!</definedName>
    <definedName name="stp_36">#REF!</definedName>
    <definedName name="stp_37">#REF!</definedName>
    <definedName name="stp_38">#REF!</definedName>
    <definedName name="stp_39">#REF!</definedName>
    <definedName name="stp_4">#REF!</definedName>
    <definedName name="stp_40">#REF!</definedName>
    <definedName name="stp_41">#REF!</definedName>
    <definedName name="stp_42">#REF!</definedName>
    <definedName name="stp_43">#REF!</definedName>
    <definedName name="stp_44">#REF!</definedName>
    <definedName name="stp_45">#REF!</definedName>
    <definedName name="stp_46">#REF!</definedName>
    <definedName name="stp_47">#REF!</definedName>
    <definedName name="stp_48">#REF!</definedName>
    <definedName name="stp_49">#REF!</definedName>
    <definedName name="stp_5">#REF!</definedName>
    <definedName name="stp_50">#REF!</definedName>
    <definedName name="stp_51">#REF!</definedName>
    <definedName name="stp_52">#REF!</definedName>
    <definedName name="stp_53">#REF!</definedName>
    <definedName name="stp_54">#REF!</definedName>
    <definedName name="stp_55">#REF!</definedName>
    <definedName name="stp_56">#REF!</definedName>
    <definedName name="stp_57">#REF!</definedName>
    <definedName name="stp_58">#REF!</definedName>
    <definedName name="stp_59">#REF!</definedName>
    <definedName name="stp_6">#REF!</definedName>
    <definedName name="stp_60">#REF!</definedName>
    <definedName name="stp_61">#REF!</definedName>
    <definedName name="stp_62">#REF!</definedName>
    <definedName name="stp_63">#REF!</definedName>
    <definedName name="stp_64">#REF!</definedName>
    <definedName name="stp_65">#REF!</definedName>
    <definedName name="stp_66">#REF!</definedName>
    <definedName name="stp_67">#REF!</definedName>
    <definedName name="stp_68">#REF!</definedName>
    <definedName name="stp_69">#REF!</definedName>
    <definedName name="stp_7">#REF!</definedName>
    <definedName name="stp_70">#REF!</definedName>
    <definedName name="stp_71">#REF!</definedName>
    <definedName name="stp_72">#REF!</definedName>
    <definedName name="stp_73">#REF!</definedName>
    <definedName name="stp_74">#REF!</definedName>
    <definedName name="stp_75">#REF!</definedName>
    <definedName name="stp_76">#REF!</definedName>
    <definedName name="stp_77">#REF!</definedName>
    <definedName name="stp_78">#REF!</definedName>
    <definedName name="stp_79">#REF!</definedName>
    <definedName name="stp_8">#REF!</definedName>
    <definedName name="stp_80">#REF!</definedName>
    <definedName name="stp_81">#REF!</definedName>
    <definedName name="stp_82">#REF!</definedName>
    <definedName name="stp_83">#REF!</definedName>
    <definedName name="stp_84">#REF!</definedName>
    <definedName name="stp_85">#REF!</definedName>
    <definedName name="stp_86">#REF!</definedName>
    <definedName name="stp_87">#REF!</definedName>
    <definedName name="stp_88">#REF!</definedName>
    <definedName name="stp_89">#REF!</definedName>
    <definedName name="stp_9">#REF!</definedName>
    <definedName name="stp_90">#REF!</definedName>
    <definedName name="stp_91">#REF!</definedName>
    <definedName name="stp_92">#REF!</definedName>
    <definedName name="stp_93">#REF!</definedName>
    <definedName name="stp_94">#REF!</definedName>
    <definedName name="stp_95">#REF!</definedName>
    <definedName name="stp_96">#REF!</definedName>
    <definedName name="stp_97">#REF!</definedName>
    <definedName name="stp_98">#REF!</definedName>
    <definedName name="stp_99">#REF!</definedName>
    <definedName name="stp0">#REF!</definedName>
    <definedName name="Strand가닥수">#REF!</definedName>
    <definedName name="Strand단면적">#REF!</definedName>
    <definedName name="Strand직경">#REF!</definedName>
    <definedName name="Struct_Type">#REF!</definedName>
    <definedName name="STRUT">#REF!</definedName>
    <definedName name="STRUT_E">#REF!</definedName>
    <definedName name="STRUT_EA">#REF!</definedName>
    <definedName name="STRUT_EA1">#REF!</definedName>
    <definedName name="STS" hidden="1">{"'용역비'!$A$4:$C$8"}</definedName>
    <definedName name="Su">#REF!</definedName>
    <definedName name="SUB">#REF!</definedName>
    <definedName name="subCri_out">#REF!</definedName>
    <definedName name="subCri_top">#REF!</definedName>
    <definedName name="SubDic">#REF!</definedName>
    <definedName name="subs_pnt">#REF!</definedName>
    <definedName name="subs_tn">#REF!</definedName>
    <definedName name="subtitle_top">#REF!</definedName>
    <definedName name="SUKP">#REF!</definedName>
    <definedName name="SUM" hidden="1">#REF!</definedName>
    <definedName name="Sum_Ins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10L">#REF!</definedName>
    <definedName name="SUM10R">#REF!</definedName>
    <definedName name="SUM3L">#REF!</definedName>
    <definedName name="SUM3R">#REF!</definedName>
    <definedName name="SUM4L">#REF!</definedName>
    <definedName name="SUM4R">#REF!</definedName>
    <definedName name="SUM5L">#REF!</definedName>
    <definedName name="SUM5R">#REF!</definedName>
    <definedName name="SUM6L">#REF!</definedName>
    <definedName name="SUM6R">#REF!</definedName>
    <definedName name="SUM7L">#REF!</definedName>
    <definedName name="SUM7R">#REF!</definedName>
    <definedName name="SUM8L">#REF!</definedName>
    <definedName name="SUM8R">#REF!</definedName>
    <definedName name="SUM9L">#REF!</definedName>
    <definedName name="SUM9R">#REF!</definedName>
    <definedName name="SUMMARY">#REF!</definedName>
    <definedName name="SUMMARY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T" hidden="1">#REF!</definedName>
    <definedName name="SUMP">#REF!</definedName>
    <definedName name="sung">#N/A</definedName>
    <definedName name="SUO_REA">#REF!</definedName>
    <definedName name="SUO_TOE">#REF!</definedName>
    <definedName name="SUP">#REF!</definedName>
    <definedName name="Sup_MATL_Rate">#REF!</definedName>
    <definedName name="Sup_MD_Rate">#REF!</definedName>
    <definedName name="SUWON" hidden="1">{#N/A,#N/A,FALSE,"현장 NCR 분석";#N/A,#N/A,FALSE,"현장품질감사";#N/A,#N/A,FALSE,"현장품질감사"}</definedName>
    <definedName name="SUYO">#N/A</definedName>
    <definedName name="SV">#REF!</definedName>
    <definedName name="SVFGSF">#REF!</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시험사001">#REF!</definedName>
    <definedName name="SW시험사002">#REF!</definedName>
    <definedName name="SW시험사011">#REF!</definedName>
    <definedName name="SW시험사982">#REF!</definedName>
    <definedName name="SW시험사991">#REF!</definedName>
    <definedName name="SW시험사992">#REF!</definedName>
    <definedName name="swfasdfasdf" hidden="1">{#N/A,#N/A,FALSE,"BS";#N/A,#N/A,FALSE,"PL";#N/A,#N/A,FALSE,"처분";#N/A,#N/A,FALSE,"현금";#N/A,#N/A,FALSE,"매출";#N/A,#N/A,FALSE,"원가";#N/A,#N/A,FALSE,"경영"}</definedName>
    <definedName name="SWH.1">#REF!</definedName>
    <definedName name="SWH.2">#REF!</definedName>
    <definedName name="SWH.3">#REF!</definedName>
    <definedName name="SWL">#REF!</definedName>
    <definedName name="SWQHRFDS">#REF!</definedName>
    <definedName name="SWQW" hidden="1">{#N/A,#N/A,FALSE,"단가표지"}</definedName>
    <definedName name="SWR">#REF!</definedName>
    <definedName name="SWS" hidden="1">#REF!</definedName>
    <definedName name="Swvu.매출입." hidden="1">#REF!</definedName>
    <definedName name="SX" hidden="1">{#N/A,#N/A,FALSE,"CCTV"}</definedName>
    <definedName name="SXXS">#N/A</definedName>
    <definedName name="sy">#REF!</definedName>
    <definedName name="syrtv" hidden="1">{#N/A,#N/A,FALSE,"운반시간"}</definedName>
    <definedName name="SYSY" hidden="1">{#N/A,#N/A,FALSE,"이태원철근"}</definedName>
    <definedName name="SZ">#REF!</definedName>
    <definedName name="szdf" hidden="1">{#N/A,#N/A,FALSE,"지침";#N/A,#N/A,FALSE,"환경분석";#N/A,#N/A,FALSE,"Sheet16"}</definedName>
    <definedName name="SZVFGG">#REF!</definedName>
    <definedName name="T">#REF!</definedName>
    <definedName name="T_2">#N/A</definedName>
    <definedName name="T_3">#N/A</definedName>
    <definedName name="T_4">#N/A</definedName>
    <definedName name="T_AMOUNT">#N/A</definedName>
    <definedName name="T_MLSS">#REF!</definedName>
    <definedName name="T_N">#REF!</definedName>
    <definedName name="T_P">#REF!</definedName>
    <definedName name="T_Pch">#REF!</definedName>
    <definedName name="T_PIECE_67">#REF!</definedName>
    <definedName name="T_PIECE_87">#REF!</definedName>
    <definedName name="T_UPRICE">#N/A</definedName>
    <definedName name="T._A._B_____공___사">#N/A</definedName>
    <definedName name="T.B.M.설치">#REF!</definedName>
    <definedName name="T.B.M설치">#REF!</definedName>
    <definedName name="t.c설치"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T0">#REF!</definedName>
    <definedName name="T1_">#N/A</definedName>
    <definedName name="T10뒷채움">#REF!</definedName>
    <definedName name="T10B">#REF!</definedName>
    <definedName name="T10B1">#REF!</definedName>
    <definedName name="T10B2">#REF!</definedName>
    <definedName name="T10B3">#REF!</definedName>
    <definedName name="T10B4">#REF!</definedName>
    <definedName name="T10B5">#REF!</definedName>
    <definedName name="T10B6">#REF!</definedName>
    <definedName name="T10B7">#REF!</definedName>
    <definedName name="T10D13">#REF!</definedName>
    <definedName name="T10D16">#REF!</definedName>
    <definedName name="T10D19">#REF!</definedName>
    <definedName name="T10D22">#REF!</definedName>
    <definedName name="T10D25">#REF!</definedName>
    <definedName name="T10D29">#REF!</definedName>
    <definedName name="T10D32">#REF!</definedName>
    <definedName name="T10H">#REF!</definedName>
    <definedName name="T10H1">#REF!</definedName>
    <definedName name="T10H2">#REF!</definedName>
    <definedName name="T10H3">#REF!</definedName>
    <definedName name="T10H4">#REF!</definedName>
    <definedName name="T10HANCH">#REF!</definedName>
    <definedName name="T10L">#REF!</definedName>
    <definedName name="T10M">#REF!</definedName>
    <definedName name="T10P">#REF!</definedName>
    <definedName name="T10Q">#REF!</definedName>
    <definedName name="T10R">#REF!</definedName>
    <definedName name="T11M">#REF!</definedName>
    <definedName name="T11P">#REF!</definedName>
    <definedName name="T12M">#REF!</definedName>
    <definedName name="T12P">#REF!</definedName>
    <definedName name="T13M">#REF!</definedName>
    <definedName name="T13P">#REF!</definedName>
    <definedName name="T14M">#REF!</definedName>
    <definedName name="T14P">#REF!</definedName>
    <definedName name="T15M">#REF!</definedName>
    <definedName name="T15P">#REF!</definedName>
    <definedName name="T16M">#REF!</definedName>
    <definedName name="T16P">#REF!</definedName>
    <definedName name="T17M">#REF!</definedName>
    <definedName name="T17P">#REF!</definedName>
    <definedName name="T18M">#REF!</definedName>
    <definedName name="T18P">#REF!</definedName>
    <definedName name="T19M">#REF!</definedName>
    <definedName name="T19P">#REF!</definedName>
    <definedName name="T1뒷채움">#REF!</definedName>
    <definedName name="t1a1p">#REF!</definedName>
    <definedName name="t1a1t">#REF!</definedName>
    <definedName name="t1a2p">#REF!</definedName>
    <definedName name="t1a2t">#REF!</definedName>
    <definedName name="T1B">#REF!</definedName>
    <definedName name="T1B1">#REF!</definedName>
    <definedName name="T1B2">#REF!</definedName>
    <definedName name="T1B3">#REF!</definedName>
    <definedName name="T1B4">#REF!</definedName>
    <definedName name="T1B5">#REF!</definedName>
    <definedName name="T1B6">#REF!</definedName>
    <definedName name="T1B7">#REF!</definedName>
    <definedName name="T1D13">#REF!</definedName>
    <definedName name="T1D16">#REF!</definedName>
    <definedName name="T1D19">#REF!</definedName>
    <definedName name="T1D22">#REF!</definedName>
    <definedName name="T1D25">#REF!</definedName>
    <definedName name="T1D26">#REF!</definedName>
    <definedName name="T1D29">#REF!</definedName>
    <definedName name="T1D32">#REF!</definedName>
    <definedName name="T1E">#REF!</definedName>
    <definedName name="T1H">#REF!</definedName>
    <definedName name="T1H1">#REF!</definedName>
    <definedName name="T1H2">#REF!</definedName>
    <definedName name="T1H3">#REF!</definedName>
    <definedName name="T1H4">#REF!</definedName>
    <definedName name="T1HANCH">#REF!</definedName>
    <definedName name="T1HC">#REF!</definedName>
    <definedName name="T1HUNCH">#REF!</definedName>
    <definedName name="T1L">#REF!</definedName>
    <definedName name="T1M">#REF!</definedName>
    <definedName name="T1P">#REF!</definedName>
    <definedName name="t1q">#REF!</definedName>
    <definedName name="T1R">#REF!</definedName>
    <definedName name="T1S">#REF!</definedName>
    <definedName name="T1T">#REF!</definedName>
    <definedName name="T2_">#N/A</definedName>
    <definedName name="T20M">#REF!</definedName>
    <definedName name="T20P">#REF!</definedName>
    <definedName name="T21M">#REF!</definedName>
    <definedName name="T21P">#REF!</definedName>
    <definedName name="T22E">#REF!</definedName>
    <definedName name="T23M">#REF!</definedName>
    <definedName name="T23P">#REF!</definedName>
    <definedName name="T24M">#REF!</definedName>
    <definedName name="T24P">#REF!</definedName>
    <definedName name="T2뒷채움">#REF!</definedName>
    <definedName name="T2표" hidden="1">{#N/A,#N/A,FALSE,"골재소요량";#N/A,#N/A,FALSE,"골재소요량"}</definedName>
    <definedName name="t2a1p">#REF!</definedName>
    <definedName name="t2a1t">#REF!</definedName>
    <definedName name="t2a2p">#REF!</definedName>
    <definedName name="t2a2t">#REF!</definedName>
    <definedName name="T2B">#REF!</definedName>
    <definedName name="T2B1">#REF!</definedName>
    <definedName name="T2B2">#REF!</definedName>
    <definedName name="T2B3">#REF!</definedName>
    <definedName name="T2B4">#REF!</definedName>
    <definedName name="T2B5">#REF!</definedName>
    <definedName name="T2B6">#REF!</definedName>
    <definedName name="T2B7">#REF!</definedName>
    <definedName name="T2D13">#REF!</definedName>
    <definedName name="T2D16">#REF!</definedName>
    <definedName name="T2D19">#REF!</definedName>
    <definedName name="T2D22">#REF!</definedName>
    <definedName name="T2D25">#REF!</definedName>
    <definedName name="T2D29">#REF!</definedName>
    <definedName name="T2D32">#REF!</definedName>
    <definedName name="T2E">#REF!</definedName>
    <definedName name="T2H">#REF!</definedName>
    <definedName name="T2H1">#REF!</definedName>
    <definedName name="T2H2">#REF!</definedName>
    <definedName name="T2H3">#REF!</definedName>
    <definedName name="T2H4">#REF!</definedName>
    <definedName name="T2HANCH">#REF!</definedName>
    <definedName name="T2HC">#REF!</definedName>
    <definedName name="T2L">#REF!</definedName>
    <definedName name="T2M">#REF!</definedName>
    <definedName name="T2P">#REF!</definedName>
    <definedName name="T2Q">#REF!</definedName>
    <definedName name="T2R">#REF!</definedName>
    <definedName name="T2S">#REF!</definedName>
    <definedName name="T2T">#REF!</definedName>
    <definedName name="T3_">#N/A</definedName>
    <definedName name="t345435413" hidden="1">{#N/A,#N/A,FALSE,"Sheet1"}</definedName>
    <definedName name="T3뒷채움">#REF!</definedName>
    <definedName name="T3A1P">#REF!</definedName>
    <definedName name="t3a1t">#REF!</definedName>
    <definedName name="t3a2p">#REF!</definedName>
    <definedName name="t3a2t">#REF!</definedName>
    <definedName name="T3B">#REF!</definedName>
    <definedName name="T3B1">#REF!</definedName>
    <definedName name="T3B2">#REF!</definedName>
    <definedName name="T3B3">#REF!</definedName>
    <definedName name="T3B4">#REF!</definedName>
    <definedName name="T3B5">#REF!</definedName>
    <definedName name="T3B6">#REF!</definedName>
    <definedName name="T3B7">#REF!</definedName>
    <definedName name="T3D13">#REF!</definedName>
    <definedName name="T3D16">#REF!</definedName>
    <definedName name="T3D19">#REF!</definedName>
    <definedName name="T3D22">#REF!</definedName>
    <definedName name="T3D25">#REF!</definedName>
    <definedName name="T3D29">#REF!</definedName>
    <definedName name="T3D32">#REF!</definedName>
    <definedName name="T3H">#REF!</definedName>
    <definedName name="T3H1">#REF!</definedName>
    <definedName name="T3H2">#REF!</definedName>
    <definedName name="T3H3">#REF!</definedName>
    <definedName name="T3H4">#REF!</definedName>
    <definedName name="T3HANCH">#REF!</definedName>
    <definedName name="T3L">#REF!</definedName>
    <definedName name="T3P">#REF!</definedName>
    <definedName name="T3Q">#REF!</definedName>
    <definedName name="T3R">#REF!</definedName>
    <definedName name="T3S">#REF!</definedName>
    <definedName name="T3T">#REF!</definedName>
    <definedName name="T4_">#N/A</definedName>
    <definedName name="T4뒷채움">#REF!</definedName>
    <definedName name="T4B">#REF!</definedName>
    <definedName name="T4B1">#REF!</definedName>
    <definedName name="T4B2">#REF!</definedName>
    <definedName name="T4B3">#REF!</definedName>
    <definedName name="T4B4">#REF!</definedName>
    <definedName name="T4B5">#REF!</definedName>
    <definedName name="T4B6">#REF!</definedName>
    <definedName name="T4B7">#REF!</definedName>
    <definedName name="T4D13">#REF!</definedName>
    <definedName name="T4D16">#REF!</definedName>
    <definedName name="T4D19">#REF!</definedName>
    <definedName name="T4D22">#REF!</definedName>
    <definedName name="T4D25">#REF!</definedName>
    <definedName name="T4D29">#REF!</definedName>
    <definedName name="T4D32">#REF!</definedName>
    <definedName name="T4H">#REF!</definedName>
    <definedName name="T4H1">#REF!</definedName>
    <definedName name="T4H2">#REF!</definedName>
    <definedName name="T4H3">#REF!</definedName>
    <definedName name="T4H4">#REF!</definedName>
    <definedName name="T4HANCH">#REF!</definedName>
    <definedName name="T4L">#REF!</definedName>
    <definedName name="T4M">#REF!</definedName>
    <definedName name="T4P">#REF!</definedName>
    <definedName name="T4Q">#REF!</definedName>
    <definedName name="T4R">#REF!</definedName>
    <definedName name="T5뒷채움">#REF!</definedName>
    <definedName name="T5B">#REF!</definedName>
    <definedName name="T5B1">#REF!</definedName>
    <definedName name="T5B2">#REF!</definedName>
    <definedName name="T5B3">#REF!</definedName>
    <definedName name="T5B4">#REF!</definedName>
    <definedName name="T5B5">#REF!</definedName>
    <definedName name="T5B6">#REF!</definedName>
    <definedName name="T5B7">#REF!</definedName>
    <definedName name="T5D13">#REF!</definedName>
    <definedName name="T5D16">#REF!</definedName>
    <definedName name="T5D19">#REF!</definedName>
    <definedName name="T5D22">#REF!</definedName>
    <definedName name="T5D25">#REF!</definedName>
    <definedName name="T5D29">#REF!</definedName>
    <definedName name="T5D32">#REF!</definedName>
    <definedName name="T5H">#REF!</definedName>
    <definedName name="T5H1">#REF!</definedName>
    <definedName name="T5H2">#REF!</definedName>
    <definedName name="T5H3">#REF!</definedName>
    <definedName name="T5H4">#REF!</definedName>
    <definedName name="T5HANCH">#REF!</definedName>
    <definedName name="T5L">#REF!</definedName>
    <definedName name="T5M">#REF!</definedName>
    <definedName name="T5P">#REF!</definedName>
    <definedName name="T5Q">#REF!</definedName>
    <definedName name="T5R">#REF!</definedName>
    <definedName name="T6뒷채움">#REF!</definedName>
    <definedName name="T6B">#REF!</definedName>
    <definedName name="T6B1">#REF!</definedName>
    <definedName name="T6B2">#REF!</definedName>
    <definedName name="T6B3">#REF!</definedName>
    <definedName name="T6B4">#REF!</definedName>
    <definedName name="T6B5">#REF!</definedName>
    <definedName name="T6B6">#REF!</definedName>
    <definedName name="T6B7">#REF!</definedName>
    <definedName name="T6D13">#REF!</definedName>
    <definedName name="T6D16">#REF!</definedName>
    <definedName name="T6D169">#REF!</definedName>
    <definedName name="T6D19">#REF!</definedName>
    <definedName name="T6D22">#REF!</definedName>
    <definedName name="T6D25">#REF!</definedName>
    <definedName name="T6D29">#REF!</definedName>
    <definedName name="T6D32">#REF!</definedName>
    <definedName name="T6H">#REF!</definedName>
    <definedName name="T6H1">#REF!</definedName>
    <definedName name="T6H2">#REF!</definedName>
    <definedName name="T6H3">#REF!</definedName>
    <definedName name="T6H4">#REF!</definedName>
    <definedName name="T6HANCH">#REF!</definedName>
    <definedName name="T6L">#REF!</definedName>
    <definedName name="T6M">#REF!</definedName>
    <definedName name="T6P">#REF!</definedName>
    <definedName name="T6Q">#REF!</definedName>
    <definedName name="T6R">#REF!</definedName>
    <definedName name="T7뒷채움">#REF!</definedName>
    <definedName name="T7B">#REF!</definedName>
    <definedName name="T7B1">#REF!</definedName>
    <definedName name="T7B2">#REF!</definedName>
    <definedName name="T7B3">#REF!</definedName>
    <definedName name="T7B4">#REF!</definedName>
    <definedName name="T7B5">#REF!</definedName>
    <definedName name="T7B6">#REF!</definedName>
    <definedName name="T7B7">#REF!</definedName>
    <definedName name="T7D13">#REF!</definedName>
    <definedName name="T7D16">#REF!</definedName>
    <definedName name="T7D19">#REF!</definedName>
    <definedName name="T7D22">#REF!</definedName>
    <definedName name="T7D25">#REF!</definedName>
    <definedName name="T7D29">#REF!</definedName>
    <definedName name="T7D32">#REF!</definedName>
    <definedName name="T7H">#REF!</definedName>
    <definedName name="T7H1">#REF!</definedName>
    <definedName name="T7H2">#REF!</definedName>
    <definedName name="T7H3">#REF!</definedName>
    <definedName name="T7H4">#REF!</definedName>
    <definedName name="T7HANCH">#REF!</definedName>
    <definedName name="T7L">#REF!</definedName>
    <definedName name="T7M">#REF!</definedName>
    <definedName name="T7P">#REF!</definedName>
    <definedName name="T7Q">#REF!</definedName>
    <definedName name="T7R">#REF!</definedName>
    <definedName name="T8뒷채움">#REF!</definedName>
    <definedName name="T8B">#REF!</definedName>
    <definedName name="T8B1">#REF!</definedName>
    <definedName name="T8B2">#REF!</definedName>
    <definedName name="T8B3">#REF!</definedName>
    <definedName name="T8B4">#REF!</definedName>
    <definedName name="T8B5">#REF!</definedName>
    <definedName name="T8B6">#REF!</definedName>
    <definedName name="T8B7">#REF!</definedName>
    <definedName name="T8D13">#REF!</definedName>
    <definedName name="T8D16">#REF!</definedName>
    <definedName name="T8D19">#REF!</definedName>
    <definedName name="T8D22">#REF!</definedName>
    <definedName name="T8D25">#REF!</definedName>
    <definedName name="T8D29">#REF!</definedName>
    <definedName name="T8D32">#REF!</definedName>
    <definedName name="T8H">#REF!</definedName>
    <definedName name="T8H1">#REF!</definedName>
    <definedName name="T8H2">#REF!</definedName>
    <definedName name="T8H3">#REF!</definedName>
    <definedName name="T8H4">#REF!</definedName>
    <definedName name="T8HANCH">#REF!</definedName>
    <definedName name="T8L">#REF!</definedName>
    <definedName name="T8M">#REF!</definedName>
    <definedName name="T8P">#REF!</definedName>
    <definedName name="T8Q">#REF!</definedName>
    <definedName name="T8R">#REF!</definedName>
    <definedName name="T9뒷채움">#REF!</definedName>
    <definedName name="T9B">#REF!</definedName>
    <definedName name="T9B1">#REF!</definedName>
    <definedName name="T9B2">#REF!</definedName>
    <definedName name="T9B3">#REF!</definedName>
    <definedName name="T9B4">#REF!</definedName>
    <definedName name="T9B5">#REF!</definedName>
    <definedName name="T9B6">#REF!</definedName>
    <definedName name="T9B7">#REF!</definedName>
    <definedName name="T9D13">#REF!</definedName>
    <definedName name="T9D16">#REF!</definedName>
    <definedName name="T9D19">#REF!</definedName>
    <definedName name="T9D202">#REF!</definedName>
    <definedName name="T9D211">#REF!</definedName>
    <definedName name="T9D22">#REF!</definedName>
    <definedName name="T9D25">#REF!</definedName>
    <definedName name="T9D250">#REF!</definedName>
    <definedName name="T9D29">#REF!</definedName>
    <definedName name="T9D32">#REF!</definedName>
    <definedName name="T9H">#REF!</definedName>
    <definedName name="T9H1">#REF!</definedName>
    <definedName name="T9H2">#REF!</definedName>
    <definedName name="T9H3">#REF!</definedName>
    <definedName name="T9H4">#REF!</definedName>
    <definedName name="T9HANCH">#REF!</definedName>
    <definedName name="T9L">#REF!</definedName>
    <definedName name="T9M">#REF!</definedName>
    <definedName name="T9P">#REF!</definedName>
    <definedName name="T9Q">#REF!</definedName>
    <definedName name="T9R">#REF!</definedName>
    <definedName name="T값">#REF!</definedName>
    <definedName name="t뎌ㅓㅜㅅㄷ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설계예산서" hidden="1">{#N/A,#N/A,FALSE,"전력간선"}</definedName>
    <definedName name="T자R10">#REF!</definedName>
    <definedName name="T자R15">#REF!</definedName>
    <definedName name="T자R20">#REF!</definedName>
    <definedName name="T자R5">#REF!</definedName>
    <definedName name="T자R6">#REF!</definedName>
    <definedName name="T자R7">#REF!</definedName>
    <definedName name="T자R8">#REF!</definedName>
    <definedName name="T자W0.3">#REF!</definedName>
    <definedName name="T자W0.4">#REF!</definedName>
    <definedName name="T자W0.5">#REF!</definedName>
    <definedName name="T자W0.6">#REF!</definedName>
    <definedName name="T자W0.8">#REF!</definedName>
    <definedName name="T자W1.0">#REF!</definedName>
    <definedName name="T자W1.2">#REF!</definedName>
    <definedName name="ta">#REF!</definedName>
    <definedName name="TA1P">#REF!</definedName>
    <definedName name="ta1t">#REF!</definedName>
    <definedName name="ta2p">#REF!</definedName>
    <definedName name="ta2t">#REF!</definedName>
    <definedName name="TAB">#REF!</definedName>
    <definedName name="tab.도금">#REF!</definedName>
    <definedName name="TABLE">#REF!</definedName>
    <definedName name="TABLE_10">#REF!</definedName>
    <definedName name="TABLE_11">#REF!</definedName>
    <definedName name="TABLE_12">#REF!</definedName>
    <definedName name="TABLE_13">#REF!</definedName>
    <definedName name="TABLE_14">#REF!</definedName>
    <definedName name="TABLE_15">#REF!</definedName>
    <definedName name="TABLE_16">#REF!</definedName>
    <definedName name="TABLE_17">#REF!</definedName>
    <definedName name="TABLE_18">#REF!</definedName>
    <definedName name="TABLE_19">#REF!</definedName>
    <definedName name="TABLE_2">#REF!</definedName>
    <definedName name="TABLE_20">#REF!</definedName>
    <definedName name="TABLE_21">#REF!</definedName>
    <definedName name="TABLE_22">#REF!</definedName>
    <definedName name="TABLE_23">#REF!</definedName>
    <definedName name="TABLE_24">#REF!</definedName>
    <definedName name="TABLE_25">#REF!</definedName>
    <definedName name="TABLE_26">#REF!</definedName>
    <definedName name="TABLE_27">#REF!</definedName>
    <definedName name="TABLE_28">#REF!</definedName>
    <definedName name="TABLE_29">#REF!</definedName>
    <definedName name="TABLE_3">#REF!</definedName>
    <definedName name="TABLE_30">#REF!</definedName>
    <definedName name="TABLE_31">#REF!</definedName>
    <definedName name="TABLE_32">#REF!</definedName>
    <definedName name="TABLE_33">#REF!</definedName>
    <definedName name="TABLE_34">#REF!</definedName>
    <definedName name="TABLE_35">#REF!</definedName>
    <definedName name="TABLE_36">#REF!</definedName>
    <definedName name="TABLE_37">#REF!</definedName>
    <definedName name="TABLE_38">#REF!</definedName>
    <definedName name="TABLE_39">#REF!</definedName>
    <definedName name="TABLE_4">#REF!</definedName>
    <definedName name="TABLE_40">#REF!</definedName>
    <definedName name="TABLE_41">#REF!</definedName>
    <definedName name="TABLE_42">#REF!</definedName>
    <definedName name="TABLE_43">#REF!</definedName>
    <definedName name="TABLE_44">#REF!</definedName>
    <definedName name="TABLE_45">#REF!</definedName>
    <definedName name="TABLE_46">#REF!</definedName>
    <definedName name="TABLE_47">#REF!</definedName>
    <definedName name="TABLE_48">#REF!</definedName>
    <definedName name="TABLE_49">#REF!</definedName>
    <definedName name="TABLE_5">#REF!</definedName>
    <definedName name="TABLE_50">#REF!</definedName>
    <definedName name="TABLE_51">#REF!</definedName>
    <definedName name="TABLE_52">#REF!</definedName>
    <definedName name="TABLE_53">#REF!</definedName>
    <definedName name="TABLE_54">#REF!</definedName>
    <definedName name="TABLE_55">#REF!</definedName>
    <definedName name="TABLE_56">#REF!</definedName>
    <definedName name="TABLE_57">#REF!</definedName>
    <definedName name="TABLE_58">#REF!</definedName>
    <definedName name="TABLE_59">#REF!</definedName>
    <definedName name="TABLE_6">#REF!</definedName>
    <definedName name="TABLE_60">#REF!</definedName>
    <definedName name="TABLE_61">#REF!</definedName>
    <definedName name="TABLE_62">#REF!</definedName>
    <definedName name="TABLE_63">#REF!</definedName>
    <definedName name="TABLE_64">#REF!</definedName>
    <definedName name="TABLE_65">#REF!</definedName>
    <definedName name="TABLE_66">#REF!</definedName>
    <definedName name="TABLE_67">#REF!</definedName>
    <definedName name="TABLE_68">#REF!</definedName>
    <definedName name="TABLE_69">#REF!</definedName>
    <definedName name="TABLE_7">#REF!</definedName>
    <definedName name="TABLE_8">#REF!</definedName>
    <definedName name="TABLE_9">#REF!</definedName>
    <definedName name="Table1">#REF!</definedName>
    <definedName name="Table2">#REF!</definedName>
    <definedName name="TAERTAR" hidden="1">{#N/A,#N/A,FALSE,"단가표지"}</definedName>
    <definedName name="TAF">#REF!</definedName>
    <definedName name="TAH">#REF!</definedName>
    <definedName name="TAK">#REF!</definedName>
    <definedName name="tam">#N/A</definedName>
    <definedName name="tank" hidden="1">#REF!</definedName>
    <definedName name="Tax_Reduction">#REF!</definedName>
    <definedName name="Tb">#REF!</definedName>
    <definedName name="Tba">#REF!</definedName>
    <definedName name="TBGBBTB">#REF!</definedName>
    <definedName name="TBL">#N/A</definedName>
    <definedName name="TBM">#REF!</definedName>
    <definedName name="tbv" hidden="1">{#N/A,#N/A,FALSE,"구조1"}</definedName>
    <definedName name="tbydy" hidden="1">{#N/A,#N/A,FALSE,"단가표지"}</definedName>
    <definedName name="tc">#REF!</definedName>
    <definedName name="TC임대" hidden="1">{#N/A,#N/A,FALSE,"물량산출"}</definedName>
    <definedName name="TCA">#REF!</definedName>
    <definedName name="TCB">#REF!</definedName>
    <definedName name="TChonsei">#REF!</definedName>
    <definedName name="TCOLOR">#REF!</definedName>
    <definedName name="tcverbn" hidden="1">{#N/A,#N/A,FALSE,"표지목차"}</definedName>
    <definedName name="TDeposit">#REF!</definedName>
    <definedName name="tdrutru" hidden="1">{#N/A,#N/A,FALSE,"Sheet6"}</definedName>
    <definedName name="TE">#REF!</definedName>
    <definedName name="Ted">#REF!</definedName>
    <definedName name="TEE">#REF!</definedName>
    <definedName name="TEFGSRJDSTM">#REF!</definedName>
    <definedName name="tehrhte">#REF!</definedName>
    <definedName name="tehtehdh">#REF!</definedName>
    <definedName name="tek">#REF!</definedName>
    <definedName name="Tel">#REF!</definedName>
    <definedName name="tem_val">#REF!</definedName>
    <definedName name="TEMP" hidden="1">#REF!</definedName>
    <definedName name="temp_end_day">#REF!</definedName>
    <definedName name="temp_end_month">#REF!</definedName>
    <definedName name="temp_end_year">#REF!</definedName>
    <definedName name="temp_projendday">#REF!</definedName>
    <definedName name="temp_strainer">#REF!</definedName>
    <definedName name="temp2">#REF!</definedName>
    <definedName name="tempActiAmount">#REF!</definedName>
    <definedName name="tempAmount">#REF!</definedName>
    <definedName name="TempDur">#REF!</definedName>
    <definedName name="temporary" hidden="1">{#N/A,#N/A,FALSE,"CCTV"}</definedName>
    <definedName name="TempRate">#REF!</definedName>
    <definedName name="TempRate2">#REF!</definedName>
    <definedName name="TempRate3">#REF!</definedName>
    <definedName name="tempRealAmount">#REF!</definedName>
    <definedName name="Tendon단면적">#REF!</definedName>
    <definedName name="TE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RTET" hidden="1">{#N/A,#N/A,FALSE,"표지목차"}</definedName>
    <definedName name="test">#REF!</definedName>
    <definedName name="TEST_1">#REF!</definedName>
    <definedName name="TEST_2">#REF!</definedName>
    <definedName name="TEST_A">#REF!</definedName>
    <definedName name="TEST_A1">#REF!</definedName>
    <definedName name="TEST_A2">#REF!</definedName>
    <definedName name="TEST_A3">#REF!</definedName>
    <definedName name="TEST_B">#REF!</definedName>
    <definedName name="TEST_B1">#REF!</definedName>
    <definedName name="TEST_B2">#REF!</definedName>
    <definedName name="TEST_B3">#REF!</definedName>
    <definedName name="TEST_C">#REF!</definedName>
    <definedName name="TEST_C1">#REF!</definedName>
    <definedName name="TEST_C2">#REF!</definedName>
    <definedName name="TEST_C3">#REF!</definedName>
    <definedName name="TEST_D">#REF!</definedName>
    <definedName name="TEST_D1">#REF!</definedName>
    <definedName name="TEST_D2">#REF!</definedName>
    <definedName name="TEST_D3">#REF!</definedName>
    <definedName name="TEST_E">#REF!</definedName>
    <definedName name="TEST_E1">#REF!</definedName>
    <definedName name="TEST_E2">#REF!</definedName>
    <definedName name="TEST_E3">#REF!</definedName>
    <definedName name="TEST_F">#REF!</definedName>
    <definedName name="TEST_F1">#REF!</definedName>
    <definedName name="TEST_F2">#REF!</definedName>
    <definedName name="TEST_F3">#REF!</definedName>
    <definedName name="TEST_G">#REF!</definedName>
    <definedName name="TEST_G1">#REF!</definedName>
    <definedName name="TEST_G2">#REF!</definedName>
    <definedName name="TEST_G3">#REF!</definedName>
    <definedName name="TEST_H">#REF!</definedName>
    <definedName name="TEST_H1">#REF!</definedName>
    <definedName name="TEST_H2">#REF!</definedName>
    <definedName name="TEST_H3">#REF!</definedName>
    <definedName name="TEST_I">#REF!</definedName>
    <definedName name="TEST_I1">#REF!</definedName>
    <definedName name="TEST_I2">#REF!</definedName>
    <definedName name="TEST_I3">#REF!</definedName>
    <definedName name="TEST_J">#REF!</definedName>
    <definedName name="TEST_J1">#REF!</definedName>
    <definedName name="TEST_J2">#REF!</definedName>
    <definedName name="TEST_J3">#REF!</definedName>
    <definedName name="TEST_K">#REF!</definedName>
    <definedName name="TEST_K1">#REF!</definedName>
    <definedName name="TEST_K2">#REF!</definedName>
    <definedName name="TEST_K3">#REF!</definedName>
    <definedName name="TEST_L2">#REF!</definedName>
    <definedName name="TEST_L3">#REF!</definedName>
    <definedName name="TEST_M2">#REF!</definedName>
    <definedName name="TEST_M3">#REF!</definedName>
    <definedName name="TEST_N2">#REF!</definedName>
    <definedName name="TEST_N3">#REF!</definedName>
    <definedName name="TEST_O2">#REF!</definedName>
    <definedName name="TEST_O3">#REF!</definedName>
    <definedName name="TEST_P2">#REF!</definedName>
    <definedName name="TEST_P3">#REF!</definedName>
    <definedName name="TEST_Q2">#REF!</definedName>
    <definedName name="TEST_Q3">#REF!</definedName>
    <definedName name="TEST_R2">#REF!</definedName>
    <definedName name="TEST_R3">#REF!</definedName>
    <definedName name="TEST_S3">#REF!</definedName>
    <definedName name="TEST_T3">#REF!</definedName>
    <definedName name="TEST_U3">#REF!</definedName>
    <definedName name="TEST_V3">#REF!</definedName>
    <definedName name="TEST_W3">#REF!</definedName>
    <definedName name="TEST_X3">#REF!</definedName>
    <definedName name="TEST_Y3">#REF!</definedName>
    <definedName name="TEST_Z3">#REF!</definedName>
    <definedName name="TEST1">#REF!</definedName>
    <definedName name="TEST2">#REF!</definedName>
    <definedName name="TEST3">#REF!</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twet" hidden="1">#REF!</definedName>
    <definedName name="Text5">#REF!</definedName>
    <definedName name="teyhrgdgjdtj">#N/A</definedName>
    <definedName name="TEYJ">{"'용역비'!$A$4:$C$8"}</definedName>
    <definedName name="TF">#REF!</definedName>
    <definedName name="tfdretfh43" hidden="1">{#N/A,#N/A,FALSE,"Sheet1"}</definedName>
    <definedName name="TFSHGFSHF">#N/A</definedName>
    <definedName name="TFUI" hidden="1">{"'용역비'!$A$4:$C$8"}</definedName>
    <definedName name="TFURT457" hidden="1">{#N/A,#N/A,FALSE,"Sheet1"}</definedName>
    <definedName name="TFUTRRTYU5657" hidden="1">{#N/A,#N/A,FALSE,"Sheet1"}</definedName>
    <definedName name="TFYDFSDFSD">#N/A</definedName>
    <definedName name="TG">#N/A</definedName>
    <definedName name="TGGG">#REF!</definedName>
    <definedName name="tghfdh" hidden="1">{#N/A,#N/A,FALSE,"Sheet1"}</definedName>
    <definedName name="tg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gjty" hidden="1">{#N/A,#N/A,FALSE,"2~8번"}</definedName>
    <definedName name="tgndtrt">#N/A</definedName>
    <definedName name="TGREG" hidden="1">{#N/A,#N/A,FALSE,"속도"}</definedName>
    <definedName name="tgyhj" hidden="1">{#N/A,#N/A,FALSE,"운반시간"}</definedName>
    <definedName name="TH">#REF!</definedName>
    <definedName name="thd" hidden="1">{#N/A,#N/A,FALSE,"전력간선"}</definedName>
    <definedName name="THDFRTYT76" hidden="1">{#N/A,#N/A,FALSE,"Sheet1"}</definedName>
    <definedName name="thfl" hidden="1">{#N/A,#N/A,FALSE,"골재소요량";#N/A,#N/A,FALSE,"골재소요량"}</definedName>
    <definedName name="thgh">#REF!</definedName>
    <definedName name="thgrhagfnhg" hidden="1">{#N/A,#N/A,FALSE,"Sheet1"}</definedName>
    <definedName name="thh" hidden="1">#REF!</definedName>
    <definedName name="thhghsf">#REF!</definedName>
    <definedName name="thhh" hidden="1">#REF!</definedName>
    <definedName name="thhy56" hidden="1">#REF!</definedName>
    <definedName name="thio">#REF!</definedName>
    <definedName name="THK">#REF!</definedName>
    <definedName name="thliwth">#REF!</definedName>
    <definedName name="thrgngjtye">#N/A</definedName>
    <definedName name="thrthrt">#REF!</definedName>
    <definedName name="THRTHWRHTW" hidden="1">#REF!</definedName>
    <definedName name="tht" hidden="1">{#N/A,#N/A,FALSE,"단축1";#N/A,#N/A,FALSE,"단축2";#N/A,#N/A,FALSE,"단축3";#N/A,#N/A,FALSE,"장축";#N/A,#N/A,FALSE,"4WD"}</definedName>
    <definedName name="thuk" hidden="1">{#N/A,#N/A,FALSE,"운반시간"}</definedName>
    <definedName name="thwe">#REF!</definedName>
    <definedName name="thy" hidden="1">#REF!</definedName>
    <definedName name="thynhgntey">#N/A</definedName>
    <definedName name="tidf" hidden="1">{"'Sheet1'!$L$16"}</definedName>
    <definedName name="TIFFKFK">#N/A</definedName>
    <definedName name="TIO">#REF!</definedName>
    <definedName name="TIT">#REF!</definedName>
    <definedName name="TITLE">#REF!</definedName>
    <definedName name="Title___SBM_Turret_제작공사">#REF!</definedName>
    <definedName name="TITLE_PRINTS">#REF!</definedName>
    <definedName name="titles">#REF!</definedName>
    <definedName name="TITLES_PRINT">#REF!</definedName>
    <definedName name="TIYS5" hidden="1">{#N/A,#N/A,FALSE,"현장 NCR 분석";#N/A,#N/A,FALSE,"현장품질감사";#N/A,#N/A,FALSE,"현장품질감사"}</definedName>
    <definedName name="tjdnf" hidden="1">{#N/A,#N/A,FALSE,"전력간선"}</definedName>
    <definedName name="tjfhgkd" hidden="1">{#N/A,#N/A,FALSE,"운반시간"}</definedName>
    <definedName name="tjrtu">#REF!</definedName>
    <definedName name="tjy5u6">#REF!</definedName>
    <definedName name="TK_BYUL_IN_BU">#REF!</definedName>
    <definedName name="tka" hidden="1">{#N/A,#N/A,FALSE,"전력간선"}</definedName>
    <definedName name="Tkddy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kf" hidden="1">{#N/A,#N/A,FALSE,"조골재"}</definedName>
    <definedName name="TKG">#REF!,#REF!</definedName>
    <definedName name="tkguig" hidden="1">{#N/A,#N/A,FALSE,"혼합골재"}</definedName>
    <definedName name="TKH">#REF!</definedName>
    <definedName name="tkjguido" hidden="1">{#N/A,#N/A,FALSE,"혼합골재"}</definedName>
    <definedName name="TKN">#REF!</definedName>
    <definedName name="tkor">#REF!</definedName>
    <definedName name="tkorr">#REF!</definedName>
    <definedName name="TKRHTPQN2" hidden="1">{#N/A,#N/A,TRUE,"대외공문"}</definedName>
    <definedName name="TKRHTPQN2_1" hidden="1">{#N/A,#N/A,TRUE,"대외공문"}</definedName>
    <definedName name="TKRHTPQN2_2" hidden="1">{#N/A,#N/A,TRUE,"대외공문"}</definedName>
    <definedName name="TKRHTPQN2_3" hidden="1">{#N/A,#N/A,TRUE,"대외공문"}</definedName>
    <definedName name="Tl">#REF!</definedName>
    <definedName name="TLCST">#REF!</definedName>
    <definedName name="TLFGOD">#REF!,#REF!</definedName>
    <definedName name="TLFTN">#N/A</definedName>
    <definedName name="tlghkd" hidden="1">{#N/A,#N/A,FALSE,"생산성";#N/A,#N/A,FALSE,"인력1";#N/A,#N/A,FALSE,"인력2";#N/A,#N/A,FALSE,"인력3";#N/A,#N/A,FALSE,"인건1";#N/A,#N/A,FALSE,"인건2";#N/A,#N/A,FALSE,"인건3";#N/A,#N/A,FALSE,"인원증감";#N/A,#N/A,FALSE,"인건증감";#N/A,#N/A,FALSE,"표지등"}</definedName>
    <definedName name="tlocal">#REF!</definedName>
    <definedName name="tlocalr">#REF!</definedName>
    <definedName name="TLS" hidden="1">{"LKD",#N/A,FALSE,"표지"}</definedName>
    <definedName name="TLSCJD" hidden="1">#REF!</definedName>
    <definedName name="tlw">#REF!</definedName>
    <definedName name="TLWKR" hidden="1">#REF!</definedName>
    <definedName name="tlxm" hidden="1">#REF!</definedName>
    <definedName name="TMD">#REF!</definedName>
    <definedName name="TML">#REF!</definedName>
    <definedName name="TMO">#REF!</definedName>
    <definedName name="TMPRICC">#N/A</definedName>
    <definedName name="TMZPWMF" hidden="1">#REF!</definedName>
    <definedName name="TN" hidden="1">#N/A</definedName>
    <definedName name="TNDNJS" hidden="1">{#N/A,#N/A,FALSE,"현장 NCR 분석";#N/A,#N/A,FALSE,"현장품질감사";#N/A,#N/A,FALSE,"현장품질감사"}</definedName>
    <definedName name="TNOR">#REF!</definedName>
    <definedName name="TO">#REF!</definedName>
    <definedName name="TOB">#REF!</definedName>
    <definedName name="TodayUnit">#REF!</definedName>
    <definedName name="TODLFJ" hidden="1">{"'별표'!$N$220"}</definedName>
    <definedName name="TOH">#REF!</definedName>
    <definedName name="TOJUK">#REF!</definedName>
    <definedName name="TOKONG">#REF!</definedName>
    <definedName name="TOL">#REF!</definedName>
    <definedName name="TOLB">#REF!</definedName>
    <definedName name="TON">#REF!</definedName>
    <definedName name="TONG">#REF!</definedName>
    <definedName name="TOO">#N/A</definedName>
    <definedName name="Tool_Loss_Rate">#REF!</definedName>
    <definedName name="TOP">#N/A</definedName>
    <definedName name="tot">#REF!</definedName>
    <definedName name="Tot.Cost_SiteExp">#REF!</definedName>
    <definedName name="Tot.Cost_TempWk">#REF!</definedName>
    <definedName name="TOTAL">#N/A</definedName>
    <definedName name="total_diff">#REF!</definedName>
    <definedName name="Total_Floor_Area">#REF!</definedName>
    <definedName name="TOTAL1">#REF!</definedName>
    <definedName name="TOTAL2">#REF!</definedName>
    <definedName name="TOTAL3">#REF!</definedName>
    <definedName name="TOTAL4">#REF!</definedName>
    <definedName name="totalr">#REF!</definedName>
    <definedName name="totrcd">#REF!</definedName>
    <definedName name="TOUNIT">#REF!</definedName>
    <definedName name="TOWB">#REF!</definedName>
    <definedName name="TOWH">#REF!</definedName>
    <definedName name="TPF">#REF!</definedName>
    <definedName name="TPH">#REF!</definedName>
    <definedName name="TPM">#REF!</definedName>
    <definedName name="TQ3TQ" hidden="1">{#N/A,#N/A,FALSE,"표지목차"}</definedName>
    <definedName name="tr" hidden="1">#REF!</definedName>
    <definedName name="Tra">#REF!</definedName>
    <definedName name="TRANS">#REF!</definedName>
    <definedName name="TRBCVGDS" hidden="1">{#N/A,#N/A,FALSE,"Sheet1"}</definedName>
    <definedName name="tree수정" hidden="1">{#N/A,#N/A,FALSE,"지침";#N/A,#N/A,FALSE,"환경분석";#N/A,#N/A,FALSE,"Sheet16"}</definedName>
    <definedName name="TRent">#REF!</definedName>
    <definedName name="treswt" hidden="1">{#N/A,#N/A,FALSE,"CCTV"}</definedName>
    <definedName name="tretrt">#REF!</definedName>
    <definedName name="tretwe" hidden="1">#REF!</definedName>
    <definedName name="TRHEE" hidden="1">{#N/A,#N/A,FALSE,"Sheet6"}</definedName>
    <definedName name="TRHMNHGDMDEYT">#N/A</definedName>
    <definedName name="trhr" hidden="1">{#N/A,#N/A,FALSE,"Sheet6"}</definedName>
    <definedName name="trhtrhrwth">#REF!</definedName>
    <definedName name="trhtrhth">#REF!</definedName>
    <definedName name="trhtrhtrht">#REF!</definedName>
    <definedName name="TRIPACK">#REF!</definedName>
    <definedName name="trj">#REF!</definedName>
    <definedName name="trjt">#REF!</definedName>
    <definedName name="TRR">#REF!</definedName>
    <definedName name="TRRR">#REF!</definedName>
    <definedName name="trrrtrrtr" hidden="1">{#N/A,#N/A,FALSE,"포장2"}</definedName>
    <definedName name="TRT">#N/A</definedName>
    <definedName name="trtrttr">#REF!</definedName>
    <definedName name="trttytyyy">#REF!</definedName>
    <definedName name="TR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RUCK">#REF!</definedName>
    <definedName name="trunc">#REF!</definedName>
    <definedName name="TRV_NO">#N/A</definedName>
    <definedName name="TRVNO">#N/A</definedName>
    <definedName name="tryeyeryery" hidden="1">{#N/A,#N/A,FALSE,"BS";#N/A,#N/A,FALSE,"PL";#N/A,#N/A,FALSE,"처분";#N/A,#N/A,FALSE,"현금";#N/A,#N/A,FALSE,"매출";#N/A,#N/A,FALSE,"원가";#N/A,#N/A,FALSE,"경영"}</definedName>
    <definedName name="tryrtg">#REF!</definedName>
    <definedName name="tryrye" hidden="1">{#N/A,#N/A,FALSE,"손익표지";#N/A,#N/A,FALSE,"손익계산";#N/A,#N/A,FALSE,"일반관리비";#N/A,#N/A,FALSE,"영업외수익";#N/A,#N/A,FALSE,"영업외비용";#N/A,#N/A,FALSE,"매출액";#N/A,#N/A,FALSE,"요약손익";#N/A,#N/A,FALSE,"요약대차";#N/A,#N/A,FALSE,"매출채권현황";#N/A,#N/A,FALSE,"매출채권명세"}</definedName>
    <definedName name="TS">#REF!</definedName>
    <definedName name="Tsa">#REF!</definedName>
    <definedName name="tsdgf">#REF!</definedName>
    <definedName name="TSS">#REF!</definedName>
    <definedName name="TSUPPOT" hidden="1">{#N/A,#N/A,FALSE,"CCTV"}</definedName>
    <definedName name="TT">ROUND(#REF!*#REF!,0)</definedName>
    <definedName name="TTBL">#N/A</definedName>
    <definedName name="ttcn">#REF!</definedName>
    <definedName name="ttcnr">#REF!</definedName>
    <definedName name="ttgj_blk">#REF!</definedName>
    <definedName name="ttgj_top">#REF!</definedName>
    <definedName name="TTHG">#REF!</definedName>
    <definedName name="tthgnh">#N/A</definedName>
    <definedName name="TTI">#REF!,#REF!,#REF!</definedName>
    <definedName name="TTOB">#REF!</definedName>
    <definedName name="ttr" hidden="1">{#N/A,#N/A,FALSE,"Sheet6"}</definedName>
    <definedName name="TTRAYWSRY">#N/A</definedName>
    <definedName name="ttt">#REF!</definedName>
    <definedName name="TTTOO" localSheetId="0">BlankMacro1</definedName>
    <definedName name="TTTOO">BlankMacro1</definedName>
    <definedName name="TTTT" hidden="1">#REF!</definedName>
    <definedName name="ttttt" hidden="1">{#N/A,#N/A,FALSE,"지침";#N/A,#N/A,FALSE,"환경분석";#N/A,#N/A,FALSE,"Sheet16"}</definedName>
    <definedName name="TTTTTA" hidden="1">{#N/A,#N/A,FALSE,"골재소요량";#N/A,#N/A,FALSE,"골재소요량"}</definedName>
    <definedName name="TTTTTT">#N/A</definedName>
    <definedName name="ttttttttttyyyyyyyyy" hidden="1">{#N/A,#N/A,FALSE,"BS";#N/A,#N/A,FALSE,"PL";#N/A,#N/A,FALSE,"처분";#N/A,#N/A,FALSE,"현금";#N/A,#N/A,FALSE,"매출";#N/A,#N/A,FALSE,"원가";#N/A,#N/A,FALSE,"경영"}</definedName>
    <definedName name="tttu">#REF!</definedName>
    <definedName name="TTTY">#REF!</definedName>
    <definedName name="TTYRY" hidden="1">{#N/A,#N/A,FALSE,"부대1"}</definedName>
    <definedName name="tu" hidden="1">{"'용역비'!$A$4:$C$8"}</definedName>
    <definedName name="TUBE" hidden="1">{#N/A,#N/A,FALSE,"CCTV"}</definedName>
    <definedName name="tuchal">#REF!</definedName>
    <definedName name="tud" hidden="1">{#N/A,#N/A,FALSE,"골재소요량";#N/A,#N/A,FALSE,"골재소요량"}</definedName>
    <definedName name="tuilol" hidden="1">{"'용역비'!$A$4:$C$8"}</definedName>
    <definedName name="TUIO">{"'용역비'!$A$4:$C$8"}</definedName>
    <definedName name="TUIO.L">{"'용역비'!$A$4:$C$8"}</definedName>
    <definedName name="TUIOTUI">{"'용역비'!$A$4:$C$8"}</definedName>
    <definedName name="tuk">#REF!</definedName>
    <definedName name="tukr">#REF!</definedName>
    <definedName name="TUNVS">#REF!</definedName>
    <definedName name="TUR" hidden="1">#REF!</definedName>
    <definedName name="tuti" hidden="1">{#N/A,#N/A,FALSE,"운반시간"}</definedName>
    <definedName name="tuty" hidden="1">{#N/A,#N/A,FALSE,"2~8번"}</definedName>
    <definedName name="tuu">#REF!</definedName>
    <definedName name="tuy" hidden="1">{#N/A,#N/A,FALSE,"골재소요량";#N/A,#N/A,FALSE,"골재소요량"}</definedName>
    <definedName name="TV" localSheetId="0">BlankMacro1</definedName>
    <definedName name="TV">BlankMacro1</definedName>
    <definedName name="TV_분배기">#N/A</definedName>
    <definedName name="TV_유니트">#N/A</definedName>
    <definedName name="TV_증폭기">#N/A</definedName>
    <definedName name="TV공량">#REF!</definedName>
    <definedName name="TW">#REF!</definedName>
    <definedName name="TWA">#REF!</definedName>
    <definedName name="TWAHTR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WI">#REF!</definedName>
    <definedName name="TWL">#REF!</definedName>
    <definedName name="TWR">#REF!</definedName>
    <definedName name="TX" hidden="1">{#N/A,#N/A,FALSE,"2~8번"}</definedName>
    <definedName name="ty" hidden="1">{#N/A,#N/A,FALSE,"이정표"}</definedName>
    <definedName name="Ty1H1">#REF!</definedName>
    <definedName name="Ty1H2">#REF!</definedName>
    <definedName name="Ty1H3">#REF!</definedName>
    <definedName name="Ty1Hun1">#REF!</definedName>
    <definedName name="Ty1Hun2">#REF!</definedName>
    <definedName name="Ty1K1">#REF!</definedName>
    <definedName name="Ty1K2">#REF!</definedName>
    <definedName name="Ty1L1">#REF!</definedName>
    <definedName name="Ty1L2">#REF!</definedName>
    <definedName name="Ty1L3">#REF!</definedName>
    <definedName name="Ty1L4">#REF!</definedName>
    <definedName name="Ty1L5">#REF!</definedName>
    <definedName name="Ty1L6">#REF!</definedName>
    <definedName name="Ty1TH">#REF!</definedName>
    <definedName name="Ty1TL">#REF!</definedName>
    <definedName name="Ty2H1">#REF!</definedName>
    <definedName name="Ty2H2">#REF!</definedName>
    <definedName name="Ty2H3">#REF!</definedName>
    <definedName name="Ty2Hun1">#REF!</definedName>
    <definedName name="Ty2Hun2">#REF!</definedName>
    <definedName name="Ty2K1">#REF!</definedName>
    <definedName name="Ty2K2">#REF!</definedName>
    <definedName name="Ty2L1">#REF!</definedName>
    <definedName name="Ty2L2">#REF!</definedName>
    <definedName name="Ty2L3">#REF!</definedName>
    <definedName name="Ty2L4">#REF!</definedName>
    <definedName name="Ty2L5">#REF!</definedName>
    <definedName name="Ty2L6">#REF!</definedName>
    <definedName name="Ty2TH">#REF!</definedName>
    <definedName name="Ty2TL">#REF!</definedName>
    <definedName name="TYB">#REF!</definedName>
    <definedName name="tyetyrtyvb">#N/A</definedName>
    <definedName name="tyfgteyh">#REF!</definedName>
    <definedName name="tyfisd" hidden="1">{#N/A,#N/A,FALSE,"현장 NCR 분석";#N/A,#N/A,FALSE,"현장품질감사";#N/A,#N/A,FALSE,"현장품질감사"}</definedName>
    <definedName name="tygh" hidden="1">{#N/A,#N/A,FALSE,"단가표지"}</definedName>
    <definedName name="tygnjy" hidden="1">{#N/A,#N/A,FALSE,"조골재"}</definedName>
    <definedName name="tyh" hidden="1">{#N/A,#N/A,FALSE,"단가표지"}</definedName>
    <definedName name="TYHFDGFD" hidden="1">{#N/A,#N/A,FALSE,"배수2"}</definedName>
    <definedName name="tyhn" hidden="1">{#N/A,#N/A,FALSE,"단가표지"}</definedName>
    <definedName name="TYHYT">#REF!</definedName>
    <definedName name="TYI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iutyui" hidden="1">{#N/A,#N/A,FALSE,"Sheet6"}</definedName>
    <definedName name="TYJ" hidden="1">{"'용역비'!$A$4:$C$8"}</definedName>
    <definedName name="TYJDRDFGGFFD" hidden="1">{#N/A,#N/A,FALSE,"Sheet1"}</definedName>
    <definedName name="tyje" hidden="1">{"'용역비'!$A$4:$C$8"}</definedName>
    <definedName name="tyjet" hidden="1">{"'용역비'!$A$4:$C$8"}</definedName>
    <definedName name="TYJTYYTJTJTY">#N/A</definedName>
    <definedName name="tyjuhi" hidden="1">{#N/A,#N/A,FALSE,"단가표지"}</definedName>
    <definedName name="tyk" hidden="1">{#N/A,#N/A,FALSE,"BS";#N/A,#N/A,FALSE,"PL";#N/A,#N/A,FALSE,"처분";#N/A,#N/A,FALSE,"현금";#N/A,#N/A,FALSE,"매출";#N/A,#N/A,FALSE,"원가";#N/A,#N/A,FALSE,"경영"}</definedName>
    <definedName name="tykd" hidden="1">{"'제10장(표)'!$A$5:$L$10"}</definedName>
    <definedName name="tyo" localSheetId="0">BlankMacro1</definedName>
    <definedName name="tyo">BlankMacro1</definedName>
    <definedName name="TYPE">#REF!</definedName>
    <definedName name="TYPE1">#REF!</definedName>
    <definedName name="TYPE2">#REF!</definedName>
    <definedName name="TYPEEA">#REF!</definedName>
    <definedName name="tyretqertrqe">#N/A</definedName>
    <definedName name="TYRY" hidden="1">#REF!</definedName>
    <definedName name="tysretrr">#REF!</definedName>
    <definedName name="tyt" hidden="1">{"'장비'!$A$3:$M$12"}</definedName>
    <definedName name="tytju4tewete" hidden="1">{#N/A,#N/A,FALSE,"속도"}</definedName>
    <definedName name="tyu" hidden="1">{"'용역비'!$A$4:$C$8"}</definedName>
    <definedName name="tyu67t" hidden="1">{#N/A,#N/A,FALSE,"전력간선"}</definedName>
    <definedName name="tyu76i" hidden="1">{#N/A,#N/A,FALSE,"2~8번"}</definedName>
    <definedName name="tyubufmn" hidden="1">{#N/A,#N/A,FALSE,"단가표지"}</definedName>
    <definedName name="tyui" hidden="1">{#N/A,#N/A,FALSE,"BS";#N/A,#N/A,FALSE,"PL";#N/A,#N/A,FALSE,"처분";#N/A,#N/A,FALSE,"현금";#N/A,#N/A,FALSE,"매출";#N/A,#N/A,FALSE,"원가";#N/A,#N/A,FALSE,"경영"}</definedName>
    <definedName name="tyunt" hidden="1">{#N/A,#N/A,FALSE,"운반시간"}</definedName>
    <definedName name="tyut" hidden="1">{#N/A,#N/A,FALSE,"손익표지";#N/A,#N/A,FALSE,"손익계산";#N/A,#N/A,FALSE,"일반관리비";#N/A,#N/A,FALSE,"영업외수익";#N/A,#N/A,FALSE,"영업외비용";#N/A,#N/A,FALSE,"매출액";#N/A,#N/A,FALSE,"요약손익";#N/A,#N/A,FALSE,"요약대차";#N/A,#N/A,FALSE,"매출채권현황";#N/A,#N/A,FALSE,"매출채권명세"}</definedName>
    <definedName name="tyutyutueytu" hidden="1">{#N/A,#N/A,FALSE,"Sheet1"}</definedName>
    <definedName name="tyy">#REF!</definedName>
    <definedName name="tyyuy" hidden="1">{"'장비'!$A$3:$M$12"}</definedName>
    <definedName name="U">#REF!</definedName>
    <definedName name="U_PRICE">#N/A</definedName>
    <definedName name="U00">#REF!</definedName>
    <definedName name="U19042704">#REF!</definedName>
    <definedName name="U볼트" localSheetId="0">BlankMacro1</definedName>
    <definedName name="U볼트">BlankMacro1</definedName>
    <definedName name="U행">#REF!</definedName>
    <definedName name="U형측구단위수량">#REF!</definedName>
    <definedName name="U형측구수량집계표">#REF!</definedName>
    <definedName name="uasp">#REF!</definedName>
    <definedName name="UB" hidden="1">{#N/A,#N/A,FALSE,"CCTV"}</definedName>
    <definedName name="ubaesu">#REF!</definedName>
    <definedName name="ubang">#REF!</definedName>
    <definedName name="ubfm" hidden="1">{#N/A,#N/A,FALSE,"골재소요량";#N/A,#N/A,FALSE,"골재소요량"}</definedName>
    <definedName name="ubnfnu" hidden="1">{#N/A,#N/A,FALSE,"표지목차"}</definedName>
    <definedName name="UBOLT">#REF!</definedName>
    <definedName name="uconc1">#REF!</definedName>
    <definedName name="uconc2">#REF!</definedName>
    <definedName name="UD">#REF!</definedName>
    <definedName name="udong">#REF!</definedName>
    <definedName name="UDTGUDFJGHDTG" hidden="1">{#N/A,#N/A,FALSE,"지침";#N/A,#N/A,FALSE,"환경분석";#N/A,#N/A,FALSE,"Sheet16"}</definedName>
    <definedName name="ue____I¨￡">#N/A</definedName>
    <definedName name="ue____Iª">#N/A</definedName>
    <definedName name="ùê____Íª">#N/A</definedName>
    <definedName name="uger">#REF!</definedName>
    <definedName name="ugyh">#REF!</definedName>
    <definedName name="uh">#REF!</definedName>
    <definedName name="uhio8ou" hidden="1">{#N/A,#N/A,FALSE,"포장2"}</definedName>
    <definedName name="uhtuf" hidden="1">{#N/A,#N/A,FALSE,"단가표지"}</definedName>
    <definedName name="ui" hidden="1">{#N/A,#N/A,FALSE,"BS";#N/A,#N/A,FALSE,"PL";#N/A,#N/A,FALSE,"처분";#N/A,#N/A,FALSE,"현금";#N/A,#N/A,FALSE,"매출";#N/A,#N/A,FALSE,"원가";#N/A,#N/A,FALSE,"경영"}</definedName>
    <definedName name="uihguhj">#REF!</definedName>
    <definedName name="uiiui" hidden="1">{#N/A,#N/A,FALSE,"전력간선"}</definedName>
    <definedName name="uijiu" hidden="1">{#N/A,#N/A,FALSE,"단가표지"}</definedName>
    <definedName name="uijy" hidden="1">{#N/A,#N/A,FALSE,"혼합골재"}</definedName>
    <definedName name="uiltik">#N/A</definedName>
    <definedName name="uiok" hidden="1">{#N/A,#N/A,FALSE,"표지목차"}</definedName>
    <definedName name="uity" hidden="1">{#N/A,#N/A,FALSE,"전력간선"}</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y">#REF!</definedName>
    <definedName name="uiyiookju" hidden="1">{#N/A,#N/A,FALSE,"현장 NCR 분석";#N/A,#N/A,FALSE,"현장품질감사";#N/A,#N/A,FALSE,"현장품질감사"}</definedName>
    <definedName name="uiyiookju_1" hidden="1">{#N/A,#N/A,FALSE,"현장 NCR 분석";#N/A,#N/A,FALSE,"현장품질감사";#N/A,#N/A,FALSE,"현장품질감사"}</definedName>
    <definedName name="UJ">#REF!</definedName>
    <definedName name="uj7t" hidden="1">{#N/A,#N/A,FALSE,"조골재"}</definedName>
    <definedName name="ujdffdf" hidden="1">{#N/A,#N/A,FALSE,"단가표지"}</definedName>
    <definedName name="UJI">#REF!</definedName>
    <definedName name="ujibsu">#REF!</definedName>
    <definedName name="UJJ">#REF!</definedName>
    <definedName name="ujk" hidden="1">{#N/A,#N/A,FALSE,"운반시간"}</definedName>
    <definedName name="ujkjuuyu">#REF!</definedName>
    <definedName name="UJTYU57I78" hidden="1">{#N/A,#N/A,FALSE,"Sheet1"}</definedName>
    <definedName name="ujun">#REF!</definedName>
    <definedName name="ujun100">#REF!</definedName>
    <definedName name="ujun50">#REF!</definedName>
    <definedName name="ujunb">#REF!</definedName>
    <definedName name="ujuty" hidden="1">{#N/A,#N/A,FALSE,"단가표지"}</definedName>
    <definedName name="ujy">#REF!</definedName>
    <definedName name="ukimm">#REF!</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mp">#REF!</definedName>
    <definedName name="UKUYI67" hidden="1">{#N/A,#N/A,FALSE,"Sheet1"}</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yu">#REF!</definedName>
    <definedName name="ul">#REF!</definedName>
    <definedName name="ulo" hidden="1">{"'용역비'!$A$4:$C$8"}</definedName>
    <definedName name="um">#REF!</definedName>
    <definedName name="umrfr" hidden="1">{#N/A,#N/A,FALSE,"단가표지"}</definedName>
    <definedName name="UMTMTM">#N/A</definedName>
    <definedName name="umu">#REF!</definedName>
    <definedName name="umung">#REF!</definedName>
    <definedName name="umyu" hidden="1">{#N/A,#N/A,FALSE,"단가표지"}</definedName>
    <definedName name="Un">#REF!</definedName>
    <definedName name="Un_m">#REF!</definedName>
    <definedName name="UNBAN">#N/A</definedName>
    <definedName name="unhf" hidden="1">{#N/A,#N/A,FALSE,"혼합골재"}</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ON">#REF!</definedName>
    <definedName name="UNIT">#N/A</definedName>
    <definedName name="UNIT_1">#REF!</definedName>
    <definedName name="UNIT_3">#REF!</definedName>
    <definedName name="Unit_price_￦">#REF!</definedName>
    <definedName name="unit_top">#REF!</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col">#REF!</definedName>
    <definedName name="UNITD">#REF!</definedName>
    <definedName name="UNITDA">#REF!</definedName>
    <definedName name="UNITPRICE">#REF!</definedName>
    <definedName name="unjyh" hidden="1">{#N/A,#N/A,FALSE,"단가표지"}</definedName>
    <definedName name="unotch">#REF!</definedName>
    <definedName name="unt" hidden="1">{#N/A,#N/A,FALSE,"단가표지"}</definedName>
    <definedName name="unu" hidden="1">{#N/A,#N/A,FALSE,"단가표지"}</definedName>
    <definedName name="unu76y" hidden="1">{#N/A,#N/A,FALSE,"조골재"}</definedName>
    <definedName name="uoi8p" hidden="1">{#N/A,#N/A,FALSE,"운반시간"}</definedName>
    <definedName name="uoi8u" hidden="1">{#N/A,#N/A,FALSE,"토공2"}</definedName>
    <definedName name="uoio" hidden="1">{#N/A,#N/A,FALSE,"포장1";#N/A,#N/A,FALSE,"포장1"}</definedName>
    <definedName name="uoiup" hidden="1">{#N/A,#N/A,FALSE,"구조1"}</definedName>
    <definedName name="up" hidden="1">{#N/A,#N/A,FALSE,"지침";#N/A,#N/A,FALSE,"환경분석";#N/A,#N/A,FALSE,"Sheet16"}</definedName>
    <definedName name="UPSC">#REF!</definedName>
    <definedName name="UPSR">#REF!</definedName>
    <definedName name="used_xv">#REF!</definedName>
    <definedName name="userzm">#REF!</definedName>
    <definedName name="userzmcol">#REF!</definedName>
    <definedName name="usin">#REF!</definedName>
    <definedName name="uslab">#REF!</definedName>
    <definedName name="usmp">#REF!</definedName>
    <definedName name="uspace">#REF!</definedName>
    <definedName name="UT">#REF!</definedName>
    <definedName name="utaek">#REF!</definedName>
    <definedName name="utbm">#REF!</definedName>
    <definedName name="uthhj" hidden="1">{#N/A,#N/A,FALSE,"운반시간"}</definedName>
    <definedName name="UTI">{"'용역비'!$A$4:$C$8"}</definedName>
    <definedName name="UTIOL">{"'용역비'!$A$4:$C$8"}</definedName>
    <definedName name="UTP">#REF!</definedName>
    <definedName name="UTPNT">#REF!</definedName>
    <definedName name="UTU">#REF!</definedName>
    <definedName name="uu" hidden="1">{"'용역비'!$A$4:$C$8"}</definedName>
    <definedName name="uuik" hidden="1">{#N/A,#N/A,FALSE,"운반시간"}</definedName>
    <definedName name="UUU">#REF!</definedName>
    <definedName name="uuuu" hidden="1">{#N/A,#N/A,FALSE,"단가표지"}</definedName>
    <definedName name="uuuu_1" hidden="1">{#N/A,#N/A,FALSE,"단가표지"}</definedName>
    <definedName name="uuuu_2" hidden="1">{#N/A,#N/A,FALSE,"단가표지"}</definedName>
    <definedName name="uuuu_3" hidden="1">{#N/A,#N/A,FALSE,"단가표지"}</definedName>
    <definedName name="UUUUU">#N/A</definedName>
    <definedName name="UUUUUU">#N/A</definedName>
    <definedName name="UUUUUUU">#REF!</definedName>
    <definedName name="uuuyd" hidden="1">{#N/A,#N/A,FALSE,"Sheet1"}</definedName>
    <definedName name="uw">#REF!</definedName>
    <definedName name="UWㅈ5677ㄱ" hidden="1">{#N/A,#N/A,FALSE,"골재소요량";#N/A,#N/A,FALSE,"골재소요량"}</definedName>
    <definedName name="UWEIGHT">#REF!</definedName>
    <definedName name="UY" hidden="1">#REF!</definedName>
    <definedName name="uy89ihbn" hidden="1">{#N/A,#N/A,FALSE,"2~8번"}</definedName>
    <definedName name="uyfe7823ruer" hidden="1">{#N/A,#N/A,FALSE,"Sheet1"}</definedName>
    <definedName name="UYG" hidden="1">{#N/A,#N/A,FALSE,"현장 NCR 분석";#N/A,#N/A,FALSE,"현장품질감사";#N/A,#N/A,FALSE,"현장품질감사"}</definedName>
    <definedName name="UYI" hidden="1">{#N/A,#N/A,FALSE,"CCTV"}</definedName>
    <definedName name="uyj">#N/A</definedName>
    <definedName name="uyjesc" hidden="1">{#N/A,#N/A,FALSE,"포장1";#N/A,#N/A,FALSE,"포장1"}</definedName>
    <definedName name="uyjty" hidden="1">{#N/A,#N/A,FALSE,"조골재"}</definedName>
    <definedName name="uykjjf">#REF!</definedName>
    <definedName name="uykkrukkuk" hidden="1">{#N/A,#N/A,FALSE,"Sheet1"}</definedName>
    <definedName name="UYKWRYEWHNGTFN">#N/A</definedName>
    <definedName name="uysfd7823e32" hidden="1">{#N/A,#N/A,FALSE,"Sheet1"}</definedName>
    <definedName name="UY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yteyj" hidden="1">#REF!</definedName>
    <definedName name="UYUY">#REF!</definedName>
    <definedName name="uyuyu">#REF!</definedName>
    <definedName name="V">#REF!</definedName>
    <definedName name="v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V.E금액1">#REF!</definedName>
    <definedName name="v6a">#REF!</definedName>
    <definedName name="Ⅴ년차_과장급_정직급료">#REF!</definedName>
    <definedName name="Ⅴ년차_기사급_정직급료">#REF!</definedName>
    <definedName name="Ⅴ년차_대리급_정직급료">#REF!</definedName>
    <definedName name="Ⅴ년차_부장급_정직급료">#REF!</definedName>
    <definedName name="Ⅴ년차_사원갑_정직급료">#REF!</definedName>
    <definedName name="Ⅴ년차_사원을_정직급료">#REF!</definedName>
    <definedName name="Ⅴ년차_이사보_정직급료">#REF!</definedName>
    <definedName name="Ⅴ년차_차장급_정직급료">#REF!</definedName>
    <definedName name="Va">#REF!</definedName>
    <definedName name="VAFP">#REF!</definedName>
    <definedName name="VALU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r">#REF!</definedName>
    <definedName name="VB" hidden="1">{#N/A,#N/A,FALSE,"이태원철근"}</definedName>
    <definedName name="VB_1" hidden="1">{#N/A,#N/A,FALSE,"이태원철근"}</definedName>
    <definedName name="VB_2" hidden="1">{#N/A,#N/A,FALSE,"이태원철근"}</definedName>
    <definedName name="VB_3" hidden="1">{#N/A,#N/A,FALSE,"이태원철근"}</definedName>
    <definedName name="vbbb" localSheetId="0">BlankMacro1</definedName>
    <definedName name="vbbb">BlankMacro1</definedName>
    <definedName name="vbc">#REF!</definedName>
    <definedName name="vbdfgg">#REF!</definedName>
    <definedName name="VBGDH">#REF!</definedName>
    <definedName name="VBJ">#REF!</definedName>
    <definedName name="VBN" hidden="1">{#N/A,#N/A,FALSE,"이태원철근"}</definedName>
    <definedName name="VBN_1" hidden="1">{#N/A,#N/A,FALSE,"이태원철근"}</definedName>
    <definedName name="VBN_2" hidden="1">{#N/A,#N/A,FALSE,"이태원철근"}</definedName>
    <definedName name="VBN_3" hidden="1">{#N/A,#N/A,FALSE,"이태원철근"}</definedName>
    <definedName name="VBN_5" hidden="1">{#N/A,#N/A,FALSE,"이태원철근"}</definedName>
    <definedName name="vbnh">#REF!</definedName>
    <definedName name="vbnhj" hidden="1">{#N/A,#N/A,FALSE,"Sheet6"}</definedName>
    <definedName name="VBV">#REF!</definedName>
    <definedName name="vbvcbwdb">#N/A</definedName>
    <definedName name="VC" hidden="1">{#N/A,#N/A,FALSE,"토공2"}</definedName>
    <definedName name="VCBCGDFGD" hidden="1">{#N/A,#N/A,FALSE,"Sheet1"}</definedName>
    <definedName name="vcc" hidden="1">{#N/A,#N/A,FALSE,"구조1"}</definedName>
    <definedName name="VCR">#REF!</definedName>
    <definedName name="vcvcvc" hidden="1">{#N/A,#N/A,FALSE,"현장 NCR 분석";#N/A,#N/A,FALSE,"현장품질감사";#N/A,#N/A,FALSE,"현장품질감사"}</definedName>
    <definedName name="vcx">#REF!</definedName>
    <definedName name="vcxljdofavj">#N/A</definedName>
    <definedName name="VCXZ">#REF!</definedName>
    <definedName name="VD">#REF!</definedName>
    <definedName name="VDATA">#N/A</definedName>
    <definedName name="VDES">#N/A</definedName>
    <definedName name="VDSVP">#REF!</definedName>
    <definedName name="vdtfewr324" hidden="1">{#N/A,#N/A,FALSE,"Sheet1"}</definedName>
    <definedName name="ve" hidden="1">{"'Firr(선)'!$AS$1:$AY$62","'Firr(사)'!$AS$1:$AY$62","'Firr(회)'!$AS$1:$AY$62","'Firr(선)'!$L$1:$V$62","'Firr(사)'!$L$1:$V$62","'Firr(회)'!$L$1:$V$62"}</definedName>
    <definedName name="VEND">#N/A</definedName>
    <definedName name="vf" hidden="1">{"'Sheet1'!$L$16"}</definedName>
    <definedName name="VFD">#REF!</definedName>
    <definedName name="vfdsvfv">#REF!</definedName>
    <definedName name="vfdvbf" hidden="1">{#N/A,#N/A,FALSE,"단가표지"}</definedName>
    <definedName name="vffsfs" hidden="1">{#N/A,#N/A,TRUE,"Basic";#N/A,#N/A,TRUE,"EXT-TABLE";#N/A,#N/A,TRUE,"STEEL";#N/A,#N/A,TRUE,"INT-Table";#N/A,#N/A,TRUE,"STEEL";#N/A,#N/A,TRUE,"Door"}</definedName>
    <definedName name="VFJKEH">#REF!</definedName>
    <definedName name="vfpdsv" hidden="1">{#N/A,#N/A,FALSE,"CCTV"}</definedName>
    <definedName name="VFV">#REF!</definedName>
    <definedName name="VFZF" hidden="1">{#N/A,#N/A,FALSE,"이태원철근"}</definedName>
    <definedName name="VGB">#REF!</definedName>
    <definedName name="VGF">#REF!</definedName>
    <definedName name="VHAF">#REF!</definedName>
    <definedName name="VHFG" hidden="1">#REF!</definedName>
    <definedName name="VHMF">#REF!</definedName>
    <definedName name="vhnj" hidden="1">{#N/A,#N/A,FALSE,"2~8번"}</definedName>
    <definedName name="VIP">#REF!</definedName>
    <definedName name="VIR">#REF!</definedName>
    <definedName name="VIS">#REF!</definedName>
    <definedName name="vkfo">#REF!</definedName>
    <definedName name="vkjh" hidden="1">{#N/A,#N/A,FALSE,"운반시간"}</definedName>
    <definedName name="vlo">#REF!</definedName>
    <definedName name="VMAX">#N/A</definedName>
    <definedName name="VMF">#REF!</definedName>
    <definedName name="VMOTOR">#REF!</definedName>
    <definedName name="vn" hidden="1">{"'Sheet1'!$L$16"}</definedName>
    <definedName name="vnb">#REF!</definedName>
    <definedName name="VNBM" hidden="1">{#N/A,#N/A,FALSE,"단가표지"}</definedName>
    <definedName name="VNJ">#REF!</definedName>
    <definedName name="VOLUME금액">#REF!</definedName>
    <definedName name="VPUMP">#REF!</definedName>
    <definedName name="vqwt" hidden="1">{#N/A,#N/A,FALSE,"포장1";#N/A,#N/A,FALSE,"포장1"}</definedName>
    <definedName name="VS">#REF!</definedName>
    <definedName name="vsdfydy" hidden="1">#REF!</definedName>
    <definedName name="vsl_ds">#REF!</definedName>
    <definedName name="vsl_fts">#REF!</definedName>
    <definedName name="vsl_is">#REF!</definedName>
    <definedName name="vsl_notcor">#REF!</definedName>
    <definedName name="vsl_notcorrected">#REF!</definedName>
    <definedName name="vsl_notsea">#REF!</definedName>
    <definedName name="vsl_notsearched">#REF!</definedName>
    <definedName name="vsl_ns">#REF!</definedName>
    <definedName name="vsl_ow">#REF!</definedName>
    <definedName name="vsl_vol">#REF!</definedName>
    <definedName name="vsl_wfwv">#REF!</definedName>
    <definedName name="vsl_ws">#REF!</definedName>
    <definedName name="VSS_SS">#REF!</definedName>
    <definedName name="VSV">#REF!</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V" hidden="1">{#N/A,#N/A,FALSE,"조골재"}</definedName>
    <definedName name="VVAFP">#REF!</definedName>
    <definedName name="vvb">#REF!</definedName>
    <definedName name="vvbvv">#N/A</definedName>
    <definedName name="VVMF">#REF!</definedName>
    <definedName name="VVSSADRE">#REF!</definedName>
    <definedName name="VVV">#REF!</definedName>
    <definedName name="VVVV" hidden="1">{#N/A,#N/A,FALSE,"CCTV"}</definedName>
    <definedName name="vvvvv" hidden="1">{#N/A,#N/A,FALSE,"조골재"}</definedName>
    <definedName name="VVVVVV">#REF!</definedName>
    <definedName name="vvvvvvv" hidden="1">{#N/A,#N/A,FALSE,"CCTV"}</definedName>
    <definedName name="vwat" hidden="1">{#N/A,#N/A,FALSE,"운반시간"}</definedName>
    <definedName name="VWEI">#REF!</definedName>
    <definedName name="VX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fthygn" hidden="1">{#N/A,#N/A,FALSE,"BS";#N/A,#N/A,FALSE,"PL";#N/A,#N/A,FALSE,"처분";#N/A,#N/A,FALSE,"현금";#N/A,#N/A,FALSE,"매출";#N/A,#N/A,FALSE,"원가";#N/A,#N/A,FALSE,"경영"}</definedName>
    <definedName name="vyuvfyuvfyu">#REF!</definedName>
    <definedName name="vywl">#REF!</definedName>
    <definedName name="vywlnnnnnn" hidden="1">{#N/A,#N/A,FALSE,"전력간선"}</definedName>
    <definedName name="W">#REF!</definedName>
    <definedName name="w_m">#REF!</definedName>
    <definedName name="w_m1">#REF!</definedName>
    <definedName name="w_m2">#REF!</definedName>
    <definedName name="w_m22">#REF!</definedName>
    <definedName name="W10L">#REF!</definedName>
    <definedName name="W10R">#REF!</definedName>
    <definedName name="W15_">#N/A</definedName>
    <definedName name="W3_">#N/A</definedName>
    <definedName name="W3L">#REF!</definedName>
    <definedName name="W3R">#REF!</definedName>
    <definedName name="W3RGFDHSF">#REF!</definedName>
    <definedName name="W3RGFFDHFH">#N/A</definedName>
    <definedName name="W4L">#REF!</definedName>
    <definedName name="W4R">#REF!</definedName>
    <definedName name="W4TFYASDY">#N/A</definedName>
    <definedName name="W5L">#REF!</definedName>
    <definedName name="W5R">#REF!</definedName>
    <definedName name="W6_">#N/A</definedName>
    <definedName name="W6L">#REF!</definedName>
    <definedName name="W6R">#REF!</definedName>
    <definedName name="W7L">#REF!</definedName>
    <definedName name="W7R">#REF!</definedName>
    <definedName name="W8L">#REF!</definedName>
    <definedName name="W8R">#REF!</definedName>
    <definedName name="W9L">#REF!</definedName>
    <definedName name="W9R">#REF!</definedName>
    <definedName name="W행">#REF!</definedName>
    <definedName name="wa">#N/A</definedName>
    <definedName name="WAA">#REF!</definedName>
    <definedName name="WAAA">#REF!</definedName>
    <definedName name="waerwrewra" hidden="1">{#N/A,#N/A,FALSE,"혼합골재"}</definedName>
    <definedName name="WALE">#REF!</definedName>
    <definedName name="wale_e">#REF!</definedName>
    <definedName name="wale_ea">#REF!</definedName>
    <definedName name="WALL">#REF!</definedName>
    <definedName name="warfer">#N/A</definedName>
    <definedName name="wasdf">#REF!</definedName>
    <definedName name="WASTE_WATER">#REF!</definedName>
    <definedName name="wate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_BOX">#REF!</definedName>
    <definedName name="WB">#REF!</definedName>
    <definedName name="WB.1">#REF!</definedName>
    <definedName name="WB.2">#REF!</definedName>
    <definedName name="WB.3">#REF!</definedName>
    <definedName name="wbtrwe" hidden="1">{#N/A,#N/A,FALSE,"포장2"}</definedName>
    <definedName name="wc">#REF!</definedName>
    <definedName name="wd" hidden="1">#REF!</definedName>
    <definedName name="WD_14.5_21_제작설치">#REF!</definedName>
    <definedName name="WD_7.5_20_제작설치">#REF!</definedName>
    <definedName name="WD_8_21_제작설치">#REF!</definedName>
    <definedName name="WD_9_21_제작설치">#REF!</definedName>
    <definedName name="WD_9.5_21_제작설치">#REF!</definedName>
    <definedName name="WD_P">#REF!</definedName>
    <definedName name="WD_W">#REF!</definedName>
    <definedName name="WDDSF">#REF!,#REF!,#REF!</definedName>
    <definedName name="wddw">#REF!</definedName>
    <definedName name="wdes">#REF!</definedName>
    <definedName name="WDF">#REF!</definedName>
    <definedName name="WDFG">#REF!,#REF!</definedName>
    <definedName name="wdgvwe" hidden="1">{#N/A,#N/A,FALSE,"Sheet1"}</definedName>
    <definedName name="WDV">#REF!</definedName>
    <definedName name="WE">#REF!</definedName>
    <definedName name="we23td" hidden="1">{#N/A,#N/A,FALSE,"Sheet1"}</definedName>
    <definedName name="WEARF" hidden="1">{#N/A,#N/A,TRUE,"Y생산";#N/A,#N/A,TRUE,"Y판매";#N/A,#N/A,TRUE,"Y총물량";#N/A,#N/A,TRUE,"Y능력";#N/A,#N/A,TRUE,"YKD"}</definedName>
    <definedName name="wearraarwet" hidden="1">{#N/A,#N/A,FALSE,"골재소요량";#N/A,#N/A,FALSE,"골재소요량"}</definedName>
    <definedName name="webc">#REF!</definedName>
    <definedName name="webh">#REF!</definedName>
    <definedName name="webp">#REF!</definedName>
    <definedName name="wee" hidden="1">{#N/A,#N/A,FALSE,"빌딩claim율";#N/A,#N/A,FALSE,"전력CLAIM율";#N/A,#N/A,FALSE,"SVC산업CLAIM"}</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k">{0;1;2;3;4;5}</definedName>
    <definedName name="Weekday">{1,2,3,4,5,6,7}</definedName>
    <definedName name="weerw" hidden="1">{#N/A,#N/A,FALSE,"혼합골재"}</definedName>
    <definedName name="WEF">#REF!,#REF!</definedName>
    <definedName name="WEFDS">#REF!</definedName>
    <definedName name="wefwf">{"'자리배치도'!$AG$1:$CI$28"}</definedName>
    <definedName name="wegwre" hidden="1">{#N/A,#N/A,FALSE,"Sheet1"}</definedName>
    <definedName name="weh">#REF!</definedName>
    <definedName name="wehiow">#REF!</definedName>
    <definedName name="weho">#REF!</definedName>
    <definedName name="WEI">#REF!</definedName>
    <definedName name="weight" hidden="1">{#N/A,#N/A,FALSE,"CCTV"}</definedName>
    <definedName name="wejslfjaks" hidden="1">{#N/A,#N/A,FALSE,"Sheet1"}</definedName>
    <definedName name="wek">#REF!</definedName>
    <definedName name="weki_9701.xls" hidden="1">#REF!</definedName>
    <definedName name="wekir9701.xls" hidden="1">#REF!</definedName>
    <definedName name="wekljflkasf" hidden="1">{#N/A,#N/A,FALSE,"Sheet1"}</definedName>
    <definedName name="wekljkljfsad" hidden="1">{#N/A,#N/A,FALSE,"Sheet1"}</definedName>
    <definedName name="wekwhf" hidden="1">{#N/A,#N/A,FALSE,"골재소요량";#N/A,#N/A,FALSE,"골재소요량"}</definedName>
    <definedName name="WEQ">#REF!</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R">#N/A</definedName>
    <definedName name="wer_1" hidden="1">{#N/A,#N/A,FALSE,"골재소요량";#N/A,#N/A,FALSE,"골재소요량"}</definedName>
    <definedName name="weraerwarwerw" hidden="1">{#N/A,#N/A,FALSE,"2~8번"}</definedName>
    <definedName name="WEREF">#N/A</definedName>
    <definedName name="werere" hidden="1">{#N/A,#N/A,FALSE,"표지목차"}</definedName>
    <definedName name="wererr" hidden="1">{#N/A,#N/A,FALSE,"운반시간"}</definedName>
    <definedName name="werew" hidden="1">{#N/A,#N/A,FALSE,"손익표지";#N/A,#N/A,FALSE,"손익계산";#N/A,#N/A,FALSE,"일반관리비";#N/A,#N/A,FALSE,"영업외수익";#N/A,#N/A,FALSE,"영업외비용";#N/A,#N/A,FALSE,"매출액";#N/A,#N/A,FALSE,"요약손익";#N/A,#N/A,FALSE,"요약대차";#N/A,#N/A,FALSE,"매출채권현황";#N/A,#N/A,FALSE,"매출채권명세"}</definedName>
    <definedName name="werewr" hidden="1">{#N/A,#N/A,FALSE,"골재소요량";#N/A,#N/A,FALSE,"골재소요량"}</definedName>
    <definedName name="WEREWRQ">#REF!</definedName>
    <definedName name="werewrw">#REF!</definedName>
    <definedName name="WERFDNSHS">#REF!</definedName>
    <definedName name="WERFDSDS">#N/A</definedName>
    <definedName name="wergreg">#N/A</definedName>
    <definedName name="werlojlfdcl">#N/A</definedName>
    <definedName name="wermjllda" hidden="1">{#N/A,#N/A,FALSE,"Sheet1"}</definedName>
    <definedName name="werqwerwefrasdfa" hidden="1">{#N/A,#N/A,FALSE,"BS";#N/A,#N/A,FALSE,"PL";#N/A,#N/A,FALSE,"처분";#N/A,#N/A,FALSE,"현금";#N/A,#N/A,FALSE,"매출";#N/A,#N/A,FALSE,"원가";#N/A,#N/A,FALSE,"경영"}</definedName>
    <definedName name="werrer">#N/A</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asdgfdgs" hidden="1">{#N/A,#N/A,FALSE,"BS";#N/A,#N/A,FALSE,"PL";#N/A,#N/A,FALSE,"처분";#N/A,#N/A,FALSE,"현금";#N/A,#N/A,FALSE,"매출";#N/A,#N/A,FALSE,"원가";#N/A,#N/A,FALSE,"경영"}</definedName>
    <definedName name="WERTWERT" hidden="1">{#N/A,#N/A,FALSE,"기안지";#N/A,#N/A,FALSE,"통신지"}</definedName>
    <definedName name="werw" hidden="1">#REF!</definedName>
    <definedName name="werwe" hidden="1">{#N/A,#N/A,FALSE,"손익표지";#N/A,#N/A,FALSE,"손익계산";#N/A,#N/A,FALSE,"일반관리비";#N/A,#N/A,FALSE,"영업외수익";#N/A,#N/A,FALSE,"영업외비용";#N/A,#N/A,FALSE,"매출액";#N/A,#N/A,FALSE,"요약손익";#N/A,#N/A,FALSE,"요약대차";#N/A,#N/A,FALSE,"매출채권현황";#N/A,#N/A,FALSE,"매출채권명세"}</definedName>
    <definedName name="WERWER">#REF!</definedName>
    <definedName name="werwerdff">#REF!</definedName>
    <definedName name="werwerwerew">#REF!</definedName>
    <definedName name="werwr" hidden="1">{#N/A,#N/A,FALSE,"손익표지";#N/A,#N/A,FALSE,"손익계산";#N/A,#N/A,FALSE,"일반관리비";#N/A,#N/A,FALSE,"영업외수익";#N/A,#N/A,FALSE,"영업외비용";#N/A,#N/A,FALSE,"매출액";#N/A,#N/A,FALSE,"요약손익";#N/A,#N/A,FALSE,"요약대차";#N/A,#N/A,FALSE,"매출채권현황";#N/A,#N/A,FALSE,"매출채권명세"}</definedName>
    <definedName name="weryew" hidden="1">{#N/A,#N/A,FALSE,"이정표"}</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sdd">#REF!</definedName>
    <definedName name="WET">#REF!</definedName>
    <definedName name="wet3w4" hidden="1">{#N/A,#N/A,FALSE,"혼합골재"}</definedName>
    <definedName name="weth">#REF!</definedName>
    <definedName name="wethi">#REF!</definedName>
    <definedName name="wetn">#REF!</definedName>
    <definedName name="WEUH">#REF!</definedName>
    <definedName name="WEW">#REF!</definedName>
    <definedName name="wewep">#N/A</definedName>
    <definedName name="wewewewe" hidden="1">{#N/A,#N/A,FALSE,"요약";#N/A,#N/A,FALSE,"보고목차";#N/A,#N/A,FALSE,"1)서비스접수";#N/A,#N/A,FALSE,"2)상담";#N/A,#N/A,FALSE,"2.월별접수추이현황";#N/A,#N/A,FALSE,"3.상담내용";#N/A,#N/A,FALSE,"4.미처리현황"}</definedName>
    <definedName name="WEWQ" hidden="1">{#N/A,#N/A,FALSE,"전력간선"}</definedName>
    <definedName name="wewqewq"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YT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F">#REF!</definedName>
    <definedName name="WF_10_6_제작설치">#REF!</definedName>
    <definedName name="WF_18_23.75_제작설치">#REF!</definedName>
    <definedName name="WF_30_23.75_제작설치">#REF!</definedName>
    <definedName name="wfedvv">#N/A</definedName>
    <definedName name="WFG">#REF!</definedName>
    <definedName name="wg">#REF!</definedName>
    <definedName name="wgh">#REF!</definedName>
    <definedName name="wgvvvv" hidden="1">{#N/A,#N/A,FALSE,"BS";#N/A,#N/A,FALSE,"PL";#N/A,#N/A,FALSE,"처분";#N/A,#N/A,FALSE,"현금";#N/A,#N/A,FALSE,"매출";#N/A,#N/A,FALSE,"원가";#N/A,#N/A,FALSE,"경영"}</definedName>
    <definedName name="WH">#REF!</definedName>
    <definedName name="WH.1">#REF!</definedName>
    <definedName name="WH.2">#REF!</definedName>
    <definedName name="WH.3">#REF!</definedName>
    <definedName name="WHEAGE">#REF!</definedName>
    <definedName name="whtli">#REF!</definedName>
    <definedName name="WHW">#REF!</definedName>
    <definedName name="whwlr" hidden="1">{#N/A,#N/A,FALSE,"기안지";#N/A,#N/A,FALSE,"통신지"}</definedName>
    <definedName name="wid">#REF!</definedName>
    <definedName name="win.VESSE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g_l">#REF!</definedName>
    <definedName name="WING_T">#REF!</definedName>
    <definedName name="wir__d_2">#REF!</definedName>
    <definedName name="WIRE">#REF!</definedName>
    <definedName name="WIRE_1">#REF!</definedName>
    <definedName name="WIRE_3">#REF!</definedName>
    <definedName name="WIRUY">#REF!</definedName>
    <definedName name="wjd" hidden="1">#REF!</definedName>
    <definedName name="WJDEHDRHS" hidden="1">{#N/A,#N/A,FALSE,"CCTV"}</definedName>
    <definedName name="wjs" hidden="1">{#N/A,#N/A,FALSE,"CCTV"}</definedName>
    <definedName name="wjsr" hidden="1">#REF!</definedName>
    <definedName name="WJSWK" hidden="1">{#N/A,#N/A,FALSE,"운반시간"}</definedName>
    <definedName name="wk" hidden="1">#REF!</definedName>
    <definedName name="wkdidsps" hidden="1">{#N/A,#N/A,FALSE,"배수2"}</definedName>
    <definedName name="wkdry">{"Book1","수시.XLS"}</definedName>
    <definedName name="wkqcjf">#REF!</definedName>
    <definedName name="WKTLRL" hidden="1">{#N/A,#N/A,FALSE,"골재소요량";#N/A,#N/A,FALSE,"골재소요량"}</definedName>
    <definedName name="WL">#REF!</definedName>
    <definedName name="wla">#REF!</definedName>
    <definedName name="WLQ" hidden="1">{#N/A,#N/A,FALSE,"명세표"}</definedName>
    <definedName name="wlqrp" hidden="1">0</definedName>
    <definedName name="wls">#REF!,#REF!,#REF!,#REF!,#REF!,#REF!</definedName>
    <definedName name="WLT">#REF!</definedName>
    <definedName name="Wm">#REF!</definedName>
    <definedName name="wm.속도." hidden="1">{#N/A,#N/A,FALSE,"속도"}</definedName>
    <definedName name="wm.조골재1" hidden="1">{#N/A,#N/A,FALSE,"조골재"}</definedName>
    <definedName name="wm.조골재1_1" hidden="1">{#N/A,#N/A,FALSE,"조골재"}</definedName>
    <definedName name="wm.조골재1_2" hidden="1">{#N/A,#N/A,FALSE,"조골재"}</definedName>
    <definedName name="wm.조골재1_3" hidden="1">{#N/A,#N/A,FALSE,"조골재"}</definedName>
    <definedName name="wm.조골재1_4" hidden="1">{#N/A,#N/A,FALSE,"조골재"}</definedName>
    <definedName name="wn">#REF!</definedName>
    <definedName name="WNDDKD">#N/A</definedName>
    <definedName name="WNRDMFFO" hidden="1">{#N/A,#N/A,FALSE,"Sheet1"}</definedName>
    <definedName name="wocld" hidden="1">{#N/A,#N/A,FALSE,"토공2"}</definedName>
    <definedName name="woerkwe">#N/A</definedName>
    <definedName name="WOFYQL">#REF!</definedName>
    <definedName name="woijkljfd">#N/A</definedName>
    <definedName name="WOL">#REF!</definedName>
    <definedName name="WON">#REF!</definedName>
    <definedName name="woogi" hidden="1">#REF!</definedName>
    <definedName name="woogi2" hidden="1">#REF!</definedName>
    <definedName name="Work_Description">#REF!</definedName>
    <definedName name="workshop" hidden="1">{#N/A,#N/A,FALSE,"CCTV"}</definedName>
    <definedName name="WORST">#REF!</definedName>
    <definedName name="WP_1">#REF!</definedName>
    <definedName name="WP_2">#REF!</definedName>
    <definedName name="WP_3">#REF!</definedName>
    <definedName name="WP_4">#REF!</definedName>
    <definedName name="wq" hidden="1">{#N/A,#N/A,FALSE,"2~8번"}</definedName>
    <definedName name="wqd">#REF!</definedName>
    <definedName name="WQ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QERQEWREW">#REF!</definedName>
    <definedName name="wqewreefds" hidden="1">{#N/A,#N/A,FALSE,"Sheet1"}</definedName>
    <definedName name="wqfsdfdsdf">#REF!</definedName>
    <definedName name="WQR" hidden="1">{#N/A,#N/A,FALSE,"Sheet1"}</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 hidden="1">{#N/A,#N/A,FALSE,"CCTV"}</definedName>
    <definedName name="wraeawweraer" hidden="1">{#N/A,#N/A,FALSE,"단가표지"}</definedName>
    <definedName name="wraewerarawe" hidden="1">{#N/A,#N/A,FALSE,"단가표지"}</definedName>
    <definedName name="wrb.sda" hidden="1">{#N/A,#N/A,TRUE,"토적및재료집계";#N/A,#N/A,TRUE,"토적및재료집계";#N/A,#N/A,TRUE,"단위량"}</definedName>
    <definedName name="wrearawrweerw" hidden="1">{#N/A,#N/A,FALSE,"골재소요량";#N/A,#N/A,FALSE,"골재소요량"}</definedName>
    <definedName name="wreawrrwe" hidden="1">{#N/A,#N/A,FALSE,"단가표지"}</definedName>
    <definedName name="wregre">#REF!</definedName>
    <definedName name="wregwrntrgns" hidden="1">{#N/A,#N/A,FALSE,"Sheet1"}</definedName>
    <definedName name="wrert4t" hidden="1">{#N/A,#N/A,FALSE,"단가표지"}</definedName>
    <definedName name="wrethju">#REF!</definedName>
    <definedName name="wretvbfsf">#N/A</definedName>
    <definedName name="WREWR" hidden="1">#REF!</definedName>
    <definedName name="wrewrawera" hidden="1">{#N/A,#N/A,FALSE,"운반시간"}</definedName>
    <definedName name="WRF" hidden="1">{#N/A,#N/A,FALSE,"전력간선"}</definedName>
    <definedName name="wrfhyjye">#REF!</definedName>
    <definedName name="WRITE" hidden="1">{#N/A,#N/A,FALSE,"CCTV"}</definedName>
    <definedName name="WRITE_1" hidden="1">{#N/A,#N/A,FALSE,"CCTV"}</definedName>
    <definedName name="write1" hidden="1">{#N/A,#N/A,FALSE,"CCTV"}</definedName>
    <definedName name="write2" hidden="1">{#N/A,#N/A,FALSE,"CCTV"}</definedName>
    <definedName name="WRM" hidden="1">{#N/A,#N/A,FALSE,"전력간선"}</definedName>
    <definedName name="WRN" hidden="1">{#N/A,#N/A,FALSE,"기안지";#N/A,#N/A,FALSE,"통신지"}</definedName>
    <definedName name="WRN." hidden="1">{#N/A,#N/A,FALSE,"기안지";#N/A,#N/A,FALSE,"통신지"}</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11." hidden="1">{#N/A,#N/A,FALSE,"제목"}</definedName>
    <definedName name="WRN.123." hidden="1">{#N/A,#N/A,FALSE,"기안지";#N/A,#N/A,FALSE,"통신지"}</definedName>
    <definedName name="WRN.2번" hidden="1">{#N/A,#N/A,FALSE,"2~8번"}</definedName>
    <definedName name="wrn.2번." hidden="1">{#N/A,#N/A,FALSE,"2~8번"}</definedName>
    <definedName name="wrn.2번._1" hidden="1">{#N/A,#N/A,FALSE,"2~8번"}</definedName>
    <definedName name="wrn.2번._2" hidden="1">{#N/A,#N/A,FALSE,"2~8번"}</definedName>
    <definedName name="wrn.2번._3" hidden="1">{#N/A,#N/A,FALSE,"2~8번"}</definedName>
    <definedName name="wrn.2번._4" hidden="1">{#N/A,#N/A,FALSE,"2~8번"}</definedName>
    <definedName name="wrn.2번._5" hidden="1">{#N/A,#N/A,FALSE,"2~8번"}</definedName>
    <definedName name="wrn.34건물기초." hidden="1">{#N/A,#N/A,FALSE,"집계";#N/A,#N/A,FALSE,"표지";#N/A,#N/A,FALSE,"터빈집계";#N/A,#N/A,FALSE,"터빈내역";#N/A,#N/A,FALSE,"주제어집계";#N/A,#N/A,FALSE,"주제어내역";#N/A,#N/A,FALSE,"보일러집계";#N/A,#N/A,FALSE,"보일러내역"}</definedName>
    <definedName name="wrn.3번" hidden="1">{#N/A,#N/A,FALSE,"2~8번"}</definedName>
    <definedName name="wrn.3번." hidden="1">{#N/A,#N/A,FALSE,"2~8번"}</definedName>
    <definedName name="wrn.5월실적." hidden="1">{#N/A,#N/A,FALSE,"요약";#N/A,#N/A,FALSE,"보고목차";#N/A,#N/A,FALSE,"1)서비스접수";#N/A,#N/A,FALSE,"2)상담";#N/A,#N/A,FALSE,"2.월별접수추이현황";#N/A,#N/A,FALSE,"3.상담내용";#N/A,#N/A,FALSE,"4.미처리현황"}</definedName>
    <definedName name="wrn.6월실적." hidden="1">{#N/A,#N/A,FALSE,"보고목차";#N/A,#N/A,FALSE,"1)서비스접수";#N/A,#N/A,FALSE,"2)상담";#N/A,#N/A,FALSE,"2.월별접수추이현황"}</definedName>
    <definedName name="wrn.9601실적." hidden="1">{#N/A,#N/A,FALSE,"보고목차";#N/A,#N/A,FALSE,"1)서비스접수";#N/A,#N/A,FALSE,"2)상담";#N/A,#N/A,FALSE,"2.월별접수추이현황";#N/A,#N/A,FALSE,"3.일자별접수현황";#N/A,#N/A,FALSE,"4.상담내용";#N/A,#N/A,FALSE,"5.미처리현황";#N/A,#N/A,FALSE,"6.재발방지";#N/A,#N/A,FALSE,"7.당월주요문제점"}</definedName>
    <definedName name="wrn.97." hidden="1">{#N/A,#N/A,FALSE,"지침";#N/A,#N/A,FALSE,"환경분석";#N/A,#N/A,FALSE,"Sheet16"}</definedName>
    <definedName name="wrn.97._1" hidden="1">{#N/A,#N/A,FALSE,"지침";#N/A,#N/A,FALSE,"환경분석";#N/A,#N/A,FALSE,"Sheet16"}</definedName>
    <definedName name="wrn.97._2" hidden="1">{#N/A,#N/A,FALSE,"지침";#N/A,#N/A,FALSE,"환경분석";#N/A,#N/A,FALSE,"Sheet16"}</definedName>
    <definedName name="wrn.97._3" hidden="1">{#N/A,#N/A,FALSE,"지침";#N/A,#N/A,FALSE,"환경분석";#N/A,#N/A,FALSE,"Sheet16"}</definedName>
    <definedName name="wrn.97._4" hidden="1">{#N/A,#N/A,FALSE,"지침";#N/A,#N/A,FALSE,"환경분석";#N/A,#N/A,FALSE,"Sheet16"}</definedName>
    <definedName name="wrn.97._5" hidden="1">{#N/A,#N/A,FALSE,"지침";#N/A,#N/A,FALSE,"환경분석";#N/A,#N/A,FALSE,"Sheet16"}</definedName>
    <definedName name="wrn.97년._.사업계획._.및._.예산지침." hidden="1">{#N/A,#N/A,TRUE,"1";#N/A,#N/A,TRUE,"2";#N/A,#N/A,TRUE,"3";#N/A,#N/A,TRUE,"4";#N/A,#N/A,TRUE,"5";#N/A,#N/A,TRUE,"6";#N/A,#N/A,TRUE,"7"}</definedName>
    <definedName name="wrn.97년._.사업계획._.및._.예산지침._1" hidden="1">{#N/A,#N/A,TRUE,"1";#N/A,#N/A,TRUE,"2";#N/A,#N/A,TRUE,"3";#N/A,#N/A,TRUE,"4";#N/A,#N/A,TRUE,"5";#N/A,#N/A,TRUE,"6";#N/A,#N/A,TRUE,"7"}</definedName>
    <definedName name="WRN.98." hidden="1">{#N/A,#N/A,FALSE,"지침";#N/A,#N/A,FALSE,"환경분석";#N/A,#N/A,FALSE,"Sheet16"}</definedName>
    <definedName name="WRN.98._1" hidden="1">{#N/A,#N/A,FALSE,"지침";#N/A,#N/A,FALSE,"환경분석";#N/A,#N/A,FALSE,"Sheet16"}</definedName>
    <definedName name="WRN.98._2" hidden="1">{#N/A,#N/A,FALSE,"지침";#N/A,#N/A,FALSE,"환경분석";#N/A,#N/A,FALSE,"Sheet16"}</definedName>
    <definedName name="WRN.98._3" hidden="1">{#N/A,#N/A,FALSE,"지침";#N/A,#N/A,FALSE,"환경분석";#N/A,#N/A,FALSE,"Sheet16"}</definedName>
    <definedName name="WRN.98._4" hidden="1">{#N/A,#N/A,FALSE,"지침";#N/A,#N/A,FALSE,"환경분석";#N/A,#N/A,FALSE,"Sheet16"}</definedName>
    <definedName name="WRN.98._5" hidden="1">{#N/A,#N/A,FALSE,"지침";#N/A,#N/A,FALSE,"환경분석";#N/A,#N/A,FALSE,"Sheet16"}</definedName>
    <definedName name="wrn.각종보고서._.전체인쇄._.기본형."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 hidden="1">{#N/A,#N/A,FALSE,"일위대가목록";#N/A,#N/A,FALSE,"산출근거목록";#N/A,#N/A,FALSE,"노무비";#N/A,#N/A,FALSE,"재료비";#N/A,#N/A,FALSE,"경비";#N/A,#N/A,FALSE,"기타";#N/A,#N/A,FALSE,"중기목록"}</definedName>
    <definedName name="wrn.간극수압계._.DATA._.SHEET." hidden="1">{#N/A,#N/A,FALSE,"P1-2(1)";#N/A,#N/A,FALSE,"P1-2(2)";#N/A,#N/A,FALSE,"P1-2(3)";#N/A,#N/A,FALSE,"P1-3(1)";#N/A,#N/A,FALSE,"P1-3(2)";#N/A,#N/A,FALSE,"P1-3(3)";#N/A,#N/A,FALSE,"P1-4(1)";#N/A,#N/A,FALSE,"P1-4(2)";#N/A,#N/A,FALSE,"P1-4(3) ";#N/A,#N/A,FALSE,"P1-4-1(1)";#N/A,#N/A,FALSE,"P1-4-1(2)"}</definedName>
    <definedName name="wrn.간단한세무조정계산서." hidden="1">{#N/A,#N/A,TRUE,"일반적사항";#N/A,#N/A,TRUE,"주요재무자료"}</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건설기계사업소._.상반기보고._1" hidden="1">{#N/A,#N/A,FALSE,"사업총괄";#N/A,#N/A,FALSE,"장비사업";#N/A,#N/A,FALSE,"철구사업";#N/A,#N/A,FALSE,"준설사업"}</definedName>
    <definedName name="wrn.건설기계사업소._.상반기보고._2" hidden="1">{#N/A,#N/A,FALSE,"사업총괄";#N/A,#N/A,FALSE,"장비사업";#N/A,#N/A,FALSE,"철구사업";#N/A,#N/A,FALSE,"준설사업"}</definedName>
    <definedName name="wrn.건설기계사업소._.상반기보고._3" hidden="1">{#N/A,#N/A,FALSE,"사업총괄";#N/A,#N/A,FALSE,"장비사업";#N/A,#N/A,FALSE,"철구사업";#N/A,#N/A,FALSE,"준설사업"}</definedName>
    <definedName name="wrn.견적." hidden="1">{#N/A,#N/A,FALSE,"Sheet1";#N/A,#N/A,FALSE,"Sheet2";#N/A,#N/A,FALSE,"TAB96-1"}</definedName>
    <definedName name="wrn.경비인쇄." hidden="1">{#N/A,#N/A,FALSE,"경비"}</definedName>
    <definedName name="wrn.고철소정교." hidden="1">{#N/A,#N/A,TRUE,"단가산출서";#N/A,#N/A,TRUE,"수량산출서"}</definedName>
    <definedName name="wrn.고희석." hidden="1">{#N/A,#N/A,FALSE,"교리2"}</definedName>
    <definedName name="wrn.골재소요량." hidden="1">{#N/A,#N/A,FALSE,"골재소요량";#N/A,#N/A,FALSE,"골재소요량"}</definedName>
    <definedName name="wrn.골재소요량._1" hidden="1">{#N/A,#N/A,FALSE,"골재소요량";#N/A,#N/A,FALSE,"골재소요량"}</definedName>
    <definedName name="wrn.골재소요량._2" hidden="1">{#N/A,#N/A,FALSE,"골재소요량";#N/A,#N/A,FALSE,"골재소요량"}</definedName>
    <definedName name="wrn.골재소요량._3" hidden="1">{#N/A,#N/A,FALSE,"골재소요량";#N/A,#N/A,FALSE,"골재소요량"}</definedName>
    <definedName name="wrn.골재소요량._4" hidden="1">{#N/A,#N/A,FALSE,"골재소요량";#N/A,#N/A,FALSE,"골재소요량"}</definedName>
    <definedName name="wrn.골재소요량._5" hidden="1">{#N/A,#N/A,FALSE,"골재소요량";#N/A,#N/A,FALSE,"골재소요량"}</definedName>
    <definedName name="wrn.교각." hidden="1">{#N/A,#N/A,FALSE,"1";#N/A,#N/A,FALSE,"2";#N/A,#N/A,FALSE,"3";#N/A,#N/A,FALSE,"4";#N/A,#N/A,FALSE,"5";#N/A,#N/A,FALSE,"6";#N/A,#N/A,FALSE,"7"}</definedName>
    <definedName name="wrn.교대." hidden="1">{#N/A,#N/A,FALSE,"type1";#N/A,#N/A,FALSE,"지지력";#N/A,#N/A,FALSE,"PILE계산";#N/A,#N/A,FALSE,"PILE ";#N/A,#N/A,FALSE,"철근량";#N/A,#N/A,FALSE,"균열검토";#N/A,#N/A,FALSE,"날개벽";#N/A,#N/A,FALSE,"주철근조립도";#N/A,#N/A,FALSE,"교좌"}</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수량." hidden="1">{#N/A,#N/A,FALSE,"집계";#N/A,#N/A,FALSE,"철근";#N/A,#N/A,FALSE,"외봉육교(교대A1)";#N/A,#N/A,FALSE,"외봉육교(교대A2)"}</definedName>
    <definedName name="wrn.교육청." hidden="1">{#N/A,#N/A,FALSE,"전력간선"}</definedName>
    <definedName name="wrn.교육청._1" hidden="1">{#N/A,#N/A,FALSE,"전력간선"}</definedName>
    <definedName name="wrn.교육청._2" hidden="1">{#N/A,#N/A,FALSE,"전력간선"}</definedName>
    <definedName name="wrn.교육청._3" hidden="1">{#N/A,#N/A,FALSE,"전력간선"}</definedName>
    <definedName name="wrn.교육청._4" hidden="1">{#N/A,#N/A,FALSE,"전력간선"}</definedName>
    <definedName name="wrn.교육청._5" hidden="1">{#N/A,#N/A,FALSE,"전력간선"}</definedName>
    <definedName name="wrn.교육청.1" hidden="1">{#N/A,#N/A,FALSE,"전력간선"}</definedName>
    <definedName name="wrn.구리청소년수련원." hidden="1">{#N/A,#N/A,TRUE,"1. 부하계산";#N/A,#N/A,TRUE,"1-1.부하계산기준";#N/A,#N/A,TRUE,"1-2.부하계산방법";#N/A,#N/A,TRUE,"1-3.부하집계";#N/A,#N/A,TRUE,"공조기부하집계";#N/A,#N/A,TRUE,"FCU";#N/A,#N/A,TRUE,"방열기";#N/A,#N/A,TRUE,"장비선정";#N/A,#N/A,TRUE,"1-4.부하계산";#N/A,#N/A,TRUE,"1-4.부하계산 (2)";#N/A,#N/A,TRUE,"2.장비선정";#N/A,#N/A,TRUE,"2-1AHU";#N/A,#N/A,TRUE,"2-2보일러";#N/A,#N/A,TRUE,"2-3냉온수기";#N/A,#N/A,TRUE,"2-4냉각탑";#N/A,#N/A,TRUE,"2-5PAC";#N/A,#N/A,TRUE,"2-6열교환기";#N/A,#N/A,TRUE,"2-7탱크";#N/A,#N/A,TRUE,"2-8펌프";#N/A,#N/A,TRUE,"2-9팬";#N/A,#N/A,TRUE,"팬정압 (2)"}</definedName>
    <definedName name="wrn.구조2." hidden="1">{#N/A,#N/A,FALSE,"구조2"}</definedName>
    <definedName name="wrn.구조2._1" hidden="1">{#N/A,#N/A,FALSE,"구조2"}</definedName>
    <definedName name="wrn.구조2._2" hidden="1">{#N/A,#N/A,FALSE,"구조2"}</definedName>
    <definedName name="wrn.구조2._3" hidden="1">{#N/A,#N/A,FALSE,"구조2"}</definedName>
    <definedName name="wrn.구조2._4" hidden="1">{#N/A,#N/A,FALSE,"구조2"}</definedName>
    <definedName name="wrn.구조2._5" hidden="1">{#N/A,#N/A,FALSE,"구조2"}</definedName>
    <definedName name="wrn.구조3" hidden="1">{#N/A,#N/A,FALSE,"구조2"}</definedName>
    <definedName name="wrn.구조3." hidden="1">{#N/A,#N/A,FALSE,"구조2"}</definedName>
    <definedName name="wrn.금산상휴게소."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기초." hidden="1">{#N/A,#N/A,FALSE,"터빈집계";#N/A,#N/A,FALSE,"터빈내역";#N/A,#N/A,FALSE,"보일러집계";#N/A,#N/A,FALSE,"보일러내역"}</definedName>
    <definedName name="wrn.기타인쇄." hidden="1">{#N/A,#N/A,FALSE,"기타"}</definedName>
    <definedName name="wrn.남가좌동." hidden="1">{#N/A,#N/A,FALSE,"개략금액";#N/A,#N/A,FALSE,"공사개요 ";#N/A,#N/A,FALSE,"견적조건";#N/A,#N/A,FALSE,"산출근거";#N/A,#N/A,FALSE,"EL금액";#N/A,#N/A,FALSE,"무인경비"}</definedName>
    <definedName name="wrn.남원공설운동장." hidden="1">{#N/A,#N/A,TRUE,"1. 부하계산";#N/A,#N/A,TRUE,"1-1.부하계산기준";#N/A,#N/A,TRUE,"1-2.부하계산";#N/A,#N/A,TRUE,"2.장비선정";#N/A,#N/A,TRUE,"2-1보일러";#N/A,#N/A,TRUE,"2-2펌프";#N/A,#N/A,TRUE,"2-3탱크";#N/A,#N/A,TRUE,"2-4전기방열기";#N/A,#N/A,TRUE,"2-5전기온수기";#N/A,#N/A,TRUE,"2-6팬"}</definedName>
    <definedName name="wrn.노무비인쇄." hidden="1">{#N/A,#N/A,FALSE,"노무비"}</definedName>
    <definedName name="wrn.누계원가" hidden="1">{#N/A,#N/A,FALSE,"제조원가"}</definedName>
    <definedName name="wrn.누계원가." hidden="1">{#N/A,#N/A,FALSE,"제조원가"}</definedName>
    <definedName name="wrn.단가산출서."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wrn.단가표지." hidden="1">{#N/A,#N/A,FALSE,"단가표지"}</definedName>
    <definedName name="wrn.단가표지._1" hidden="1">{#N/A,#N/A,FALSE,"단가표지"}</definedName>
    <definedName name="wrn.단가표지._2" hidden="1">{#N/A,#N/A,FALSE,"단가표지"}</definedName>
    <definedName name="wrn.단가표지._3" hidden="1">{#N/A,#N/A,FALSE,"단가표지"}</definedName>
    <definedName name="wrn.단가표지._4" hidden="1">{#N/A,#N/A,FALSE,"단가표지"}</definedName>
    <definedName name="wrn.단가표지._5" hidden="1">{#N/A,#N/A,FALSE,"단가표지"}</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담배인삼공사._.실행품의._1" hidden="1">{#N/A,#N/A,FALSE,"품의서";#N/A,#N/A,FALSE,"견적실행대비분석표";#N/A,#N/A,FALSE,"공종별도급대비견적실행";#N/A,#N/A,FALSE,"외주공사 추정금액";#N/A,#N/A,FALSE,"공종별도급대비계약현황";#N/A,#N/A,FALSE,"공종별도급대비견적현황"}</definedName>
    <definedName name="wrn.당월원가." hidden="1">{#N/A,#N/A,FALSE,"제조원가"}</definedName>
    <definedName name="wrn.대외공문." hidden="1">{#N/A,#N/A,TRUE,"대외공문"}</definedName>
    <definedName name="wrn.대외공문._1" hidden="1">{#N/A,#N/A,TRUE,"대외공문"}</definedName>
    <definedName name="wrn.대외공문._2" hidden="1">{#N/A,#N/A,TRUE,"대외공문"}</definedName>
    <definedName name="wrn.대외공문._3" hidden="1">{#N/A,#N/A,TRUE,"대외공문"}</definedName>
    <definedName name="wrn.대한생명보험._.강남사옥._.신축공사." hidden="1">{#N/A,#N/A,TRUE,"공조기";#N/A,#N/A,TRUE,"FCU";#N/A,#N/A,TRUE,"1-20";#N/A,#N/A,TRUE,"21-40";#N/A,#N/A,TRUE,"41-60";#N/A,#N/A,TRUE,"61-80";#N/A,#N/A,TRUE,"화장실부하집계";#N/A,#N/A,TRUE,"화장실"}</definedName>
    <definedName name="wrn.리스현황." hidden="1">{#N/A,#N/A,FALSE,"집계표"}</definedName>
    <definedName name="wrn.ㅁㅁㅁ." hidden="1">{#N/A,#N/A,FALSE,"월공사비집계표양식 (7)";#N/A,#N/A,FALSE,"월공사비집계표양식 (7)"}</definedName>
    <definedName name="wrn.목동재건축아파트." hidden="1">{#N/A,#N/A,TRUE,"1. 부하계산";#N/A,#N/A,TRUE,"1-1.부하계산기준";#N/A,#N/A,TRUE,"1-3.부하집계";#N/A,#N/A,TRUE,"1-4.부하계산(24평)";#N/A,#N/A,TRUE,"1-4.부하계산(33평)";#N/A,#N/A,TRUE,"1-4.부하계산 (40평)";#N/A,#N/A,TRUE,"1-4.부하계산 (부속)";#N/A,#N/A,TRUE,"2.장비선정";#N/A,#N/A,TRUE,"2-1보일러";#N/A,#N/A,TRUE,"2-4팬";#N/A,#N/A,TRUE,"팬(2)"}</definedName>
    <definedName name="WRN.미." hidden="1">{#N/A,#N/A,FALSE,"기안지";#N/A,#N/A,FALSE,"통신지"}</definedName>
    <definedName name="wrn.바보" hidden="1">{#N/A,#N/A,FALSE,"구조2"}</definedName>
    <definedName name="wrn.배수1." hidden="1">{#N/A,#N/A,FALSE,"배수1"}</definedName>
    <definedName name="wrn.배수1._1" hidden="1">{#N/A,#N/A,FALSE,"배수1"}</definedName>
    <definedName name="wrn.배수1._2" hidden="1">{#N/A,#N/A,FALSE,"배수1"}</definedName>
    <definedName name="wrn.배수1._3" hidden="1">{#N/A,#N/A,FALSE,"배수1"}</definedName>
    <definedName name="wrn.배수1._4" hidden="1">{#N/A,#N/A,FALSE,"배수1"}</definedName>
    <definedName name="wrn.배수1._5" hidden="1">{#N/A,#N/A,FALSE,"배수1"}</definedName>
    <definedName name="wrn.배수2." hidden="1">{#N/A,#N/A,FALSE,"배수2"}</definedName>
    <definedName name="wrn.배수2._1" hidden="1">{#N/A,#N/A,FALSE,"배수2"}</definedName>
    <definedName name="wrn.배수2._2" hidden="1">{#N/A,#N/A,FALSE,"배수2"}</definedName>
    <definedName name="wrn.배수2._3" hidden="1">{#N/A,#N/A,FALSE,"배수2"}</definedName>
    <definedName name="wrn.배수2._4" hidden="1">{#N/A,#N/A,FALSE,"배수2"}</definedName>
    <definedName name="wrn.배수2._5" hidden="1">{#N/A,#N/A,FALSE,"배수2"}</definedName>
    <definedName name="wrn.변경예산." hidden="1">{#N/A,#N/A,FALSE,"변경관리예산";#N/A,#N/A,FALSE,"변경장비예산";#N/A,#N/A,FALSE,"변경준설예산";#N/A,#N/A,FALSE,"변경철구예산"}</definedName>
    <definedName name="wrn.변경예산._1" hidden="1">{#N/A,#N/A,FALSE,"변경관리예산";#N/A,#N/A,FALSE,"변경장비예산";#N/A,#N/A,FALSE,"변경준설예산";#N/A,#N/A,FALSE,"변경철구예산"}</definedName>
    <definedName name="wrn.변경예산._2" hidden="1">{#N/A,#N/A,FALSE,"변경관리예산";#N/A,#N/A,FALSE,"변경장비예산";#N/A,#N/A,FALSE,"변경준설예산";#N/A,#N/A,FALSE,"변경철구예산"}</definedName>
    <definedName name="wrn.변경예산._3" hidden="1">{#N/A,#N/A,FALSE,"변경관리예산";#N/A,#N/A,FALSE,"변경장비예산";#N/A,#N/A,FALSE,"변경준설예산";#N/A,#N/A,FALSE,"변경철구예산"}</definedName>
    <definedName name="wrn.보일러마감." hidden="1">{#N/A,#N/A,FALSE,"물가변동 (2)";#N/A,#N/A,FALSE,"공사비";#N/A,#N/A,FALSE,"사급";#N/A,#N/A,FALSE,"도급집계";#N/A,#N/A,FALSE,"재료비";#N/A,#N/A,FALSE,"노무비";#N/A,#N/A,FALSE,"경비"}</definedName>
    <definedName name="wrn.보호계전기." hidden="1">{#N/A,#N/A,FALSE,"ENG'G(보호계전기)"}</definedName>
    <definedName name="wrn.부대1." hidden="1">{#N/A,#N/A,FALSE,"부대1"}</definedName>
    <definedName name="wrn.부대1._1" hidden="1">{#N/A,#N/A,FALSE,"부대1"}</definedName>
    <definedName name="wrn.부대1._2" hidden="1">{#N/A,#N/A,FALSE,"부대1"}</definedName>
    <definedName name="wrn.부대1._3" hidden="1">{#N/A,#N/A,FALSE,"부대1"}</definedName>
    <definedName name="wrn.부대1._4" hidden="1">{#N/A,#N/A,FALSE,"부대1"}</definedName>
    <definedName name="wrn.부대1._5" hidden="1">{#N/A,#N/A,FALSE,"부대1"}</definedName>
    <definedName name="wrn.부대2." hidden="1">{#N/A,#N/A,FALSE,"부대2"}</definedName>
    <definedName name="wrn.부대2._1" hidden="1">{#N/A,#N/A,FALSE,"부대2"}</definedName>
    <definedName name="wrn.부대2._2" hidden="1">{#N/A,#N/A,FALSE,"부대2"}</definedName>
    <definedName name="wrn.부대2._3" hidden="1">{#N/A,#N/A,FALSE,"부대2"}</definedName>
    <definedName name="wrn.부대2._4" hidden="1">{#N/A,#N/A,FALSE,"부대2"}</definedName>
    <definedName name="wrn.부대2._5"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_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_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_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서회의." hidden="1">{"LKD",#N/A,FALSE,"표지"}</definedName>
    <definedName name="wrn.부하계산서." hidden="1">{#N/A,#N/A,TRUE,"1.부하계산기준";#N/A,#N/A,TRUE,"2.부하계산방법"}</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_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_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_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진대지." hidden="1">{#N/A,#N/A,FALSE,"사진대지 (2)"}</definedName>
    <definedName name="wrn.산출근거목록인쇄." hidden="1">{#N/A,#N/A,FALSE,"산출근거목록"}</definedName>
    <definedName name="wrn.산출근거인쇄." hidden="1">{#N/A,#N/A,FALSE,"산출근거"}</definedName>
    <definedName name="wrn.산출근거인쇄._.토개공변환." hidden="1">{#N/A,#N/A,FALSE,"산출근거변환"}</definedName>
    <definedName name="wrn.서울제일성결교회." hidden="1">{#N/A,#N/A,TRUE,"1. 부하계산";#N/A,#N/A,TRUE,"1-1.부하계산기준";#N/A,#N/A,TRUE,"1-2.부하계산방법";#N/A,#N/A,TRUE,"1-3.부하집계";#N/A,#N/A,TRUE,"1-4.부하계산"}</definedName>
    <definedName name="wrn.설계내역서." hidden="1">{#N/A,#N/A,FALSE,"설계내억서"}</definedName>
    <definedName name="wrn.설계내역서인쇄." hidden="1">{#N/A,#N/A,FALSE,"설계내역서"}</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hidden="1">{#N/A,#N/A,FALSE,"속도"}</definedName>
    <definedName name="wrn.속도._1" hidden="1">{#N/A,#N/A,FALSE,"속도"}</definedName>
    <definedName name="wrn.속도._2" hidden="1">{#N/A,#N/A,FALSE,"속도"}</definedName>
    <definedName name="wrn.속도._3" hidden="1">{#N/A,#N/A,FALSE,"속도"}</definedName>
    <definedName name="wrn.속도._4" hidden="1">{#N/A,#N/A,FALSE,"속도"}</definedName>
    <definedName name="wrn.속도._5" hidden="1">{#N/A,#N/A,FALSE,"속도"}</definedName>
    <definedName name="WRN.속도.2" hidden="1">{#N/A,#N/A,FALSE,"속도"}</definedName>
    <definedName name="wrn.손익._.보고." hidden="1">{#N/A,#N/A,TRUE,"손익보고"}</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3"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수." hidden="1">{#N/A,"수불부",FALSE,"사급자재수불서";#N/A,"수불부",FALSE,"사급자재수불서"}</definedName>
    <definedName name="wrn.시행결의." hidden="1">{#N/A,#N/A,FALSE,"도급대비시행율";#N/A,#N/A,FALSE,"결의서";#N/A,#N/A,FALSE,"내역서";#N/A,#N/A,FALSE,"도급예상"}</definedName>
    <definedName name="wrn.신규dep._.full._.set." hidden="1">{#N/A,#N/A,FALSE,"신규dep";#N/A,#N/A,FALSE,"신규dep-금형상각후";#N/A,#N/A,FALSE,"신규dep-연구비상각후";#N/A,#N/A,FALSE,"신규dep-기계,공구상각후"}</definedName>
    <definedName name="wrn.신용찬." hidden="1">{#N/A,#N/A,TRUE,"토적및재료집계";#N/A,#N/A,TRUE,"토적및재료집계";#N/A,#N/A,TRUE,"단위량"}</definedName>
    <definedName name="wrn.실행예산."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실행품의." hidden="1">{#N/A,#N/A,FALSE,"갑지";#N/A,#N/A,FALSE,"개요";#N/A,#N/A,FALSE,"비목별";#N/A,#N/A,FALSE,"건물별";#N/A,#N/A,FALSE,"기구표";#N/A,#N/A,FALSE,"직원투입"}</definedName>
    <definedName name="wrn.실행품의._1" hidden="1">{#N/A,#N/A,FALSE,"갑지";#N/A,#N/A,FALSE,"개요";#N/A,#N/A,FALSE,"비목별";#N/A,#N/A,FALSE,"건물별";#N/A,#N/A,FALSE,"기구표";#N/A,#N/A,FALSE,"직원투입"}</definedName>
    <definedName name="wrn.아현동출력." hidden="1">{#N/A,#N/A,FALSE,"견적조건";#N/A,#N/A,FALSE,"산출근거"}</definedName>
    <definedName name="wrn.안동옥동." hidden="1">{#N/A,#N/A,FALSE,"공사금액출력";#N/A,#N/A,FALSE,"외주비분류"}</definedName>
    <definedName name="wrn.어음대장." hidden="1">{#N/A,#N/A,FALSE,"진행중"}</definedName>
    <definedName name="wrn.업체별._.견적공사명." hidden="1">{"SJ - 기본 보기",#N/A,FALSE,"공사별 외주견적"}</definedName>
    <definedName name="wrn.여암교._.가설공사._.추정금액._.산정." hidden="1">{#N/A,#N/A,TRUE,"설계내역서";#N/A,#N/A,TRUE,"설계집계"}</definedName>
    <definedName name="wrn.연동제." hidden="1">{#N/A,#N/A,TRUE,"총괄"}</definedName>
    <definedName name="wrn.예상손익." hidden="1">{#N/A,#N/A,FALSE,"예상손익";#N/A,#N/A,FALSE,"관리분석";#N/A,#N/A,FALSE,"장비분석";#N/A,#N/A,FALSE,"준설분석";#N/A,#N/A,FALSE,"철구분석"}</definedName>
    <definedName name="wrn.예상손익._1" hidden="1">{#N/A,#N/A,FALSE,"예상손익";#N/A,#N/A,FALSE,"관리분석";#N/A,#N/A,FALSE,"장비분석";#N/A,#N/A,FALSE,"준설분석";#N/A,#N/A,FALSE,"철구분석"}</definedName>
    <definedName name="wrn.예상손익._2" hidden="1">{#N/A,#N/A,FALSE,"예상손익";#N/A,#N/A,FALSE,"관리분석";#N/A,#N/A,FALSE,"장비분석";#N/A,#N/A,FALSE,"준설분석";#N/A,#N/A,FALSE,"철구분석"}</definedName>
    <definedName name="wrn.예상손익._3" hidden="1">{#N/A,#N/A,FALSE,"예상손익";#N/A,#N/A,FALSE,"관리분석";#N/A,#N/A,FALSE,"장비분석";#N/A,#N/A,FALSE,"준설분석";#N/A,#N/A,FALSE,"철구분석"}</definedName>
    <definedName name="wrn.외주기성." hidden="1">{#N/A,#N/A,FALSE,"신청통보";#N/A,#N/A,FALSE,"기성확인서";#N/A,#N/A,FALSE,"기성내역서"}</definedName>
    <definedName name="wrn.외주기성1." hidden="1">{#N/A,#N/A,FALSE,"신청통보";#N/A,#N/A,FALSE,"기성확인서";#N/A,#N/A,FALSE,"기성내역서"}</definedName>
    <definedName name="wrn.운반시간." hidden="1">{#N/A,#N/A,FALSE,"운반시간"}</definedName>
    <definedName name="wrn.운반시간._1" hidden="1">{#N/A,#N/A,FALSE,"운반시간"}</definedName>
    <definedName name="wrn.운반시간._2" hidden="1">{#N/A,#N/A,FALSE,"운반시간"}</definedName>
    <definedName name="wrn.운반시간._3" hidden="1">{#N/A,#N/A,FALSE,"운반시간"}</definedName>
    <definedName name="wrn.운반시간._4" hidden="1">{#N/A,#N/A,FALSE,"운반시간"}</definedName>
    <definedName name="wrn.운반시간._5" hidden="1">{#N/A,#N/A,FALSE,"운반시간"}</definedName>
    <definedName name="wrn.원가계산서인쇄." hidden="1">{#N/A,#N/A,FALSE,"원가계산서"}</definedName>
    <definedName name="wrn.월보." hidden="1">{#N/A,#N/A,FALSE,"표지";#N/A,#N/A,FALSE,"생산현황";#N/A,#N/A,FALSE,"중량수율";#N/A,#N/A,FALSE,"길이수율";#N/A,#N/A,FALSE,"노동";#N/A,#N/A,FALSE,"기기";#N/A,#N/A,FALSE,"기기가동(누계)";#N/A,#N/A,FALSE,"자소원료"}</definedName>
    <definedName name="wrn.은행1동"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wrn.이인주." hidden="1">{#N/A,#N/A,FALSE,"물량산출"}</definedName>
    <definedName name="wrn.이정표." hidden="1">{#N/A,#N/A,FALSE,"이정표"}</definedName>
    <definedName name="wrn.이정표._1" hidden="1">{#N/A,#N/A,FALSE,"이정표"}</definedName>
    <definedName name="wrn.이정표._2" hidden="1">{#N/A,#N/A,FALSE,"이정표"}</definedName>
    <definedName name="wrn.이정표._3" hidden="1">{#N/A,#N/A,FALSE,"이정표"}</definedName>
    <definedName name="wrn.이정표._4" hidden="1">{#N/A,#N/A,FALSE,"이정표"}</definedName>
    <definedName name="wrn.이정표._5" hidden="1">{#N/A,#N/A,FALSE,"이정표"}</definedName>
    <definedName name="wrn.이정표1." hidden="1">{#N/A,#N/A,FALSE,"이정표"}</definedName>
    <definedName name="wrn.이태원._.철근." hidden="1">{#N/A,#N/A,FALSE,"이태원철근"}</definedName>
    <definedName name="wrn.이태원._.철근._1" hidden="1">{#N/A,#N/A,FALSE,"이태원철근"}</definedName>
    <definedName name="wrn.이태원._.철근._2" hidden="1">{#N/A,#N/A,FALSE,"이태원철근"}</definedName>
    <definedName name="wrn.이태원._.철근._3" hidden="1">{#N/A,#N/A,FALSE,"이태원철근"}</definedName>
    <definedName name="wrn.이태원._.철근._4" hidden="1">{#N/A,#N/A,FALSE,"이태원철근"}</definedName>
    <definedName name="wrn.일산대교." hidden="1">{#N/A,#N/A,TRUE,"부하계산서표지";#N/A,#N/A,TRUE,"1. 부하계산";#N/A,#N/A,TRUE,"1-1.부하계산기준";#N/A,#N/A,TRUE,"1-2.부하계산";#N/A,#N/A,TRUE,"1-3부하집계"}</definedName>
    <definedName name="wrn.일위대가." hidden="1">{#N/A,#N/A,TRUE,"대가1"}</definedName>
    <definedName name="wrn.일위대가목록인쇄." hidden="1">{#N/A,#N/A,FALSE,"일위대가목록"}</definedName>
    <definedName name="wrn.일위대가인쇄." hidden="1">{#N/A,#N/A,FALSE,"일위대가"}</definedName>
    <definedName name="wrn.일위대가인쇄._.수자원변환." hidden="1">{#N/A,#N/A,FALSE,"일위대가변환"}</definedName>
    <definedName name="WRN.자이." hidden="1">{#N/A,#N/A,FALSE,"기안지";#N/A,#N/A,FALSE,"통신지"}</definedName>
    <definedName name="WRN.자자자." hidden="1">{#N/A,#N/A,FALSE,"기안지";#N/A,#N/A,FALSE,"통신지"}</definedName>
    <definedName name="wrn.재료비인쇄." hidden="1">{#N/A,#N/A,FALSE,"재료비"}</definedName>
    <definedName name="wrn.전라남도._.나주시._.신일아파트._.수지분석." hidden="1">{#N/A,#N/A,FALSE,"수지분석";#N/A,#N/A,FALSE,"수지분석"}</definedName>
    <definedName name="wrn.전부인쇄." hidden="1">{#N/A,#N/A,FALSE,"단축1";#N/A,#N/A,FALSE,"단축2";#N/A,#N/A,FALSE,"단축3";#N/A,#N/A,FALSE,"장축";#N/A,#N/A,FALSE,"4WD"}</definedName>
    <definedName name="wrn.전열선출서." hidden="1">{#N/A,#N/A,FALSE,"전열산출서"}</definedName>
    <definedName name="wrn.전체인쇄." hidden="1">{#N/A,#N/A,FALSE,"생산성";#N/A,#N/A,FALSE,"인력1";#N/A,#N/A,FALSE,"인력2";#N/A,#N/A,FALSE,"인력3";#N/A,#N/A,FALSE,"인건1";#N/A,#N/A,FALSE,"인건2";#N/A,#N/A,FALSE,"인건3";#N/A,#N/A,FALSE,"인원증감";#N/A,#N/A,FALSE,"인건증감";#N/A,#N/A,FALSE,"표지등"}</definedName>
    <definedName name="wrn.전체인쇄2." hidden="1">{#N/A,#N/A,FALSE,"생산성";#N/A,#N/A,FALSE,"인력1";#N/A,#N/A,FALSE,"인력2";#N/A,#N/A,FALSE,"인력3";#N/A,#N/A,FALSE,"인건1";#N/A,#N/A,FALSE,"인건2";#N/A,#N/A,FALSE,"인건3";#N/A,#N/A,FALSE,"인원증감";#N/A,#N/A,FALSE,"인건증감";#N/A,#N/A,FALSE,"표지등"}</definedName>
    <definedName name="wrn.조골재." hidden="1">{#N/A,#N/A,FALSE,"조골재"}</definedName>
    <definedName name="wrn.조골재._1" hidden="1">{#N/A,#N/A,FALSE,"조골재"}</definedName>
    <definedName name="wrn.조골재._2" hidden="1">{#N/A,#N/A,FALSE,"조골재"}</definedName>
    <definedName name="wrn.조골재._3" hidden="1">{#N/A,#N/A,FALSE,"조골재"}</definedName>
    <definedName name="wrn.조골재._4" hidden="1">{#N/A,#N/A,FALSE,"조골재"}</definedName>
    <definedName name="wrn.조골재._5" hidden="1">{#N/A,#N/A,FALSE,"조골재"}</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중공업군포견적서." hidden="1">{#N/A,#N/A,FALSE,"견적갑지";#N/A,#N/A,FALSE,"총괄표";#N/A,#N/A,FALSE,"철골공사";#N/A,#N/A,FALSE,"토목공사";#N/A,#N/A,FALSE,"판넬전기공사"}</definedName>
    <definedName name="wrn.중기목록인쇄." hidden="1">{#N/A,#N/A,FALSE,"중기목록"}</definedName>
    <definedName name="wrn.중기산출기초인쇄." hidden="1">{#N/A,#N/A,FALSE,"중기산출기초"}</definedName>
    <definedName name="wrn.중기인쇄." hidden="1">{#N/A,#N/A,FALSE,"중기"}</definedName>
    <definedName name="wrn.중기인쇄._.일반형변환." hidden="1">{#N/A,#N/A,FALSE,"중기변환"}</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hidden="1">{#N/A,#N/A,FALSE,"품의서";#N/A,#N/A,FALSE,"견적실행대비분석표";#N/A,#N/A,FALSE,"공종별도급대비견적실행";#N/A,#N/A,FALSE,"외주공사 추정금액";#N/A,#N/A,FALSE,"공종별도급대비계약현황"}</definedName>
    <definedName name="wrn.진각빌딩._1" hidden="1">{#N/A,#N/A,FALSE,"품의서";#N/A,#N/A,FALSE,"견적실행대비분석표";#N/A,#N/A,FALSE,"공종별도급대비견적실행";#N/A,#N/A,FALSE,"외주공사 추정금액";#N/A,#N/A,FALSE,"공종별도급대비계약현황"}</definedName>
    <definedName name="wrn.진도율._.산정기준." hidden="1">{#N/A,#N/A,TRUE,"진도율산정기준";#N/A,#N/A,TRUE,"S_CUR";#N/A,#N/A,TRUE,"사업공통"}</definedName>
    <definedName name="wrn.집기비품보고서._.품목별._.및._.현장별._.집계표." hidden="1">{#N/A,#N/A,FALSE,"Sheet6"}</definedName>
    <definedName name="wrn.철골집계표._.5칸." hidden="1">{#N/A,#N/A,FALSE,"Sheet1"}</definedName>
    <definedName name="wrn.철골집계표._.5칸._1" hidden="1">{#N/A,#N/A,FALSE,"Sheet1"}</definedName>
    <definedName name="wrn.철골집계표._.5칸._2" hidden="1">{#N/A,#N/A,FALSE,"Sheet1"}</definedName>
    <definedName name="wrn.출력._.요약." hidden="1">{#N/A,#N/A,TRUE,"개략금액";#N/A,#N/A,TRUE,"공사개요 ";#N/A,#N/A,TRUE,"견적조건";#N/A,#N/A,TRUE,"산출근거";#N/A,#N/A,TRUE,"승강기출력";#N/A,#N/A,TRUE,"무인경비"}</definedName>
    <definedName name="wrn.치." hidden="1">{#N/A,#N/A,FALSE,"#7-7";#N/A,#N/A,FALSE,"#8-1"}</definedName>
    <definedName name="wrn.토공1." hidden="1">{#N/A,#N/A,FALSE,"구조1"}</definedName>
    <definedName name="wrn.토공1._1" hidden="1">{#N/A,#N/A,FALSE,"구조1"}</definedName>
    <definedName name="wrn.토공1._2" hidden="1">{#N/A,#N/A,FALSE,"구조1"}</definedName>
    <definedName name="wrn.토공1._3" hidden="1">{#N/A,#N/A,FALSE,"구조1"}</definedName>
    <definedName name="wrn.토공1._4" hidden="1">{#N/A,#N/A,FALSE,"구조1"}</definedName>
    <definedName name="wrn.토공1._5" hidden="1">{#N/A,#N/A,FALSE,"구조1"}</definedName>
    <definedName name="wrn.토공2." hidden="1">{#N/A,#N/A,FALSE,"토공2"}</definedName>
    <definedName name="wrn.토공2._1" hidden="1">{#N/A,#N/A,FALSE,"토공2"}</definedName>
    <definedName name="wrn.토공2._2" hidden="1">{#N/A,#N/A,FALSE,"토공2"}</definedName>
    <definedName name="wrn.토공2._3" hidden="1">{#N/A,#N/A,FALSE,"토공2"}</definedName>
    <definedName name="wrn.토공2._4" hidden="1">{#N/A,#N/A,FALSE,"토공2"}</definedName>
    <definedName name="wrn.토공2._5" hidden="1">{#N/A,#N/A,FALSE,"토공2"}</definedName>
    <definedName name="wrn.통신지." hidden="1">{#N/A,#N/A,FALSE,"기안지";#N/A,#N/A,FALSE,"통신지"}</definedName>
    <definedName name="wrn.통신지._1" hidden="1">{#N/A,#N/A,FALSE,"기안지";#N/A,#N/A,FALSE,"통신지"}</definedName>
    <definedName name="wrn.통신지._2" hidden="1">{#N/A,#N/A,FALSE,"기안지";#N/A,#N/A,FALSE,"통신지"}</definedName>
    <definedName name="wrn.통신지._3" hidden="1">{#N/A,#N/A,FALSE,"기안지";#N/A,#N/A,FALSE,"통신지"}</definedName>
    <definedName name="wrn.특실출력." hidden="1">{#N/A,#N/A,FALSE,"원가";#N/A,#N/A,FALSE,"집계표";#N/A,#N/A,FALSE,"특실내역";#N/A,#N/A,FALSE,"일반 "}</definedName>
    <definedName name="wrn.포장1." hidden="1">{#N/A,#N/A,FALSE,"포장1";#N/A,#N/A,FALSE,"포장1"}</definedName>
    <definedName name="wrn.포장1._1" hidden="1">{#N/A,#N/A,FALSE,"포장1";#N/A,#N/A,FALSE,"포장1"}</definedName>
    <definedName name="wrn.포장1._2" hidden="1">{#N/A,#N/A,FALSE,"포장1";#N/A,#N/A,FALSE,"포장1"}</definedName>
    <definedName name="wrn.포장1._3" hidden="1">{#N/A,#N/A,FALSE,"포장1";#N/A,#N/A,FALSE,"포장1"}</definedName>
    <definedName name="wrn.포장1._4" hidden="1">{#N/A,#N/A,FALSE,"포장1";#N/A,#N/A,FALSE,"포장1"}</definedName>
    <definedName name="wrn.포장1._5" hidden="1">{#N/A,#N/A,FALSE,"포장1";#N/A,#N/A,FALSE,"포장1"}</definedName>
    <definedName name="wrn.포장2." hidden="1">{#N/A,#N/A,FALSE,"포장2"}</definedName>
    <definedName name="wrn.포장2._1" hidden="1">{#N/A,#N/A,FALSE,"포장2"}</definedName>
    <definedName name="wrn.포장2._2" hidden="1">{#N/A,#N/A,FALSE,"포장2"}</definedName>
    <definedName name="wrn.포장2._3" hidden="1">{#N/A,#N/A,FALSE,"포장2"}</definedName>
    <definedName name="wrn.포장2._4" hidden="1">{#N/A,#N/A,FALSE,"포장2"}</definedName>
    <definedName name="wrn.포장2._5" hidden="1">{#N/A,#N/A,FALSE,"포장2"}</definedName>
    <definedName name="wrn.포장단가." hidden="1">{#N/A,#N/A,FALSE,"포장단가"}</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hidden="1">{#N/A,#N/A,FALSE,"표지"}</definedName>
    <definedName name="wrn.표지._1" hidden="1">{#N/A,#N/A,FALSE,"표지"}</definedName>
    <definedName name="wrn.표지목차." hidden="1">{#N/A,#N/A,FALSE,"표지목차"}</definedName>
    <definedName name="wrn.표지목차._1" hidden="1">{#N/A,#N/A,FALSE,"표지목차"}</definedName>
    <definedName name="wrn.표지목차._2" hidden="1">{#N/A,#N/A,FALSE,"표지목차"}</definedName>
    <definedName name="wrn.표지목차._3" hidden="1">{#N/A,#N/A,FALSE,"표지목차"}</definedName>
    <definedName name="wrn.표지목차._4" hidden="1">{#N/A,#N/A,FALSE,"표지목차"}</definedName>
    <definedName name="wrn.표지목차._5" hidden="1">{#N/A,#N/A,FALSE,"표지목차"}</definedName>
    <definedName name="wrn.표지목차1." hidden="1">{#N/A,#N/A,FALSE,"표지목차"}</definedName>
    <definedName name="wrn.현장._.IDEA._.공모." hidden="1">{#N/A,#N/A,FALSE,"현장IDEA공모"}</definedName>
    <definedName name="wrn.현장._.NCR._.분석." hidden="1">{#N/A,#N/A,FALSE,"현장 NCR 분석";#N/A,#N/A,FALSE,"현장품질감사";#N/A,#N/A,FALSE,"현장품질감사"}</definedName>
    <definedName name="wrn.현장._.NCR._.분석._1" hidden="1">{#N/A,#N/A,FALSE,"현장 NCR 분석";#N/A,#N/A,FALSE,"현장품질감사";#N/A,#N/A,FALSE,"현장품질감사"}</definedName>
    <definedName name="wrn.현장._.NCR._.분석._2" hidden="1">{#N/A,#N/A,FALSE,"현장 NCR 분석";#N/A,#N/A,FALSE,"현장품질감사";#N/A,#N/A,FALSE,"현장품질감사"}</definedName>
    <definedName name="wrn.현장._.NCR._.분석._3" hidden="1">{#N/A,#N/A,FALSE,"현장 NCR 분석";#N/A,#N/A,FALSE,"현장품질감사";#N/A,#N/A,FALSE,"현장품질감사"}</definedName>
    <definedName name="wrn.혼합골재." hidden="1">{#N/A,#N/A,FALSE,"혼합골재"}</definedName>
    <definedName name="wrn.혼합골재._1" hidden="1">{#N/A,#N/A,FALSE,"혼합골재"}</definedName>
    <definedName name="wrn.혼합골재._2" hidden="1">{#N/A,#N/A,FALSE,"혼합골재"}</definedName>
    <definedName name="wrn.혼합골재._3" hidden="1">{#N/A,#N/A,FALSE,"혼합골재"}</definedName>
    <definedName name="wrn.혼합골재._4" hidden="1">{#N/A,#N/A,FALSE,"혼합골재"}</definedName>
    <definedName name="wrn.혼합골재._5" hidden="1">{#N/A,#N/A,FALSE,"혼합골재"}</definedName>
    <definedName name="wrn.화장실." hidden="1">{#N/A,#N/A,FALSE,"화장실부하집계";#N/A,#N/A,FALSE,"화장실"}</definedName>
    <definedName name="wrn.황금동." hidden="1">{#N/A,#N/A,FALSE,"단면 제원"}</definedName>
    <definedName name="wrn.aa." hidden="1">{#N/A,#N/A,FALSE,"UNIT";#N/A,#N/A,FALSE,"UNIT";#N/A,#N/A,FALSE,"계정"}</definedName>
    <definedName name="wrn.AAA." hidden="1">{#N/A,#N/A,FALSE,"집계표"}</definedName>
    <definedName name="wrn.abc." hidden="1">{#N/A,#N/A,TRUE,"천상그린44PY"}</definedName>
    <definedName name="wrn.Abut_only." hidden="1">{#N/A,#N/A,FALSE,"Abutments ONLY"}</definedName>
    <definedName name="wrn.Abut_pier." hidden="1">{#N/A,#N/A,FALSE,"Abutments &amp; Pier(s)"}</definedName>
    <definedName name="wrn.ac30prn." hidden="1">{#N/A,#N/A,FALSE,"별표20 ";#N/A,#N/A,FALSE,"부표";#N/A,#N/A,FALSE,"품셈내역";#N/A,#N/A,FALSE,"품셈집계";#N/A,#N/A,FALSE,"내역서";#N/A,#N/A,FALSE,"집계표";#N/A,#N/A,FALSE,"표지";#N/A,#N/A,FALSE,"별표총괄표"}</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SFD" hidden="1">{#N/A,#N/A,FALSE,"기안지";#N/A,#N/A,FALSE,"통신지"}</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M." hidden="1">{#N/A,#N/A,FALSE,"CCTV"}</definedName>
    <definedName name="wrn.BM._1" hidden="1">{#N/A,#N/A,FALSE,"CCTV"}</definedName>
    <definedName name="wrn.CAPA." hidden="1">{#N/A,#N/A,FALSE,"상재GS";#N/A,#N/A,FALSE,"상재GM";#N/A,#N/A,FALSE,"건재";#N/A,#N/A,FALSE,"SBR";#N/A,#N/A,FALSE,"부품";#N/A,#N/A,FALSE,"기능자재";#N/A,#N/A,FALSE,"특수"}</definedName>
    <definedName name="wrn.CAPA2." hidden="1">{#N/A,#N/A,FALSE,"보고";#N/A,#N/A,FALSE,"유첨"}</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LAIM율." hidden="1">{#N/A,#N/A,FALSE,"빌딩claim율";#N/A,#N/A,FALSE,"전력CLAIM율";#N/A,#N/A,FALSE,"SVC산업CLAIM"}</definedName>
    <definedName name="wrn.COSA._.FS._.국문." hidden="1">{#N/A,#N/A,FALSE,"BS";#N/A,#N/A,FALSE,"PL";#N/A,#N/A,FALSE,"처분";#N/A,#N/A,FALSE,"현금";#N/A,#N/A,FALSE,"매출";#N/A,#N/A,FALSE,"원가";#N/A,#N/A,FALSE,"경영"}</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DLSTH" hidden="1">{#N/A,#N/A,FALSE,"경비"}</definedName>
    <definedName name="wrn.Equipment._.List." hidden="1">{#N/A,#N/A,TRUE,"COVERSHEET";#N/A,#N/A,TRUE,"LEGEND";#N/A,#N/A,TRUE,"LIST"}</definedName>
    <definedName name="wrn.iIMPRESSION._.DOC."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MPRESSION._.RP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ung." hidden="1">{#N/A,#N/A,FALSE,"자재비 (2)";#N/A,#N/A,FALSE,"공사비 (2)";#N/A,#N/A,FALSE,"설계외주비";#N/A,#N/A,FALSE,"노무비";#N/A,#N/A,FALSE,"기계장치비";#N/A,#N/A,FALSE,"경비"}</definedName>
    <definedName name="WRN.KLM" hidden="1">{#N/A,#N/A,FALSE,"기안지";#N/A,#N/A,FALSE,"통신지"}</definedName>
    <definedName name="WRN.LAKK" hidden="1">{#N/A,#N/A,FALSE,"기안지";#N/A,#N/A,FALSE,"통신지"}</definedName>
    <definedName name="WRN.LLX" hidden="1">{#N/A,#N/A,FALSE,"기안지";#N/A,#N/A,FALSE,"통신지"}</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rintAll." hidden="1">{#N/A,#N/A,FALSE,"Sheet1";#N/A,#N/A,FALSE,"Sheet2";#N/A,#N/A,FALSE,"Sheet3";#N/A,#N/A,FALSE,"Sheet4";#N/A,#N/A,FALSE,"Sheet5";#N/A,#N/A,FALSE,"Sheet6";#N/A,#N/A,FALSE,"Sheet7";#N/A,#N/A,FALSE,"Sheet8";#N/A,#N/A,FALSE,"Sheet9"}</definedName>
    <definedName name="wrn.PrintCurr." hidden="1">{#N/A,#N/A,FALSE,"Sheet1";#N/A,#N/A,FALSE,"Sheet2";#N/A,#N/A,FALSE,"Sheet3"}</definedName>
    <definedName name="wrn.PrintPrev1." hidden="1">{#N/A,#N/A,FALSE,"Sheet4";#N/A,#N/A,FALSE,"Sheet5";#N/A,#N/A,FALSE,"Sheet6"}</definedName>
    <definedName name="wrn.PrintPrev2." hidden="1">{#N/A,#N/A,FALSE,"Sheet7";#N/A,#N/A,FALSE,"Sheet8";#N/A,#N/A,FALSE,"Sheet9"}</definedName>
    <definedName name="wrn.REPORT." hidden="1">{#N/A,#N/A,FALSE,"표지";#N/A,#N/A,FALSE,"목차";#N/A,#N/A,FALSE,"내용1";#N/A,#N/A,FALSE,"내용2";#N/A,#N/A,FALSE,"결론";#N/A,#N/A,FALSE,"첨부";#N/A,#N/A,FALSE,"진공도달시간";#N/A,#N/A,FALSE,"배가스속도"}</definedName>
    <definedName name="wrn.RPT." hidden="1">{#N/A,#N/A,FALSE,"인원";#N/A,#N/A,FALSE,"비용2";#N/A,#N/A,FALSE,"비용1";#N/A,#N/A,FALSE,"비용";#N/A,#N/A,FALSE,"보증2";#N/A,#N/A,FALSE,"보증1";#N/A,#N/A,FALSE,"보증";#N/A,#N/A,FALSE,"손익1";#N/A,#N/A,FALSE,"손익";#N/A,#N/A,FALSE,"부서별매출";#N/A,#N/A,FALSE,"매출"}</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F" hidden="1">{#N/A,#N/A,FALSE,"기안지";#N/A,#N/A,FALSE,"통신지"}</definedName>
    <definedName name="WRN.SDF." hidden="1">{#N/A,#N/A,FALSE,"기안지";#N/A,#N/A,FALSE,"통신지"}</definedName>
    <definedName name="WRN.SDLF" hidden="1">{#N/A,#N/A,FALSE,"기안지";#N/A,#N/A,FALSE,"통신지"}</definedName>
    <definedName name="WRN.SE." hidden="1">{#N/A,#N/A,FALSE,"기안지";#N/A,#N/A,FALSE,"통신지"}</definedName>
    <definedName name="wrn.SECURITY._.SYSTEM._.MATERIAL._.COST." hidden="1">{#N/A,#N/A,TRUE,"MATERIAL COST"}</definedName>
    <definedName name="WRN.SF" hidden="1">{#N/A,#N/A,FALSE,"CCTV"}</definedName>
    <definedName name="wrn.STAFFS." hidden="1">{#N/A,#N/A,FALSE,"TABLE"}</definedName>
    <definedName name="wrn.SummaryReport." hidden="1">{"Header",#N/A,TRUE,"Summary";"ProjectInfo",#N/A,TRUE,"Total Value"}</definedName>
    <definedName name="wrn.TEST." hidden="1">{#N/A,#N/A,FALSE,"3가";#N/A,#N/A,FALSE,"3나";#N/A,#N/A,FALSE,"3다"}</definedName>
    <definedName name="wrn.test1." hidden="1">{#N/A,#N/A,FALSE,"명세표"}</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Y차._.종합." hidden="1">{#N/A,#N/A,TRUE,"Y생산";#N/A,#N/A,TRUE,"Y판매";#N/A,#N/A,TRUE,"Y총물량";#N/A,#N/A,TRUE,"Y능력";#N/A,#N/A,TRUE,"YKD"}</definedName>
    <definedName name="WRS" hidden="1">{"'장비'!$A$3:$M$12"}</definedName>
    <definedName name="wrtfdfb">#REF!</definedName>
    <definedName name="wrtghgbnet">#N/A</definedName>
    <definedName name="wrtjj">#N/A</definedName>
    <definedName name="WRT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 hidden="1">{"'용역비'!$A$4:$C$8"}</definedName>
    <definedName name="WRTYHJ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rtyrt" hidden="1">{"'용역비'!$A$4:$C$8"}</definedName>
    <definedName name="wrtyrwqer">#N/A</definedName>
    <definedName name="wrtytrytw">#REF!</definedName>
    <definedName name="wrtywrtywr" hidden="1">{"'용역비'!$A$4:$C$8"}</definedName>
    <definedName name="WRTYWT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weerer" hidden="1">{#N/A,#N/A,FALSE,"혼합골재"}</definedName>
    <definedName name="wryhfgnbvh">#REF!</definedName>
    <definedName name="WRYHWRY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s" hidden="1">{#N/A,#N/A,FALSE,"지침";#N/A,#N/A,FALSE,"환경분석";#N/A,#N/A,FALSE,"Sheet16"}</definedName>
    <definedName name="Ws삼">#REF!</definedName>
    <definedName name="Ws이">#REF!</definedName>
    <definedName name="Ws일">#REF!</definedName>
    <definedName name="wsdf">#REF!</definedName>
    <definedName name="WSFEWSFS">#N/A</definedName>
    <definedName name="WSO">#REF!</definedName>
    <definedName name="WSS">#REF!</definedName>
    <definedName name="WST">#REF!</definedName>
    <definedName name="WSX">#REF!</definedName>
    <definedName name="WSY">#REF!</definedName>
    <definedName name="WT">#REF!</definedName>
    <definedName name="WT_CC">#REF!</definedName>
    <definedName name="WT_CCT">#REF!</definedName>
    <definedName name="WT_CH">#REF!</definedName>
    <definedName name="WT_CHT">#REF!</definedName>
    <definedName name="WT_CM">#REF!</definedName>
    <definedName name="WT_CME">#REF!</definedName>
    <definedName name="WT_CMET">#REF!</definedName>
    <definedName name="WT_CMT">#REF!</definedName>
    <definedName name="WT_CQ">#REF!</definedName>
    <definedName name="WT_CQT">#REF!</definedName>
    <definedName name="WT_E">#REF!</definedName>
    <definedName name="WT_ET">#REF!</definedName>
    <definedName name="WT_WC">#REF!</definedName>
    <definedName name="WT_WCT">#REF!</definedName>
    <definedName name="wtbvw" hidden="1">{#N/A,#N/A,FALSE,"표지목차"}</definedName>
    <definedName name="wteh">#REF!</definedName>
    <definedName name="WTERT" hidden="1">{#N/A,#N/A,FALSE,"기안지";#N/A,#N/A,FALSE,"통신지"}</definedName>
    <definedName name="wthbtyett">#N/A</definedName>
    <definedName name="wthio">#REF!</definedName>
    <definedName name="wtr">#REF!</definedName>
    <definedName name="wtrhjhhg">#N/A</definedName>
    <definedName name="wtrtre">#REF!</definedName>
    <definedName name="wtvegrh" hidden="1">{#N/A,#N/A,FALSE,"포장2"}</definedName>
    <definedName name="WTW">#REF!</definedName>
    <definedName name="wtwe" hidden="1">{#N/A,#N/A,FALSE,"구조1"}</definedName>
    <definedName name="wuy" hidden="1">{"'용역비'!$A$4:$C$8"}</definedName>
    <definedName name="wvu.매출입." hidden="1">{TRUE,TRUE,-1.25,-15.5,484.5,239.25,FALSE,TRUE,TRUE,TRUE,0,1,#N/A,1,#N/A,7.07086614173228,8.95121951219512,1,FALSE,FALSE,3,TRUE,1,FALSE,100,"Swvu.매출입.","ACwvu.매출입.",#N/A,FALSE,FALSE,0.38,0.34,1.08,0.9,1,"&amp;C&amp;""바탕체,굵게""&amp;28&amp;E견     적     서","&amp;C&amp;""바탕체,굵게""&amp;20동  원  전  기",FALSE,FALSE,FALSE,FALSE,1,100,#N/A,#N/A,FALSE,FALSE,#N/A,#N/A,FALSE,FALSE,TRUE,9,0,0,FALSE,FALSE,TRUE,TRUE,TRUE}</definedName>
    <definedName name="wvyh" hidden="1">{#N/A,#N/A,FALSE,"혼합골재"}</definedName>
    <definedName name="WW">#REF!</definedName>
    <definedName name="WW_18_15_제작설치">#REF!</definedName>
    <definedName name="WW_18_15_제작설치고층">#REF!</definedName>
    <definedName name="WW_24_19.5_제작설치">#REF!</definedName>
    <definedName name="WW_24_19.5고층">#REF!</definedName>
    <definedName name="wwerger" hidden="1">{#N/A,#N/A,FALSE,"Sheet1"}</definedName>
    <definedName name="WWF">#REF!</definedName>
    <definedName name="WWQ">#REF!</definedName>
    <definedName name="wwqw">#REF!</definedName>
    <definedName name="WWR">#REF!</definedName>
    <definedName name="WWT">#REF!</definedName>
    <definedName name="WWU">#REF!</definedName>
    <definedName name="www">#REF!</definedName>
    <definedName name="www.qq2." hidden="1">{#N/A,#N/A,FALSE,"부대1"}</definedName>
    <definedName name="wwww" hidden="1">{#N/A,#N/A,FALSE,"손익표지";#N/A,#N/A,FALSE,"손익계산";#N/A,#N/A,FALSE,"일반관리비";#N/A,#N/A,FALSE,"영업외수익";#N/A,#N/A,FALSE,"영업외비용";#N/A,#N/A,FALSE,"매출액";#N/A,#N/A,FALSE,"요약손익";#N/A,#N/A,FALSE,"요약대차";#N/A,#N/A,FALSE,"매출채권현황";#N/A,#N/A,FALSE,"매출채권명세"}</definedName>
    <definedName name="wwwww" hidden="1">{#N/A,#N/A,FALSE,"CCTV"}</definedName>
    <definedName name="WWWWWW">#N/A</definedName>
    <definedName name="wwwwwwww" localSheetId="0">BlankMacro1</definedName>
    <definedName name="wwwwwwww">BlankMacro1</definedName>
    <definedName name="wwwwwwwwww" localSheetId="0">BlankMacro1</definedName>
    <definedName name="wwwwwwwwww">BlankMacro1</definedName>
    <definedName name="wwwwwwwwwwwwww" localSheetId="0">BlankMacro1</definedName>
    <definedName name="wwwwwwwwwwwwww">BlankMacro1</definedName>
    <definedName name="wwwwwwwwwwwwwwww" hidden="1">{#N/A,#N/A,FALSE,"3가";#N/A,#N/A,FALSE,"3나";#N/A,#N/A,FALSE,"3다"}</definedName>
    <definedName name="wwwwwwwwwwwwwwwww" localSheetId="0">BlankMacro1</definedName>
    <definedName name="wwwwwwwwwwwwwwwww">BlankMacro1</definedName>
    <definedName name="wyhtej">#REF!</definedName>
    <definedName name="WZ" hidden="1">{#N/A,#N/A,FALSE,"CCTV"}</definedName>
    <definedName name="X">#REF!</definedName>
    <definedName name="X_1" hidden="1">{#N/A,#N/A,FALSE,"전력간선"}</definedName>
    <definedName name="X48호선_1_구조물철거집계표_국도48__List">#REF!</definedName>
    <definedName name="X9701D_일위대가_List">#REF!</definedName>
    <definedName name="XA">#REF!</definedName>
    <definedName name="xadc">#REF!</definedName>
    <definedName name="xbsb">#REF!</definedName>
    <definedName name="XC">#REF!</definedName>
    <definedName name="XCB" hidden="1">{#N/A,#N/A,FALSE,"Sheet6"}</definedName>
    <definedName name="XCBF" hidden="1">{#N/A,#N/A,FALSE,"이정표"}</definedName>
    <definedName name="XCC" hidden="1">{#N/A,#N/A,FALSE,"CCTV"}</definedName>
    <definedName name="xcf">#REF!</definedName>
    <definedName name="xcfdsfwer32r4" hidden="1">{#N/A,#N/A,FALSE,"Sheet1"}</definedName>
    <definedName name="xcft" hidden="1">{#N/A,#N/A,FALSE,"BS";#N/A,#N/A,FALSE,"PL";#N/A,#N/A,FALSE,"처분";#N/A,#N/A,FALSE,"현금";#N/A,#N/A,FALSE,"매출";#N/A,#N/A,FALSE,"원가";#N/A,#N/A,FALSE,"경영"}</definedName>
    <definedName name="xchvu23" hidden="1">{#N/A,#N/A,FALSE,"Sheet1"}</definedName>
    <definedName name="xcv">#REF!</definedName>
    <definedName name="xcvbfrf" hidden="1">{#N/A,#N/A,FALSE,"BS";#N/A,#N/A,FALSE,"PL";#N/A,#N/A,FALSE,"처분";#N/A,#N/A,FALSE,"현금";#N/A,#N/A,FALSE,"매출";#N/A,#N/A,FALSE,"원가";#N/A,#N/A,FALSE,"경영"}</definedName>
    <definedName name="XCVBGSDFGSER" hidden="1">#REF!</definedName>
    <definedName name="xcvbz" hidden="1">{#N/A,#N/A,FALSE,"골재소요량";#N/A,#N/A,FALSE,"골재소요량"}</definedName>
    <definedName name="xcvc" hidden="1">#REF!</definedName>
    <definedName name="xcvnncvncv" hidden="1">{#N/A,#N/A,FALSE,"BS";#N/A,#N/A,FALSE,"PL";#N/A,#N/A,FALSE,"처분";#N/A,#N/A,FALSE,"현금";#N/A,#N/A,FALSE,"매출";#N/A,#N/A,FALSE,"원가";#N/A,#N/A,FALSE,"경영"}</definedName>
    <definedName name="XCXC" hidden="1">{#N/A,#N/A,FALSE,"골재소요량";#N/A,#N/A,FALSE,"골재소요량"}</definedName>
    <definedName name="xcyu23" hidden="1">{#N/A,#N/A,FALSE,"Sheet1"}</definedName>
    <definedName name="XCZ" hidden="1">#REF!</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D" hidden="1">{#N/A,#N/A,FALSE,"배수2"}</definedName>
    <definedName name="xd품확일정" hidden="1">{#N/A,#N/A,FALSE,"단축1";#N/A,#N/A,FALSE,"단축2";#N/A,#N/A,FALSE,"단축3";#N/A,#N/A,FALSE,"장축";#N/A,#N/A,FALSE,"4WD"}</definedName>
    <definedName name="xdd">#REF!</definedName>
    <definedName name="XDE">#REF!</definedName>
    <definedName name="XDF">#REF!</definedName>
    <definedName name="xdfystry" hidden="1">255</definedName>
    <definedName name="XDR">#REF!</definedName>
    <definedName name="XDS">#REF!</definedName>
    <definedName name="xdv" hidden="1">#REF!</definedName>
    <definedName name="XEEE">#REF!</definedName>
    <definedName name="xend">#REF!</definedName>
    <definedName name="xf" hidden="1">{#N/A,#N/A,FALSE,"Sheet6"}</definedName>
    <definedName name="xgap1">#REF!</definedName>
    <definedName name="xghghs">#REF!</definedName>
    <definedName name="xhd">#REF!</definedName>
    <definedName name="xhrhd" hidden="1">{#N/A,#N/A,FALSE,"토공2"}</definedName>
    <definedName name="XHXH">#REF!</definedName>
    <definedName name="XL">#REF!</definedName>
    <definedName name="XL동림010" hidden="1">{#N/A,#N/A,FALSE,"현장 NCR 분석";#N/A,#N/A,FALSE,"현장품질감사";#N/A,#N/A,FALSE,"현장품질감사"}</definedName>
    <definedName name="XL동림010_1" hidden="1">{#N/A,#N/A,FALSE,"현장 NCR 분석";#N/A,#N/A,FALSE,"현장품질감사";#N/A,#N/A,FALSE,"현장품질감사"}</definedName>
    <definedName name="XL동림010_2" hidden="1">{#N/A,#N/A,FALSE,"현장 NCR 분석";#N/A,#N/A,FALSE,"현장품질감사";#N/A,#N/A,FALSE,"현장품질감사"}</definedName>
    <definedName name="XL동림010_3" hidden="1">{#N/A,#N/A,FALSE,"현장 NCR 분석";#N/A,#N/A,FALSE,"현장품질감사";#N/A,#N/A,FALSE,"현장품질감사"}</definedName>
    <definedName name="XlDlg">1</definedName>
    <definedName name="xlen1">#REF!</definedName>
    <definedName name="xlen2">#REF!</definedName>
    <definedName name="xmrrlwhrjs" hidden="1">{#N/A,#N/A,FALSE,"현장 NCR 분석";#N/A,#N/A,FALSE,"현장품질감사";#N/A,#N/A,FALSE,"현장품질감사"}</definedName>
    <definedName name="XNUM1">#REF!</definedName>
    <definedName name="xnxnxn">#REF!</definedName>
    <definedName name="XS">#REF!</definedName>
    <definedName name="XSD">#REF!</definedName>
    <definedName name="xtvgbyf" hidden="1">{#N/A,#N/A,FALSE,"단가표지"}</definedName>
    <definedName name="xvftyty" hidden="1">#REF!</definedName>
    <definedName name="XX">#REF!</definedName>
    <definedName name="xxca" hidden="1">{"'Firr(선)'!$AS$1:$AY$62","'Firr(사)'!$AS$1:$AY$62","'Firr(회)'!$AS$1:$AY$62","'Firr(선)'!$L$1:$V$62","'Firr(사)'!$L$1:$V$62","'Firr(회)'!$L$1:$V$62"}</definedName>
    <definedName name="XXD">#REF!,#REF!</definedName>
    <definedName name="xxx" hidden="1">#REF!</definedName>
    <definedName name="XXXX">#REF!</definedName>
    <definedName name="xxxxc" hidden="1">{#N/A,#N/A,FALSE,"조골재"}</definedName>
    <definedName name="xxxxx" hidden="1">{#N/A,#N/A,FALSE,"골재소요량";#N/A,#N/A,FALSE,"골재소요량"}</definedName>
    <definedName name="XXXXXX" hidden="1">{"'공사부문'!$A$6:$A$32"}</definedName>
    <definedName name="xxxxxxx" hidden="1">{#N/A,#N/A,FALSE,"배수2"}</definedName>
    <definedName name="xxxxxxxxx">#REF!</definedName>
    <definedName name="xy_cod_blk">#REF!</definedName>
    <definedName name="XZ">#REF!</definedName>
    <definedName name="XZV">#REF!</definedName>
    <definedName name="xZxxz" hidden="1">{"'별표'!$N$220"}</definedName>
    <definedName name="Y">#REF!</definedName>
    <definedName name="y_errchk">#REF!</definedName>
    <definedName name="y_strainer">#REF!</definedName>
    <definedName name="Y.S.KIM">#REF!,#REF!,#REF!,#REF!,#REF!,#REF!,#REF!,#REF!,#REF!,#REF!,#REF!,#REF!,#REF!,#REF!,#REF!,#REF!,#REF!,#REF!,#REF!</definedName>
    <definedName name="Y≫iþ">#REF!</definedName>
    <definedName name="Y1Y">#REF!</definedName>
    <definedName name="Y2Y">#REF!</definedName>
    <definedName name="Y3Y">#REF!</definedName>
    <definedName name="y46h45rhy" hidden="1">{#N/A,#N/A,FALSE,"CCTV"}</definedName>
    <definedName name="y5bewy5vgr" hidden="1">{#N/A,#N/A,FALSE,"운반시간"}</definedName>
    <definedName name="Y6U">#REF!</definedName>
    <definedName name="Y87Y9809" hidden="1">#N/A</definedName>
    <definedName name="y거ㅛ거ㅛ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A">#REF!</definedName>
    <definedName name="YAYRA" hidden="1">{#N/A,#N/A,FALSE,"골재소요량";#N/A,#N/A,FALSE,"골재소요량"}</definedName>
    <definedName name="yb" hidden="1">{#N/A,#N/A,FALSE,"운반시간"}</definedName>
    <definedName name="YBG견적서통" hidden="1">{#N/A,#N/A,TRUE,"손익보고"}</definedName>
    <definedName name="YC">#REF!</definedName>
    <definedName name="YD">#REF!</definedName>
    <definedName name="YE">#N/A</definedName>
    <definedName name="YEKA">#N/A</definedName>
    <definedName name="YERU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ES">#REF!</definedName>
    <definedName name="YFU" hidden="1">{"'용역비'!$A$4:$C$8"}</definedName>
    <definedName name="ygjn" hidden="1">{#N/A,#N/A,FALSE,"단가표지"}</definedName>
    <definedName name="YGJU65656856" hidden="1">{#N/A,#N/A,FALSE,"Sheet1"}</definedName>
    <definedName name="ygnju" hidden="1">{#N/A,#N/A,FALSE,"2~8번"}</definedName>
    <definedName name="ygrftj" hidden="1">{#N/A,#N/A,FALSE,"운반시간"}</definedName>
    <definedName name="ygryd" hidden="1">{#N/A,#N/A,FALSE,"조골재"}</definedName>
    <definedName name="ygty" hidden="1">{#N/A,#N/A,FALSE,"단가표지"}</definedName>
    <definedName name="YGU568565" hidden="1">{#N/A,#N/A,FALSE,"Sheet1"}</definedName>
    <definedName name="ygumufm" hidden="1">{#N/A,#N/A,FALSE,"전력간선"}</definedName>
    <definedName name="ygybtn" hidden="1">{#N/A,#N/A,FALSE,"혼합골재"}</definedName>
    <definedName name="YH">#REF!</definedName>
    <definedName name="YHG">#REF!</definedName>
    <definedName name="YHGG">#REF!</definedName>
    <definedName name="yhi">#REF!</definedName>
    <definedName name="YHJ">#REF!</definedName>
    <definedName name="yhu56356">#REF!</definedName>
    <definedName name="yhuk" hidden="1">{#N/A,#N/A,FALSE,"표지목차"}</definedName>
    <definedName name="yhyrt" hidden="1">{#N/A,#N/A,FALSE,"조골재"}</definedName>
    <definedName name="yi" hidden="1">{"'Sheet1'!$L$16"}</definedName>
    <definedName name="yihuibg">#REF!</definedName>
    <definedName name="YIP">#REF!</definedName>
    <definedName name="Y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JH">#REF!</definedName>
    <definedName name="YJHJ">#N/A</definedName>
    <definedName name="YJNRWAFBGS">#N/A</definedName>
    <definedName name="yju565">#REF!</definedName>
    <definedName name="YJY">#REF!</definedName>
    <definedName name="YJYTJTJ">#REF!</definedName>
    <definedName name="YJYTTTY45" hidden="1">{#N/A,#N/A,FALSE,"Sheet1"}</definedName>
    <definedName name="YL">{"'용역비'!$A$4:$C$8"}</definedName>
    <definedName name="YMERHTJH">#N/A</definedName>
    <definedName name="ymjkgh" hidden="1">{#N/A,#N/A,FALSE,"2~8번"}</definedName>
    <definedName name="YN">#N/A</definedName>
    <definedName name="YNHNY">#REF!</definedName>
    <definedName name="ynjui" hidden="1">{#N/A,#N/A,FALSE,"단가표지"}</definedName>
    <definedName name="ynkim" hidden="1">{#N/A,#N/A,TRUE,"Basic";#N/A,#N/A,TRUE,"EXT-TABLE";#N/A,#N/A,TRUE,"STEEL";#N/A,#N/A,TRUE,"INT-Table";#N/A,#N/A,TRUE,"STEEL";#N/A,#N/A,TRUE,"Door"}</definedName>
    <definedName name="yntynynty">#REF!</definedName>
    <definedName name="ynuf" hidden="1">{#N/A,#N/A,FALSE,"골재소요량";#N/A,#N/A,FALSE,"골재소요량"}</definedName>
    <definedName name="ynunm" hidden="1">{#N/A,#N/A,FALSE,"운반시간"}</definedName>
    <definedName name="ynut" hidden="1">{#N/A,#N/A,FALSE,"단가표지"}</definedName>
    <definedName name="ynuym" hidden="1">{#N/A,#N/A,FALSE,"혼합골재"}</definedName>
    <definedName name="YNYNYH">#REF!</definedName>
    <definedName name="YONG_JUB_GONG">#REF!</definedName>
    <definedName name="YOO">#REF!</definedName>
    <definedName name="yoo10">#REF!</definedName>
    <definedName name="yoo2">#REF!</definedName>
    <definedName name="yoo3">#REF!</definedName>
    <definedName name="yoo4">#REF!</definedName>
    <definedName name="YOO5">#REF!</definedName>
    <definedName name="YOO6">#REF!</definedName>
    <definedName name="YOO7">#REF!</definedName>
    <definedName name="yoo8">#REF!</definedName>
    <definedName name="YOO9">#REF!</definedName>
    <definedName name="YOON">#REF!</definedName>
    <definedName name="YOON2">#REF!</definedName>
    <definedName name="YOON3">#REF!</definedName>
    <definedName name="YOON4">#REF!</definedName>
    <definedName name="YOUNG">#REF!</definedName>
    <definedName name="Youngnam_Market">#REF!</definedName>
    <definedName name="yr" hidden="1">{"'표지'!$B$5"}</definedName>
    <definedName name="yrdtytyt" hidden="1">{#N/A,#N/A,FALSE,"CCTV"}</definedName>
    <definedName name="YRRRYT">#REF!</definedName>
    <definedName name="YSB">#REF!</definedName>
    <definedName name="YT">#REF!</definedName>
    <definedName name="ytds" hidden="1">{#N/A,#N/A,FALSE,"CCTV"}</definedName>
    <definedName name="yth">#REF!</definedName>
    <definedName name="YTHFHF">#N/A</definedName>
    <definedName name="ytjrjydh">#N/A</definedName>
    <definedName name="YTJRTSYSFH" hidden="1">#REF!</definedName>
    <definedName name="YTJTRSHSRDHGBD" hidden="1">{#N/A,#N/A,FALSE,"Sheet1"}</definedName>
    <definedName name="ytjuy">#REF!</definedName>
    <definedName name="YTR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rytwyt" hidden="1">#REF!</definedName>
    <definedName name="YTTTRFXFG" hidden="1">{#N/A,#N/A,FALSE,"Sheet1"}</definedName>
    <definedName name="yu" hidden="1">{#N/A,#N/A,FALSE,"Sheet6"}</definedName>
    <definedName name="YU5686I765" hidden="1">{#N/A,#N/A,FALSE,"Sheet1"}</definedName>
    <definedName name="YU6585668756" hidden="1">{#N/A,#N/A,FALSE,"Sheet1"}</definedName>
    <definedName name="yubg" hidden="1">{#N/A,#N/A,FALSE,"단가표지"}</definedName>
    <definedName name="yubn" hidden="1">{#N/A,#N/A,FALSE,"혼합골재"}</definedName>
    <definedName name="yucb" hidden="1">{#N/A,#N/A,FALSE,"단가표지"}</definedName>
    <definedName name="yucgfcf" hidden="1">{#N/A,#N/A,FALSE,"배수2"}</definedName>
    <definedName name="YUI">#N/A</definedName>
    <definedName name="yuirk" hidden="1">{#N/A,#N/A,FALSE,"단가표지"}</definedName>
    <definedName name="yuity" hidden="1">{#N/A,#N/A,FALSE,"2~8번"}</definedName>
    <definedName name="YUJ6T8U5686" hidden="1">{#N/A,#N/A,FALSE,"Sheet1"}</definedName>
    <definedName name="yujhuyt" hidden="1">{#N/A,#N/A,FALSE,"단가표지"}</definedName>
    <definedName name="yujmhk" hidden="1">{#N/A,#N/A,FALSE,"Sheet1"}</definedName>
    <definedName name="yujyuuy">#N/A</definedName>
    <definedName name="YUK" hidden="1">{"'용역비'!$A$4:$C$8"}</definedName>
    <definedName name="YUKOI">{"'용역비'!$A$4:$C$8"}</definedName>
    <definedName name="YUKYKMYU">#N/A</definedName>
    <definedName name="yukykt">#N/A</definedName>
    <definedName name="yuli" hidden="1">{#N/A,#N/A,FALSE,"2~8번"}</definedName>
    <definedName name="yumf" hidden="1">{#N/A,#N/A,FALSE,"단가표지"}</definedName>
    <definedName name="yunu" hidden="1">{#N/A,#N/A,FALSE,"단가표지"}</definedName>
    <definedName name="yunuyr" hidden="1">{#N/A,#N/A,FALSE,"단가표지"}</definedName>
    <definedName name="yurt" hidden="1">{#N/A,#N/A,FALSE,"CCTV"}</definedName>
    <definedName name="YUTY" hidden="1">{#N/A,#N/A,FALSE,"Sheet6"}</definedName>
    <definedName name="YUTY8U5687" hidden="1">{#N/A,#N/A,FALSE,"Sheet1"}</definedName>
    <definedName name="yuy" hidden="1">{#N/A,#N/A,FALSE,"단가표지"}</definedName>
    <definedName name="yuyijhn">#REF!</definedName>
    <definedName name="yuyt">#REF!</definedName>
    <definedName name="YUYTY">#REF!</definedName>
    <definedName name="yuyu" hidden="1">{"'장비'!$A$3:$M$12"}</definedName>
    <definedName name="yuyuy">#REF!</definedName>
    <definedName name="yuyuyu" hidden="1">{"'장비'!$A$3:$M$12"}</definedName>
    <definedName name="yvdfvhd" hidden="1">{#N/A,#N/A,FALSE,"이정표"}</definedName>
    <definedName name="ywrtvwvy" hidden="1">{#N/A,#N/A,FALSE,"부대1"}</definedName>
    <definedName name="yy" hidden="1">#REF!</definedName>
    <definedName name="YY0" hidden="1">{#N/A,#N/A,FALSE,"전력간선"}</definedName>
    <definedName name="YYTHY">#REF!</definedName>
    <definedName name="yyuty" hidden="1">{#N/A,#N/A,FALSE,"부대2"}</definedName>
    <definedName name="YYY">#REF!</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 hidden="1">{#N/A,#N/A,FALSE,"이정표"}</definedName>
    <definedName name="YYYYYY">#N/A</definedName>
    <definedName name="Z">#REF!</definedName>
    <definedName name="z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_1F713D72_E6F4_11D3_8E1E_00A0244E179B_.wvu.Cols" hidden="1">#N/A</definedName>
    <definedName name="Z_1F713D72_E6F4_11D3_8E1E_00A0244E179B_.wvu.PrintArea" hidden="1">#N/A</definedName>
    <definedName name="Z_2A223C64_F323_11D6_AACE_00C026619578_.wvu.PrintArea" hidden="1">#REF!</definedName>
    <definedName name="Z_2C052020_706B_11D1_990E_444553540000_.wvu.PrintArea" hidden="1">#REF!</definedName>
    <definedName name="Z_2C052020_706B_11D1_990E_444553540000_.wvu.PrintTitles" hidden="1">#REF!</definedName>
    <definedName name="Z_2C052020_706B_11D1_990E_444553540000_.wvu.Rows" hidden="1">#REF!</definedName>
    <definedName name="Z_4F74ED08_7DE6_11D4_BC29_005004C1F3AD_.wvu.PrintTitles" hidden="1">#REF!</definedName>
    <definedName name="Z_6332A1C3_4451_11D5_8DF3_00C026000EEF_.wvu.PrintTitles" hidden="1">#REF!</definedName>
    <definedName name="Z_A980B765_13D2_11D1_A0FF_444553540000_.wvu.PrintArea" hidden="1">#REF!</definedName>
    <definedName name="Z_A980B765_13D2_11D1_A0FF_444553540000_.wvu.PrintTitles" hidden="1">#REF!</definedName>
    <definedName name="Z_A980B765_13D2_11D1_A0FF_444553540000_.wvu.Rows" hidden="1">#REF!</definedName>
    <definedName name="Z_B07FFD98_6B75_11D3_8B4A_C993984BC5C5_.wvu.Cols" hidden="1">#REF!,#REF!</definedName>
    <definedName name="Z_BFEEB821_E6AD_11D3_88E4_00E09870C276_.wvu.PrintArea" hidden="1">#N/A</definedName>
    <definedName name="Z_DB8AC590_3D3A_11D5_BCB0_000021EC112A_.wvu.Cols" hidden="1">#REF!</definedName>
    <definedName name="Z_DB8AC590_3D3A_11D5_BCB0_000021EC112A_.wvu.PrintArea" hidden="1">#REF!</definedName>
    <definedName name="Z_DB8AC590_3D3A_11D5_BCB0_000021EC112A_.wvu.PrintTitles" hidden="1">#REF!</definedName>
    <definedName name="Z_DB8AC590_3D3A_11D5_BCB0_000021EC112A_.wvu.Rows" hidden="1">#REF!,#REF!</definedName>
    <definedName name="Z_F6AB6A24_E5D5_11D3_B573_00104BA1686B_.wvu.Cols" hidden="1">#N/A</definedName>
    <definedName name="Z_L_I_T_E_N">#N/A</definedName>
    <definedName name="Z6_">#REF!</definedName>
    <definedName name="za" hidden="1">#REF!</definedName>
    <definedName name="ZBHGAG" hidden="1">{#N/A,#N/A,FALSE,"포장1";#N/A,#N/A,FALSE,"포장1"}</definedName>
    <definedName name="zc" hidden="1">{#N/A,#N/A,FALSE,"현장 NCR 분석";#N/A,#N/A,FALSE,"현장품질감사";#N/A,#N/A,FALSE,"현장품질감사"}</definedName>
    <definedName name="ZDCV" hidden="1">#REF!</definedName>
    <definedName name="ZDSD">#N/A</definedName>
    <definedName name="zdverhybdf" hidden="1">{#N/A,#N/A,FALSE,"BS";#N/A,#N/A,FALSE,"PL";#N/A,#N/A,FALSE,"처분";#N/A,#N/A,FALSE,"현금";#N/A,#N/A,FALSE,"매출";#N/A,#N/A,FALSE,"원가";#N/A,#N/A,FALSE,"경영"}</definedName>
    <definedName name="zf" localSheetId="0">BlankMacro1</definedName>
    <definedName name="zf">BlankMacro1</definedName>
    <definedName name="ZFVGFDHB">#REF!</definedName>
    <definedName name="ZFZCSEVFVCSDRZF">{0,0,0,0}</definedName>
    <definedName name="ZGCAGADFF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K" localSheetId="0">[0]!BlankMacro1</definedName>
    <definedName name="ZK">[0]!BlankMacro1</definedName>
    <definedName name="zkt">#REF!</definedName>
    <definedName name="ZLO">#REF!</definedName>
    <definedName name="ZLS" localSheetId="0">ErrorHandler_1</definedName>
    <definedName name="ZLS">ErrorHandler_1</definedName>
    <definedName name="ZM" localSheetId="0">[0]!BlankMacro1</definedName>
    <definedName name="ZM">[0]!BlankMacro1</definedName>
    <definedName name="ZMT">#REF!</definedName>
    <definedName name="zoomcolumn">#REF!</definedName>
    <definedName name="zoomrate">#REF!</definedName>
    <definedName name="ZP">#REF!</definedName>
    <definedName name="zsb">#REF!</definedName>
    <definedName name="ZSD" hidden="1">#REF!</definedName>
    <definedName name="ZSFAF">#N/A</definedName>
    <definedName name="zvzdfgergae" hidden="1">{#N/A,#N/A,FALSE,"BS";#N/A,#N/A,FALSE,"PL";#N/A,#N/A,FALSE,"처분";#N/A,#N/A,FALSE,"현금";#N/A,#N/A,FALSE,"매출";#N/A,#N/A,FALSE,"원가";#N/A,#N/A,FALSE,"경영"}</definedName>
    <definedName name="zvzxcvzxc" hidden="1">{#N/A,#N/A,FALSE,"BS";#N/A,#N/A,FALSE,"PL";#N/A,#N/A,FALSE,"처분";#N/A,#N/A,FALSE,"현금";#N/A,#N/A,FALSE,"매출";#N/A,#N/A,FALSE,"원가";#N/A,#N/A,FALSE,"경영"}</definedName>
    <definedName name="zvzxcvzxcv" hidden="1">{#N/A,#N/A,FALSE,"BS";#N/A,#N/A,FALSE,"PL";#N/A,#N/A,FALSE,"처분";#N/A,#N/A,FALSE,"현금";#N/A,#N/A,FALSE,"매출";#N/A,#N/A,FALSE,"원가";#N/A,#N/A,FALSE,"경영"}</definedName>
    <definedName name="zx" hidden="1">#REF!</definedName>
    <definedName name="ZXC" hidden="1">{#N/A,#N/A,FALSE,"이태원철근"}</definedName>
    <definedName name="ZXC_1" hidden="1">{#N/A,#N/A,FALSE,"이태원철근"}</definedName>
    <definedName name="ZXC_2" hidden="1">{#N/A,#N/A,FALSE,"이태원철근"}</definedName>
    <definedName name="ZXC_3" hidden="1">{#N/A,#N/A,FALSE,"이태원철근"}</definedName>
    <definedName name="ZXC_5" hidden="1">{#N/A,#N/A,FALSE,"이태원철근"}</definedName>
    <definedName name="zxcf">#REF!</definedName>
    <definedName name="zxcv" hidden="1">{#N/A,#N/A,FALSE,"BS";#N/A,#N/A,FALSE,"PL";#N/A,#N/A,FALSE,"처분";#N/A,#N/A,FALSE,"현금";#N/A,#N/A,FALSE,"매출";#N/A,#N/A,FALSE,"원가";#N/A,#N/A,FALSE,"경영"}</definedName>
    <definedName name="zxcvger" hidden="1">{#N/A,#N/A,FALSE,"BS";#N/A,#N/A,FALSE,"PL";#N/A,#N/A,FALSE,"처분";#N/A,#N/A,FALSE,"현금";#N/A,#N/A,FALSE,"매출";#N/A,#N/A,FALSE,"원가";#N/A,#N/A,FALSE,"경영"}</definedName>
    <definedName name="zxcvzger" hidden="1">{#N/A,#N/A,FALSE,"BS";#N/A,#N/A,FALSE,"PL";#N/A,#N/A,FALSE,"처분";#N/A,#N/A,FALSE,"현금";#N/A,#N/A,FALSE,"매출";#N/A,#N/A,FALSE,"원가";#N/A,#N/A,FALSE,"경영"}</definedName>
    <definedName name="zxcvzxcvzxcv" hidden="1">{#N/A,#N/A,FALSE,"BS";#N/A,#N/A,FALSE,"PL";#N/A,#N/A,FALSE,"처분";#N/A,#N/A,FALSE,"현금";#N/A,#N/A,FALSE,"매출";#N/A,#N/A,FALSE,"원가";#N/A,#N/A,FALSE,"경영"}</definedName>
    <definedName name="zxcvzxczger" hidden="1">{#N/A,#N/A,FALSE,"BS";#N/A,#N/A,FALSE,"PL";#N/A,#N/A,FALSE,"처분";#N/A,#N/A,FALSE,"현금";#N/A,#N/A,FALSE,"매출";#N/A,#N/A,FALSE,"원가";#N/A,#N/A,FALSE,"경영"}</definedName>
    <definedName name="zxczxcfdsfdsfwere" hidden="1">{#N/A,#N/A,FALSE,"지침";#N/A,#N/A,FALSE,"환경분석";#N/A,#N/A,FALSE,"Sheet16"}</definedName>
    <definedName name="zxd">#REF!</definedName>
    <definedName name="zxffsd" hidden="1">{#N/A,#N/A,FALSE,"지침";#N/A,#N/A,FALSE,"환경분석";#N/A,#N/A,FALSE,"Sheet16"}</definedName>
    <definedName name="zxzxcv" hidden="1">{#N/A,#N/A,FALSE,"BS";#N/A,#N/A,FALSE,"PL";#N/A,#N/A,FALSE,"처분";#N/A,#N/A,FALSE,"현금";#N/A,#N/A,FALSE,"매출";#N/A,#N/A,FALSE,"원가";#N/A,#N/A,FALSE,"경영"}</definedName>
    <definedName name="ZZ">#N/A</definedName>
    <definedName name="ZZX">#REF!</definedName>
    <definedName name="ZZ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 hidden="1">{#N/A,#N/A,FALSE,"단가표지"}</definedName>
    <definedName name="zzzzz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λ">#REF!</definedName>
    <definedName name="π">PI()</definedName>
    <definedName name="φ406.4" hidden="1">{#N/A,#N/A,FALSE,"2~8번"}</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M194" i="18" l="1"/>
  <c r="BM192" i="18"/>
  <c r="BM190" i="18"/>
  <c r="BV190" i="18" s="1"/>
  <c r="BM188" i="18"/>
  <c r="BV188" i="18" s="1"/>
  <c r="BM186" i="18"/>
  <c r="BV186" i="18" s="1"/>
  <c r="BM184" i="18"/>
  <c r="BV184" i="18" s="1"/>
  <c r="BM182" i="18"/>
  <c r="BM180" i="18"/>
  <c r="BV180" i="18" s="1"/>
  <c r="BM178" i="18"/>
  <c r="BM176" i="18"/>
  <c r="BM174" i="18"/>
  <c r="BM172" i="18"/>
  <c r="BM170" i="18"/>
  <c r="BV170" i="18" s="1"/>
  <c r="BM168" i="18"/>
  <c r="BV168" i="18" s="1"/>
  <c r="BM166" i="18"/>
  <c r="BV166" i="18" s="1"/>
  <c r="BM164" i="18"/>
  <c r="BV164" i="18" s="1"/>
  <c r="BM162" i="18"/>
  <c r="BM160" i="18"/>
  <c r="BV160" i="18" s="1"/>
  <c r="BM158" i="18"/>
  <c r="BM156" i="18"/>
  <c r="BM154" i="18"/>
  <c r="BM152" i="18"/>
  <c r="BM150" i="18"/>
  <c r="BV150" i="18" s="1"/>
  <c r="BM148" i="18"/>
  <c r="BV148" i="18" s="1"/>
  <c r="BM146" i="18"/>
  <c r="BV146" i="18" s="1"/>
  <c r="BM144" i="18"/>
  <c r="BV144" i="18" s="1"/>
  <c r="BM142" i="18"/>
  <c r="BM140" i="18"/>
  <c r="BV140" i="18" s="1"/>
  <c r="BM138" i="18"/>
  <c r="BM136" i="18"/>
  <c r="BM134" i="18"/>
  <c r="BM132" i="18"/>
  <c r="BM130" i="18"/>
  <c r="BV130" i="18" s="1"/>
  <c r="BM128" i="18"/>
  <c r="BV128" i="18" s="1"/>
  <c r="BM126" i="18"/>
  <c r="BV126" i="18" s="1"/>
  <c r="BM124" i="18"/>
  <c r="BV124" i="18" s="1"/>
  <c r="BM122" i="18"/>
  <c r="BM120" i="18"/>
  <c r="BV120" i="18" s="1"/>
  <c r="BM118" i="18"/>
  <c r="BM116" i="18"/>
  <c r="BM114" i="18"/>
  <c r="BM112" i="18"/>
  <c r="BM110" i="18"/>
  <c r="BV110" i="18" s="1"/>
  <c r="BM108" i="18"/>
  <c r="BV108" i="18" s="1"/>
  <c r="BM106" i="18"/>
  <c r="BV106" i="18" s="1"/>
  <c r="BM104" i="18"/>
  <c r="BV104" i="18" s="1"/>
  <c r="BM102" i="18"/>
  <c r="BM100" i="18"/>
  <c r="BV100" i="18" s="1"/>
  <c r="BM98" i="18"/>
  <c r="BM96" i="18"/>
  <c r="BM94" i="18"/>
  <c r="BM92" i="18"/>
  <c r="BM90" i="18"/>
  <c r="BV90" i="18" s="1"/>
  <c r="BM88" i="18"/>
  <c r="BV88" i="18" s="1"/>
  <c r="BM86" i="18"/>
  <c r="BV86" i="18" s="1"/>
  <c r="BM84" i="18"/>
  <c r="BV84" i="18" s="1"/>
  <c r="BM82" i="18"/>
  <c r="BM80" i="18"/>
  <c r="BV80" i="18" s="1"/>
  <c r="BM78" i="18"/>
  <c r="BM76" i="18"/>
  <c r="BM74" i="18"/>
  <c r="BM72" i="18"/>
  <c r="BM70" i="18"/>
  <c r="BV70" i="18" s="1"/>
  <c r="BM68" i="18"/>
  <c r="BV68" i="18" s="1"/>
  <c r="BM66" i="18"/>
  <c r="BV66" i="18" s="1"/>
  <c r="BM64" i="18"/>
  <c r="BV64" i="18" s="1"/>
  <c r="BM62" i="18"/>
  <c r="BM60" i="18"/>
  <c r="BV60" i="18" s="1"/>
  <c r="BM58" i="18"/>
  <c r="BM56" i="18"/>
  <c r="BM54" i="18"/>
  <c r="BM52" i="18"/>
  <c r="BM50" i="18"/>
  <c r="BV50" i="18" s="1"/>
  <c r="BM48" i="18"/>
  <c r="BV48" i="18" s="1"/>
  <c r="BM46" i="18"/>
  <c r="BV46" i="18" s="1"/>
  <c r="BM44" i="18"/>
  <c r="BV44" i="18" s="1"/>
  <c r="BM42" i="18"/>
  <c r="BV42" i="18" s="1"/>
  <c r="BM40" i="18"/>
  <c r="BV40" i="18" s="1"/>
  <c r="BM38" i="18"/>
  <c r="BV38" i="18" s="1"/>
  <c r="BM36" i="18"/>
  <c r="BM34" i="18"/>
  <c r="BE41" i="18"/>
  <c r="BD41" i="18"/>
  <c r="BC41" i="18"/>
  <c r="BB41" i="18"/>
  <c r="BA41" i="18"/>
  <c r="AZ41" i="18"/>
  <c r="AY41" i="18"/>
  <c r="AX41" i="18"/>
  <c r="AW41" i="18"/>
  <c r="AV41" i="18"/>
  <c r="AU41" i="18"/>
  <c r="AT41" i="18"/>
  <c r="AS41" i="18"/>
  <c r="AR41" i="18"/>
  <c r="AQ41" i="18"/>
  <c r="AP41" i="18"/>
  <c r="AD41" i="18"/>
  <c r="BG40" i="18"/>
  <c r="BD40" i="18"/>
  <c r="BC40" i="18"/>
  <c r="BB40" i="18"/>
  <c r="BA40" i="18"/>
  <c r="AZ40" i="18"/>
  <c r="AY40" i="18"/>
  <c r="AX40" i="18"/>
  <c r="AW40" i="18"/>
  <c r="AO40" i="18" s="1"/>
  <c r="AB40" i="18" s="1"/>
  <c r="AV40" i="18"/>
  <c r="AU40" i="18"/>
  <c r="AT40" i="18"/>
  <c r="AS40" i="18"/>
  <c r="AR40" i="18"/>
  <c r="AQ40" i="18"/>
  <c r="AP40" i="18"/>
  <c r="AN40" i="18"/>
  <c r="AC40" i="18" s="1"/>
  <c r="Z40" i="18"/>
  <c r="AD40" i="18" s="1"/>
  <c r="Y40" i="18"/>
  <c r="AA40" i="18" s="1"/>
  <c r="B40" i="18"/>
  <c r="BV52" i="18"/>
  <c r="BV54" i="18"/>
  <c r="BV56" i="18"/>
  <c r="BV58" i="18"/>
  <c r="BV62" i="18"/>
  <c r="BV72" i="18"/>
  <c r="BV74" i="18"/>
  <c r="BV76" i="18"/>
  <c r="BV78" i="18"/>
  <c r="BV82" i="18"/>
  <c r="BV92" i="18"/>
  <c r="BV94" i="18"/>
  <c r="BV96" i="18"/>
  <c r="BV98" i="18"/>
  <c r="BV102" i="18"/>
  <c r="BV112" i="18"/>
  <c r="BV114" i="18"/>
  <c r="BV116" i="18"/>
  <c r="BV118" i="18"/>
  <c r="BV122" i="18"/>
  <c r="BV132" i="18"/>
  <c r="BV134" i="18"/>
  <c r="BV136" i="18"/>
  <c r="BV138" i="18"/>
  <c r="BV142" i="18"/>
  <c r="BV152" i="18"/>
  <c r="BV154" i="18"/>
  <c r="BV156" i="18"/>
  <c r="BV158" i="18"/>
  <c r="BV162" i="18"/>
  <c r="BV172" i="18"/>
  <c r="BV174" i="18"/>
  <c r="BV176" i="18"/>
  <c r="BV178" i="18"/>
  <c r="BV182" i="18"/>
  <c r="BV192" i="18"/>
  <c r="BV194" i="18"/>
  <c r="BV196" i="18"/>
  <c r="BV198" i="18"/>
  <c r="BV200" i="18"/>
  <c r="BV202" i="18"/>
  <c r="BV34" i="18"/>
  <c r="BV36" i="18"/>
  <c r="AA8" i="18"/>
  <c r="AB41" i="18" l="1"/>
  <c r="AC41" i="18"/>
  <c r="AE40" i="18" s="1"/>
  <c r="AF40" i="18" s="1"/>
  <c r="AR20" i="18" l="1"/>
  <c r="BU10" i="18" l="1"/>
  <c r="BU12" i="18"/>
  <c r="BV12" i="18" s="1"/>
  <c r="BU14" i="18"/>
  <c r="BU16" i="18"/>
  <c r="BU18" i="18"/>
  <c r="BU20" i="18"/>
  <c r="BU22" i="18"/>
  <c r="BU24" i="18"/>
  <c r="BU26" i="18"/>
  <c r="BU28" i="18"/>
  <c r="BU30" i="18"/>
  <c r="BU32" i="18"/>
  <c r="BP10" i="18"/>
  <c r="BP12" i="18"/>
  <c r="BP14" i="18"/>
  <c r="BP16" i="18"/>
  <c r="BP18" i="18"/>
  <c r="BP20" i="18"/>
  <c r="BP22" i="18"/>
  <c r="BP24" i="18"/>
  <c r="BV24" i="18" s="1"/>
  <c r="BP26" i="18"/>
  <c r="BP28" i="18"/>
  <c r="BV28" i="18" s="1"/>
  <c r="BP30" i="18"/>
  <c r="BP32" i="18"/>
  <c r="BP8" i="18"/>
  <c r="BM10" i="18"/>
  <c r="BV10" i="18" s="1"/>
  <c r="BM12" i="18"/>
  <c r="BM14" i="18"/>
  <c r="BV14" i="18" s="1"/>
  <c r="BM16" i="18"/>
  <c r="BV16" i="18" s="1"/>
  <c r="BM18" i="18"/>
  <c r="BV18" i="18" s="1"/>
  <c r="BM20" i="18"/>
  <c r="BV20" i="18" s="1"/>
  <c r="BM22" i="18"/>
  <c r="BV22" i="18" s="1"/>
  <c r="BM24" i="18"/>
  <c r="BM26" i="18"/>
  <c r="BV26" i="18" s="1"/>
  <c r="BM28" i="18"/>
  <c r="BM30" i="18"/>
  <c r="BM32" i="18"/>
  <c r="BM8" i="18"/>
  <c r="Y8" i="18"/>
  <c r="Z8" i="18"/>
  <c r="Y10" i="18"/>
  <c r="AA10" i="18" s="1"/>
  <c r="Z10" i="18"/>
  <c r="Y12" i="18"/>
  <c r="AA12" i="18" s="1"/>
  <c r="Z12" i="18"/>
  <c r="AD13" i="18" s="1"/>
  <c r="Y14" i="18"/>
  <c r="AA14" i="18" s="1"/>
  <c r="Z14" i="18"/>
  <c r="AD14" i="18" s="1"/>
  <c r="Y16" i="18"/>
  <c r="AA16" i="18" s="1"/>
  <c r="Z16" i="18"/>
  <c r="AD16" i="18" s="1"/>
  <c r="Y18" i="18"/>
  <c r="AA18" i="18" s="1"/>
  <c r="Z18" i="18"/>
  <c r="AD18" i="18" s="1"/>
  <c r="Y20" i="18"/>
  <c r="AA20" i="18" s="1"/>
  <c r="Z20" i="18"/>
  <c r="AD20" i="18" s="1"/>
  <c r="Y22" i="18"/>
  <c r="AA22" i="18" s="1"/>
  <c r="Z22" i="18"/>
  <c r="AD22" i="18" s="1"/>
  <c r="Y24" i="18"/>
  <c r="AA24" i="18" s="1"/>
  <c r="Z24" i="18"/>
  <c r="AD24" i="18" s="1"/>
  <c r="Y26" i="18"/>
  <c r="AA26" i="18" s="1"/>
  <c r="Z26" i="18"/>
  <c r="BE203" i="18"/>
  <c r="BD203" i="18"/>
  <c r="BC203" i="18"/>
  <c r="BB203" i="18"/>
  <c r="BA203" i="18"/>
  <c r="AZ203" i="18"/>
  <c r="AY203" i="18"/>
  <c r="AX203" i="18"/>
  <c r="AW203" i="18"/>
  <c r="AV203" i="18"/>
  <c r="AU203" i="18"/>
  <c r="AT203" i="18"/>
  <c r="AS203" i="18"/>
  <c r="AR203" i="18"/>
  <c r="AQ203" i="18"/>
  <c r="AP203" i="18"/>
  <c r="BG202" i="18"/>
  <c r="BD202" i="18"/>
  <c r="BC202" i="18"/>
  <c r="BB202" i="18"/>
  <c r="BA202" i="18"/>
  <c r="AZ202" i="18"/>
  <c r="AY202" i="18"/>
  <c r="AX202" i="18"/>
  <c r="AW202" i="18"/>
  <c r="AV202" i="18"/>
  <c r="AU202" i="18"/>
  <c r="AT202" i="18"/>
  <c r="AS202" i="18"/>
  <c r="AR202" i="18"/>
  <c r="AQ202" i="18"/>
  <c r="AP202" i="18"/>
  <c r="AN202" i="18"/>
  <c r="AC202" i="18" s="1"/>
  <c r="Z202" i="18"/>
  <c r="AD203" i="18" s="1"/>
  <c r="Y202" i="18"/>
  <c r="AA202" i="18" s="1"/>
  <c r="B202" i="18"/>
  <c r="BE201" i="18"/>
  <c r="BD201" i="18"/>
  <c r="BC201" i="18"/>
  <c r="BB201" i="18"/>
  <c r="BA201" i="18"/>
  <c r="AZ201" i="18"/>
  <c r="AY201" i="18"/>
  <c r="AX201" i="18"/>
  <c r="AW201" i="18"/>
  <c r="AV201" i="18"/>
  <c r="AU201" i="18"/>
  <c r="AT201" i="18"/>
  <c r="AS201" i="18"/>
  <c r="AR201" i="18"/>
  <c r="AQ201" i="18"/>
  <c r="AP201" i="18"/>
  <c r="BG200" i="18"/>
  <c r="BD200" i="18"/>
  <c r="BC200" i="18"/>
  <c r="BB200" i="18"/>
  <c r="BA200" i="18"/>
  <c r="AZ200" i="18"/>
  <c r="AY200" i="18"/>
  <c r="AX200" i="18"/>
  <c r="AW200" i="18"/>
  <c r="AV200" i="18"/>
  <c r="AU200" i="18"/>
  <c r="AT200" i="18"/>
  <c r="AS200" i="18"/>
  <c r="AR200" i="18"/>
  <c r="AQ200" i="18"/>
  <c r="AP200" i="18"/>
  <c r="AN200" i="18"/>
  <c r="AC200" i="18" s="1"/>
  <c r="Z200" i="18"/>
  <c r="AD201" i="18" s="1"/>
  <c r="Y200" i="18"/>
  <c r="AA200" i="18" s="1"/>
  <c r="B200" i="18"/>
  <c r="BE199" i="18"/>
  <c r="BD199" i="18"/>
  <c r="BC199" i="18"/>
  <c r="BB199" i="18"/>
  <c r="BA199" i="18"/>
  <c r="AZ199" i="18"/>
  <c r="AY199" i="18"/>
  <c r="AX199" i="18"/>
  <c r="AW199" i="18"/>
  <c r="AV199" i="18"/>
  <c r="AU199" i="18"/>
  <c r="AT199" i="18"/>
  <c r="AS199" i="18"/>
  <c r="AR199" i="18"/>
  <c r="AQ199" i="18"/>
  <c r="AP199" i="18"/>
  <c r="BG198" i="18"/>
  <c r="BD198" i="18"/>
  <c r="BC198" i="18"/>
  <c r="BB198" i="18"/>
  <c r="BA198" i="18"/>
  <c r="AZ198" i="18"/>
  <c r="AY198" i="18"/>
  <c r="AX198" i="18"/>
  <c r="AW198" i="18"/>
  <c r="AV198" i="18"/>
  <c r="AU198" i="18"/>
  <c r="AT198" i="18"/>
  <c r="AS198" i="18"/>
  <c r="AR198" i="18"/>
  <c r="AQ198" i="18"/>
  <c r="AP198" i="18"/>
  <c r="AN198" i="18"/>
  <c r="AC198" i="18" s="1"/>
  <c r="Z198" i="18"/>
  <c r="AD198" i="18" s="1"/>
  <c r="Y198" i="18"/>
  <c r="AA198" i="18" s="1"/>
  <c r="B198" i="18"/>
  <c r="BE197" i="18"/>
  <c r="BD197" i="18"/>
  <c r="BC197" i="18"/>
  <c r="BB197" i="18"/>
  <c r="BA197" i="18"/>
  <c r="AZ197" i="18"/>
  <c r="AY197" i="18"/>
  <c r="AX197" i="18"/>
  <c r="AW197" i="18"/>
  <c r="AV197" i="18"/>
  <c r="AU197" i="18"/>
  <c r="AT197" i="18"/>
  <c r="AS197" i="18"/>
  <c r="AR197" i="18"/>
  <c r="AQ197" i="18"/>
  <c r="AP197" i="18"/>
  <c r="BG196" i="18"/>
  <c r="BD196" i="18"/>
  <c r="BC196" i="18"/>
  <c r="BB196" i="18"/>
  <c r="BA196" i="18"/>
  <c r="AZ196" i="18"/>
  <c r="AY196" i="18"/>
  <c r="AX196" i="18"/>
  <c r="AW196" i="18"/>
  <c r="AV196" i="18"/>
  <c r="AU196" i="18"/>
  <c r="AT196" i="18"/>
  <c r="AS196" i="18"/>
  <c r="AR196" i="18"/>
  <c r="AQ196" i="18"/>
  <c r="AP196" i="18"/>
  <c r="AN196" i="18"/>
  <c r="AC196" i="18" s="1"/>
  <c r="Z196" i="18"/>
  <c r="AD196" i="18" s="1"/>
  <c r="Y196" i="18"/>
  <c r="AA196" i="18" s="1"/>
  <c r="B196" i="18"/>
  <c r="BE195" i="18"/>
  <c r="BD195" i="18"/>
  <c r="BC195" i="18"/>
  <c r="BB195" i="18"/>
  <c r="BA195" i="18"/>
  <c r="AZ195" i="18"/>
  <c r="AY195" i="18"/>
  <c r="AX195" i="18"/>
  <c r="AW195" i="18"/>
  <c r="AV195" i="18"/>
  <c r="AU195" i="18"/>
  <c r="AT195" i="18"/>
  <c r="AS195" i="18"/>
  <c r="AR195" i="18"/>
  <c r="AQ195" i="18"/>
  <c r="AP195" i="18"/>
  <c r="BG194" i="18"/>
  <c r="BD194" i="18"/>
  <c r="BC194" i="18"/>
  <c r="BB194" i="18"/>
  <c r="BA194" i="18"/>
  <c r="AZ194" i="18"/>
  <c r="AY194" i="18"/>
  <c r="AX194" i="18"/>
  <c r="AW194" i="18"/>
  <c r="AV194" i="18"/>
  <c r="AU194" i="18"/>
  <c r="AT194" i="18"/>
  <c r="AS194" i="18"/>
  <c r="AR194" i="18"/>
  <c r="AQ194" i="18"/>
  <c r="AP194" i="18"/>
  <c r="AN194" i="18"/>
  <c r="AC194" i="18" s="1"/>
  <c r="Z194" i="18"/>
  <c r="AD194" i="18" s="1"/>
  <c r="Y194" i="18"/>
  <c r="AA194" i="18" s="1"/>
  <c r="B194" i="18"/>
  <c r="BE193" i="18"/>
  <c r="BD193" i="18"/>
  <c r="BC193" i="18"/>
  <c r="BB193" i="18"/>
  <c r="BA193" i="18"/>
  <c r="AZ193" i="18"/>
  <c r="AY193" i="18"/>
  <c r="AX193" i="18"/>
  <c r="AW193" i="18"/>
  <c r="AV193" i="18"/>
  <c r="AU193" i="18"/>
  <c r="AT193" i="18"/>
  <c r="AS193" i="18"/>
  <c r="AR193" i="18"/>
  <c r="AQ193" i="18"/>
  <c r="AP193" i="18"/>
  <c r="BG192" i="18"/>
  <c r="BD192" i="18"/>
  <c r="BC192" i="18"/>
  <c r="BB192" i="18"/>
  <c r="BA192" i="18"/>
  <c r="AZ192" i="18"/>
  <c r="AY192" i="18"/>
  <c r="AX192" i="18"/>
  <c r="AW192" i="18"/>
  <c r="AV192" i="18"/>
  <c r="AU192" i="18"/>
  <c r="AT192" i="18"/>
  <c r="AS192" i="18"/>
  <c r="AR192" i="18"/>
  <c r="AQ192" i="18"/>
  <c r="AP192" i="18"/>
  <c r="AN192" i="18"/>
  <c r="AC192" i="18" s="1"/>
  <c r="Z192" i="18"/>
  <c r="Y192" i="18"/>
  <c r="AA192" i="18" s="1"/>
  <c r="B192" i="18"/>
  <c r="BE191" i="18"/>
  <c r="BD191" i="18"/>
  <c r="BC191" i="18"/>
  <c r="BB191" i="18"/>
  <c r="BA191" i="18"/>
  <c r="AZ191" i="18"/>
  <c r="AY191" i="18"/>
  <c r="AX191" i="18"/>
  <c r="AW191" i="18"/>
  <c r="AV191" i="18"/>
  <c r="AU191" i="18"/>
  <c r="AT191" i="18"/>
  <c r="AS191" i="18"/>
  <c r="AR191" i="18"/>
  <c r="AQ191" i="18"/>
  <c r="AP191" i="18"/>
  <c r="BG190" i="18"/>
  <c r="BD190" i="18"/>
  <c r="BC190" i="18"/>
  <c r="BB190" i="18"/>
  <c r="BA190" i="18"/>
  <c r="AZ190" i="18"/>
  <c r="AY190" i="18"/>
  <c r="AX190" i="18"/>
  <c r="AW190" i="18"/>
  <c r="AV190" i="18"/>
  <c r="AU190" i="18"/>
  <c r="AT190" i="18"/>
  <c r="AS190" i="18"/>
  <c r="AR190" i="18"/>
  <c r="AQ190" i="18"/>
  <c r="AP190" i="18"/>
  <c r="AN190" i="18"/>
  <c r="AC190" i="18" s="1"/>
  <c r="Z190" i="18"/>
  <c r="Y190" i="18"/>
  <c r="AA190" i="18" s="1"/>
  <c r="B190" i="18"/>
  <c r="BE189" i="18"/>
  <c r="BD189" i="18"/>
  <c r="BC189" i="18"/>
  <c r="BB189" i="18"/>
  <c r="BA189" i="18"/>
  <c r="AZ189" i="18"/>
  <c r="AY189" i="18"/>
  <c r="AX189" i="18"/>
  <c r="AW189" i="18"/>
  <c r="AV189" i="18"/>
  <c r="AU189" i="18"/>
  <c r="AT189" i="18"/>
  <c r="AS189" i="18"/>
  <c r="AR189" i="18"/>
  <c r="AQ189" i="18"/>
  <c r="AP189" i="18"/>
  <c r="BG188" i="18"/>
  <c r="BD188" i="18"/>
  <c r="BC188" i="18"/>
  <c r="BB188" i="18"/>
  <c r="BA188" i="18"/>
  <c r="AZ188" i="18"/>
  <c r="AY188" i="18"/>
  <c r="AX188" i="18"/>
  <c r="AW188" i="18"/>
  <c r="AV188" i="18"/>
  <c r="AU188" i="18"/>
  <c r="AT188" i="18"/>
  <c r="AS188" i="18"/>
  <c r="AR188" i="18"/>
  <c r="AQ188" i="18"/>
  <c r="AP188" i="18"/>
  <c r="AN188" i="18"/>
  <c r="AC188" i="18" s="1"/>
  <c r="Z188" i="18"/>
  <c r="Y188" i="18"/>
  <c r="AA188" i="18" s="1"/>
  <c r="B188" i="18"/>
  <c r="BE187" i="18"/>
  <c r="BD187" i="18"/>
  <c r="BC187" i="18"/>
  <c r="BB187" i="18"/>
  <c r="BA187" i="18"/>
  <c r="AZ187" i="18"/>
  <c r="AY187" i="18"/>
  <c r="AX187" i="18"/>
  <c r="AW187" i="18"/>
  <c r="AV187" i="18"/>
  <c r="AU187" i="18"/>
  <c r="AT187" i="18"/>
  <c r="AS187" i="18"/>
  <c r="AR187" i="18"/>
  <c r="AQ187" i="18"/>
  <c r="AP187" i="18"/>
  <c r="BG186" i="18"/>
  <c r="BD186" i="18"/>
  <c r="BC186" i="18"/>
  <c r="BB186" i="18"/>
  <c r="BA186" i="18"/>
  <c r="AZ186" i="18"/>
  <c r="AY186" i="18"/>
  <c r="AX186" i="18"/>
  <c r="AW186" i="18"/>
  <c r="AV186" i="18"/>
  <c r="AU186" i="18"/>
  <c r="AT186" i="18"/>
  <c r="AS186" i="18"/>
  <c r="AR186" i="18"/>
  <c r="AQ186" i="18"/>
  <c r="AP186" i="18"/>
  <c r="AN186" i="18"/>
  <c r="AC186" i="18" s="1"/>
  <c r="Z186" i="18"/>
  <c r="Y186" i="18"/>
  <c r="AA186" i="18" s="1"/>
  <c r="B186" i="18"/>
  <c r="BE185" i="18"/>
  <c r="BD185" i="18"/>
  <c r="BC185" i="18"/>
  <c r="BB185" i="18"/>
  <c r="BA185" i="18"/>
  <c r="AZ185" i="18"/>
  <c r="AY185" i="18"/>
  <c r="AX185" i="18"/>
  <c r="AW185" i="18"/>
  <c r="AV185" i="18"/>
  <c r="AU185" i="18"/>
  <c r="AT185" i="18"/>
  <c r="AS185" i="18"/>
  <c r="AR185" i="18"/>
  <c r="AQ185" i="18"/>
  <c r="AP185" i="18"/>
  <c r="BG184" i="18"/>
  <c r="BD184" i="18"/>
  <c r="BC184" i="18"/>
  <c r="BB184" i="18"/>
  <c r="BA184" i="18"/>
  <c r="AZ184" i="18"/>
  <c r="AY184" i="18"/>
  <c r="AX184" i="18"/>
  <c r="AW184" i="18"/>
  <c r="AV184" i="18"/>
  <c r="AU184" i="18"/>
  <c r="AT184" i="18"/>
  <c r="AS184" i="18"/>
  <c r="AR184" i="18"/>
  <c r="AQ184" i="18"/>
  <c r="AP184" i="18"/>
  <c r="AN184" i="18"/>
  <c r="AC184" i="18" s="1"/>
  <c r="Z184" i="18"/>
  <c r="AD185" i="18" s="1"/>
  <c r="Y184" i="18"/>
  <c r="AA184" i="18" s="1"/>
  <c r="B184" i="18"/>
  <c r="BE183" i="18"/>
  <c r="BD183" i="18"/>
  <c r="BC183" i="18"/>
  <c r="BB183" i="18"/>
  <c r="BA183" i="18"/>
  <c r="AZ183" i="18"/>
  <c r="AY183" i="18"/>
  <c r="AX183" i="18"/>
  <c r="AW183" i="18"/>
  <c r="AV183" i="18"/>
  <c r="AU183" i="18"/>
  <c r="AT183" i="18"/>
  <c r="AS183" i="18"/>
  <c r="AR183" i="18"/>
  <c r="AQ183" i="18"/>
  <c r="AP183" i="18"/>
  <c r="BG182" i="18"/>
  <c r="BD182" i="18"/>
  <c r="BC182" i="18"/>
  <c r="BB182" i="18"/>
  <c r="BA182" i="18"/>
  <c r="AZ182" i="18"/>
  <c r="AY182" i="18"/>
  <c r="AX182" i="18"/>
  <c r="AW182" i="18"/>
  <c r="AV182" i="18"/>
  <c r="AU182" i="18"/>
  <c r="AT182" i="18"/>
  <c r="AS182" i="18"/>
  <c r="AR182" i="18"/>
  <c r="AQ182" i="18"/>
  <c r="AP182" i="18"/>
  <c r="AN182" i="18"/>
  <c r="AC182" i="18" s="1"/>
  <c r="Z182" i="18"/>
  <c r="AD183" i="18" s="1"/>
  <c r="Y182" i="18"/>
  <c r="AA182" i="18" s="1"/>
  <c r="B182" i="18"/>
  <c r="BE181" i="18"/>
  <c r="BD181" i="18"/>
  <c r="BC181" i="18"/>
  <c r="BB181" i="18"/>
  <c r="BA181" i="18"/>
  <c r="AZ181" i="18"/>
  <c r="AY181" i="18"/>
  <c r="AX181" i="18"/>
  <c r="AW181" i="18"/>
  <c r="AV181" i="18"/>
  <c r="AU181" i="18"/>
  <c r="AT181" i="18"/>
  <c r="AS181" i="18"/>
  <c r="AR181" i="18"/>
  <c r="AQ181" i="18"/>
  <c r="AP181" i="18"/>
  <c r="BG180" i="18"/>
  <c r="BD180" i="18"/>
  <c r="BC180" i="18"/>
  <c r="BB180" i="18"/>
  <c r="BA180" i="18"/>
  <c r="AZ180" i="18"/>
  <c r="AY180" i="18"/>
  <c r="AX180" i="18"/>
  <c r="AW180" i="18"/>
  <c r="AV180" i="18"/>
  <c r="AU180" i="18"/>
  <c r="AT180" i="18"/>
  <c r="AS180" i="18"/>
  <c r="AR180" i="18"/>
  <c r="AQ180" i="18"/>
  <c r="AP180" i="18"/>
  <c r="AN180" i="18"/>
  <c r="AC180" i="18" s="1"/>
  <c r="Z180" i="18"/>
  <c r="AD181" i="18" s="1"/>
  <c r="Y180" i="18"/>
  <c r="AA180" i="18" s="1"/>
  <c r="B180" i="18"/>
  <c r="BE179" i="18"/>
  <c r="BD179" i="18"/>
  <c r="BC179" i="18"/>
  <c r="BB179" i="18"/>
  <c r="BA179" i="18"/>
  <c r="AZ179" i="18"/>
  <c r="AY179" i="18"/>
  <c r="AX179" i="18"/>
  <c r="AW179" i="18"/>
  <c r="AV179" i="18"/>
  <c r="AU179" i="18"/>
  <c r="AT179" i="18"/>
  <c r="AS179" i="18"/>
  <c r="AR179" i="18"/>
  <c r="AQ179" i="18"/>
  <c r="AP179" i="18"/>
  <c r="BG178" i="18"/>
  <c r="BD178" i="18"/>
  <c r="BC178" i="18"/>
  <c r="BB178" i="18"/>
  <c r="BA178" i="18"/>
  <c r="AZ178" i="18"/>
  <c r="AY178" i="18"/>
  <c r="AX178" i="18"/>
  <c r="AW178" i="18"/>
  <c r="AV178" i="18"/>
  <c r="AU178" i="18"/>
  <c r="AT178" i="18"/>
  <c r="AS178" i="18"/>
  <c r="AR178" i="18"/>
  <c r="AQ178" i="18"/>
  <c r="AP178" i="18"/>
  <c r="AN178" i="18"/>
  <c r="AC178" i="18" s="1"/>
  <c r="Z178" i="18"/>
  <c r="AD179" i="18" s="1"/>
  <c r="Y178" i="18"/>
  <c r="AA178" i="18" s="1"/>
  <c r="B178" i="18"/>
  <c r="BE177" i="18"/>
  <c r="BD177" i="18"/>
  <c r="BC177" i="18"/>
  <c r="BB177" i="18"/>
  <c r="BA177" i="18"/>
  <c r="AZ177" i="18"/>
  <c r="AY177" i="18"/>
  <c r="AX177" i="18"/>
  <c r="AW177" i="18"/>
  <c r="AV177" i="18"/>
  <c r="AU177" i="18"/>
  <c r="AT177" i="18"/>
  <c r="AS177" i="18"/>
  <c r="AR177" i="18"/>
  <c r="AQ177" i="18"/>
  <c r="AP177" i="18"/>
  <c r="BG176" i="18"/>
  <c r="BD176" i="18"/>
  <c r="BC176" i="18"/>
  <c r="BB176" i="18"/>
  <c r="BA176" i="18"/>
  <c r="AZ176" i="18"/>
  <c r="AY176" i="18"/>
  <c r="AX176" i="18"/>
  <c r="AW176" i="18"/>
  <c r="AV176" i="18"/>
  <c r="AU176" i="18"/>
  <c r="AT176" i="18"/>
  <c r="AS176" i="18"/>
  <c r="AR176" i="18"/>
  <c r="AQ176" i="18"/>
  <c r="AP176" i="18"/>
  <c r="AN176" i="18"/>
  <c r="AC176" i="18" s="1"/>
  <c r="Z176" i="18"/>
  <c r="AD176" i="18" s="1"/>
  <c r="Y176" i="18"/>
  <c r="AA176" i="18" s="1"/>
  <c r="B176" i="18"/>
  <c r="BE175" i="18"/>
  <c r="BD175" i="18"/>
  <c r="BC175" i="18"/>
  <c r="BB175" i="18"/>
  <c r="BA175" i="18"/>
  <c r="AZ175" i="18"/>
  <c r="AY175" i="18"/>
  <c r="AX175" i="18"/>
  <c r="AW175" i="18"/>
  <c r="AV175" i="18"/>
  <c r="AU175" i="18"/>
  <c r="AT175" i="18"/>
  <c r="AS175" i="18"/>
  <c r="AR175" i="18"/>
  <c r="AQ175" i="18"/>
  <c r="AP175" i="18"/>
  <c r="BG174" i="18"/>
  <c r="BD174" i="18"/>
  <c r="BC174" i="18"/>
  <c r="BB174" i="18"/>
  <c r="BA174" i="18"/>
  <c r="AZ174" i="18"/>
  <c r="AY174" i="18"/>
  <c r="AX174" i="18"/>
  <c r="AW174" i="18"/>
  <c r="AV174" i="18"/>
  <c r="AU174" i="18"/>
  <c r="AT174" i="18"/>
  <c r="AS174" i="18"/>
  <c r="AR174" i="18"/>
  <c r="AQ174" i="18"/>
  <c r="AP174" i="18"/>
  <c r="AN174" i="18"/>
  <c r="AC174" i="18" s="1"/>
  <c r="Z174" i="18"/>
  <c r="AD174" i="18" s="1"/>
  <c r="Y174" i="18"/>
  <c r="AA174" i="18" s="1"/>
  <c r="B174" i="18"/>
  <c r="BE173" i="18"/>
  <c r="BD173" i="18"/>
  <c r="BC173" i="18"/>
  <c r="BB173" i="18"/>
  <c r="BA173" i="18"/>
  <c r="AZ173" i="18"/>
  <c r="AY173" i="18"/>
  <c r="AX173" i="18"/>
  <c r="AW173" i="18"/>
  <c r="AV173" i="18"/>
  <c r="AU173" i="18"/>
  <c r="AT173" i="18"/>
  <c r="AS173" i="18"/>
  <c r="AR173" i="18"/>
  <c r="AQ173" i="18"/>
  <c r="AP173" i="18"/>
  <c r="BG172" i="18"/>
  <c r="BD172" i="18"/>
  <c r="BC172" i="18"/>
  <c r="BB172" i="18"/>
  <c r="BA172" i="18"/>
  <c r="AZ172" i="18"/>
  <c r="AY172" i="18"/>
  <c r="AX172" i="18"/>
  <c r="AW172" i="18"/>
  <c r="AV172" i="18"/>
  <c r="AU172" i="18"/>
  <c r="AT172" i="18"/>
  <c r="AS172" i="18"/>
  <c r="AR172" i="18"/>
  <c r="AQ172" i="18"/>
  <c r="AP172" i="18"/>
  <c r="AN172" i="18"/>
  <c r="AC172" i="18" s="1"/>
  <c r="Z172" i="18"/>
  <c r="AD173" i="18" s="1"/>
  <c r="Y172" i="18"/>
  <c r="AA172" i="18" s="1"/>
  <c r="B172" i="18"/>
  <c r="BE171" i="18"/>
  <c r="BD171" i="18"/>
  <c r="BC171" i="18"/>
  <c r="BB171" i="18"/>
  <c r="BA171" i="18"/>
  <c r="AZ171" i="18"/>
  <c r="AY171" i="18"/>
  <c r="AX171" i="18"/>
  <c r="AW171" i="18"/>
  <c r="AV171" i="18"/>
  <c r="AU171" i="18"/>
  <c r="AT171" i="18"/>
  <c r="AS171" i="18"/>
  <c r="AR171" i="18"/>
  <c r="AQ171" i="18"/>
  <c r="AP171" i="18"/>
  <c r="BG170" i="18"/>
  <c r="BD170" i="18"/>
  <c r="BC170" i="18"/>
  <c r="BB170" i="18"/>
  <c r="BA170" i="18"/>
  <c r="AZ170" i="18"/>
  <c r="AY170" i="18"/>
  <c r="AX170" i="18"/>
  <c r="AW170" i="18"/>
  <c r="AV170" i="18"/>
  <c r="AU170" i="18"/>
  <c r="AT170" i="18"/>
  <c r="AS170" i="18"/>
  <c r="AR170" i="18"/>
  <c r="AQ170" i="18"/>
  <c r="AP170" i="18"/>
  <c r="AN170" i="18"/>
  <c r="AC170" i="18" s="1"/>
  <c r="Z170" i="18"/>
  <c r="AD171" i="18" s="1"/>
  <c r="Y170" i="18"/>
  <c r="AA170" i="18" s="1"/>
  <c r="B170" i="18"/>
  <c r="BE169" i="18"/>
  <c r="BD169" i="18"/>
  <c r="BC169" i="18"/>
  <c r="BB169" i="18"/>
  <c r="BA169" i="18"/>
  <c r="AZ169" i="18"/>
  <c r="AY169" i="18"/>
  <c r="AX169" i="18"/>
  <c r="AW169" i="18"/>
  <c r="AV169" i="18"/>
  <c r="AU169" i="18"/>
  <c r="AT169" i="18"/>
  <c r="AS169" i="18"/>
  <c r="AR169" i="18"/>
  <c r="AQ169" i="18"/>
  <c r="AP169" i="18"/>
  <c r="BG168" i="18"/>
  <c r="BD168" i="18"/>
  <c r="BC168" i="18"/>
  <c r="BB168" i="18"/>
  <c r="BA168" i="18"/>
  <c r="AZ168" i="18"/>
  <c r="AY168" i="18"/>
  <c r="AX168" i="18"/>
  <c r="AW168" i="18"/>
  <c r="AV168" i="18"/>
  <c r="AU168" i="18"/>
  <c r="AT168" i="18"/>
  <c r="AS168" i="18"/>
  <c r="AR168" i="18"/>
  <c r="AQ168" i="18"/>
  <c r="AP168" i="18"/>
  <c r="AN168" i="18"/>
  <c r="AC168" i="18" s="1"/>
  <c r="Z168" i="18"/>
  <c r="AD168" i="18" s="1"/>
  <c r="Y168" i="18"/>
  <c r="AA168" i="18" s="1"/>
  <c r="B168" i="18"/>
  <c r="BE167" i="18"/>
  <c r="BD167" i="18"/>
  <c r="BC167" i="18"/>
  <c r="BB167" i="18"/>
  <c r="BA167" i="18"/>
  <c r="AZ167" i="18"/>
  <c r="AY167" i="18"/>
  <c r="AX167" i="18"/>
  <c r="AW167" i="18"/>
  <c r="AV167" i="18"/>
  <c r="AU167" i="18"/>
  <c r="AT167" i="18"/>
  <c r="AS167" i="18"/>
  <c r="AR167" i="18"/>
  <c r="AQ167" i="18"/>
  <c r="AP167" i="18"/>
  <c r="BG166" i="18"/>
  <c r="BD166" i="18"/>
  <c r="BC166" i="18"/>
  <c r="BB166" i="18"/>
  <c r="BA166" i="18"/>
  <c r="AZ166" i="18"/>
  <c r="AY166" i="18"/>
  <c r="AX166" i="18"/>
  <c r="AW166" i="18"/>
  <c r="AV166" i="18"/>
  <c r="AU166" i="18"/>
  <c r="AT166" i="18"/>
  <c r="AS166" i="18"/>
  <c r="AR166" i="18"/>
  <c r="AQ166" i="18"/>
  <c r="AP166" i="18"/>
  <c r="AN166" i="18"/>
  <c r="AC166" i="18" s="1"/>
  <c r="Z166" i="18"/>
  <c r="AD166" i="18" s="1"/>
  <c r="Y166" i="18"/>
  <c r="AA166" i="18" s="1"/>
  <c r="B166" i="18"/>
  <c r="BE165" i="18"/>
  <c r="BD165" i="18"/>
  <c r="BC165" i="18"/>
  <c r="BB165" i="18"/>
  <c r="BA165" i="18"/>
  <c r="AZ165" i="18"/>
  <c r="AY165" i="18"/>
  <c r="AX165" i="18"/>
  <c r="AW165" i="18"/>
  <c r="AV165" i="18"/>
  <c r="AU165" i="18"/>
  <c r="AT165" i="18"/>
  <c r="AS165" i="18"/>
  <c r="AR165" i="18"/>
  <c r="AQ165" i="18"/>
  <c r="AP165" i="18"/>
  <c r="BG164" i="18"/>
  <c r="BD164" i="18"/>
  <c r="BC164" i="18"/>
  <c r="BB164" i="18"/>
  <c r="BA164" i="18"/>
  <c r="AZ164" i="18"/>
  <c r="AY164" i="18"/>
  <c r="AX164" i="18"/>
  <c r="AW164" i="18"/>
  <c r="AV164" i="18"/>
  <c r="AU164" i="18"/>
  <c r="AT164" i="18"/>
  <c r="AS164" i="18"/>
  <c r="AR164" i="18"/>
  <c r="AQ164" i="18"/>
  <c r="AP164" i="18"/>
  <c r="AN164" i="18"/>
  <c r="AC164" i="18" s="1"/>
  <c r="Z164" i="18"/>
  <c r="AD164" i="18" s="1"/>
  <c r="Y164" i="18"/>
  <c r="AA164" i="18" s="1"/>
  <c r="B164" i="18"/>
  <c r="BE163" i="18"/>
  <c r="BD163" i="18"/>
  <c r="BC163" i="18"/>
  <c r="BB163" i="18"/>
  <c r="BA163" i="18"/>
  <c r="AZ163" i="18"/>
  <c r="AY163" i="18"/>
  <c r="AX163" i="18"/>
  <c r="AW163" i="18"/>
  <c r="AV163" i="18"/>
  <c r="AU163" i="18"/>
  <c r="AT163" i="18"/>
  <c r="AS163" i="18"/>
  <c r="AR163" i="18"/>
  <c r="AQ163" i="18"/>
  <c r="AP163" i="18"/>
  <c r="BG162" i="18"/>
  <c r="BD162" i="18"/>
  <c r="BC162" i="18"/>
  <c r="BB162" i="18"/>
  <c r="BA162" i="18"/>
  <c r="AZ162" i="18"/>
  <c r="AY162" i="18"/>
  <c r="AX162" i="18"/>
  <c r="AW162" i="18"/>
  <c r="AV162" i="18"/>
  <c r="AU162" i="18"/>
  <c r="AT162" i="18"/>
  <c r="AS162" i="18"/>
  <c r="AR162" i="18"/>
  <c r="AQ162" i="18"/>
  <c r="AP162" i="18"/>
  <c r="AN162" i="18"/>
  <c r="AC162" i="18" s="1"/>
  <c r="Z162" i="18"/>
  <c r="AD163" i="18" s="1"/>
  <c r="Y162" i="18"/>
  <c r="AA162" i="18" s="1"/>
  <c r="B162" i="18"/>
  <c r="BE161" i="18"/>
  <c r="BD161" i="18"/>
  <c r="BC161" i="18"/>
  <c r="BB161" i="18"/>
  <c r="BA161" i="18"/>
  <c r="AZ161" i="18"/>
  <c r="AY161" i="18"/>
  <c r="AX161" i="18"/>
  <c r="AW161" i="18"/>
  <c r="AV161" i="18"/>
  <c r="AU161" i="18"/>
  <c r="AT161" i="18"/>
  <c r="AS161" i="18"/>
  <c r="AR161" i="18"/>
  <c r="AQ161" i="18"/>
  <c r="AP161" i="18"/>
  <c r="BG160" i="18"/>
  <c r="BD160" i="18"/>
  <c r="BC160" i="18"/>
  <c r="BB160" i="18"/>
  <c r="BA160" i="18"/>
  <c r="AZ160" i="18"/>
  <c r="AY160" i="18"/>
  <c r="AX160" i="18"/>
  <c r="AW160" i="18"/>
  <c r="AV160" i="18"/>
  <c r="AU160" i="18"/>
  <c r="AT160" i="18"/>
  <c r="AS160" i="18"/>
  <c r="AR160" i="18"/>
  <c r="AQ160" i="18"/>
  <c r="AP160" i="18"/>
  <c r="AN160" i="18"/>
  <c r="AC160" i="18" s="1"/>
  <c r="Z160" i="18"/>
  <c r="AD160" i="18" s="1"/>
  <c r="Y160" i="18"/>
  <c r="AA160" i="18" s="1"/>
  <c r="B160" i="18"/>
  <c r="BE159" i="18"/>
  <c r="BD159" i="18"/>
  <c r="BC159" i="18"/>
  <c r="BB159" i="18"/>
  <c r="BA159" i="18"/>
  <c r="AZ159" i="18"/>
  <c r="AY159" i="18"/>
  <c r="AX159" i="18"/>
  <c r="AW159" i="18"/>
  <c r="AV159" i="18"/>
  <c r="AU159" i="18"/>
  <c r="AT159" i="18"/>
  <c r="AS159" i="18"/>
  <c r="AR159" i="18"/>
  <c r="AQ159" i="18"/>
  <c r="AP159" i="18"/>
  <c r="BG158" i="18"/>
  <c r="BD158" i="18"/>
  <c r="BC158" i="18"/>
  <c r="BB158" i="18"/>
  <c r="BA158" i="18"/>
  <c r="AZ158" i="18"/>
  <c r="AY158" i="18"/>
  <c r="AX158" i="18"/>
  <c r="AW158" i="18"/>
  <c r="AV158" i="18"/>
  <c r="AU158" i="18"/>
  <c r="AT158" i="18"/>
  <c r="AS158" i="18"/>
  <c r="AR158" i="18"/>
  <c r="AQ158" i="18"/>
  <c r="AP158" i="18"/>
  <c r="AN158" i="18"/>
  <c r="AC158" i="18" s="1"/>
  <c r="Z158" i="18"/>
  <c r="AD158" i="18" s="1"/>
  <c r="Y158" i="18"/>
  <c r="AA158" i="18" s="1"/>
  <c r="B158" i="18"/>
  <c r="BE157" i="18"/>
  <c r="BD157" i="18"/>
  <c r="BC157" i="18"/>
  <c r="BB157" i="18"/>
  <c r="BA157" i="18"/>
  <c r="AZ157" i="18"/>
  <c r="AY157" i="18"/>
  <c r="AX157" i="18"/>
  <c r="AW157" i="18"/>
  <c r="AV157" i="18"/>
  <c r="AU157" i="18"/>
  <c r="AT157" i="18"/>
  <c r="AS157" i="18"/>
  <c r="AR157" i="18"/>
  <c r="AQ157" i="18"/>
  <c r="AP157" i="18"/>
  <c r="BG156" i="18"/>
  <c r="BD156" i="18"/>
  <c r="BC156" i="18"/>
  <c r="BB156" i="18"/>
  <c r="BA156" i="18"/>
  <c r="AZ156" i="18"/>
  <c r="AY156" i="18"/>
  <c r="AX156" i="18"/>
  <c r="AW156" i="18"/>
  <c r="AV156" i="18"/>
  <c r="AU156" i="18"/>
  <c r="AT156" i="18"/>
  <c r="AS156" i="18"/>
  <c r="AR156" i="18"/>
  <c r="AQ156" i="18"/>
  <c r="AP156" i="18"/>
  <c r="AN156" i="18"/>
  <c r="AC156" i="18" s="1"/>
  <c r="Z156" i="18"/>
  <c r="AD157" i="18" s="1"/>
  <c r="Y156" i="18"/>
  <c r="AA156" i="18" s="1"/>
  <c r="B156" i="18"/>
  <c r="BE155" i="18"/>
  <c r="BD155" i="18"/>
  <c r="BC155" i="18"/>
  <c r="BB155" i="18"/>
  <c r="BA155" i="18"/>
  <c r="AZ155" i="18"/>
  <c r="AY155" i="18"/>
  <c r="AX155" i="18"/>
  <c r="AW155" i="18"/>
  <c r="AV155" i="18"/>
  <c r="AU155" i="18"/>
  <c r="AT155" i="18"/>
  <c r="AS155" i="18"/>
  <c r="AR155" i="18"/>
  <c r="AQ155" i="18"/>
  <c r="AP155" i="18"/>
  <c r="BG154" i="18"/>
  <c r="BD154" i="18"/>
  <c r="BC154" i="18"/>
  <c r="BB154" i="18"/>
  <c r="BA154" i="18"/>
  <c r="AZ154" i="18"/>
  <c r="AY154" i="18"/>
  <c r="AX154" i="18"/>
  <c r="AW154" i="18"/>
  <c r="AV154" i="18"/>
  <c r="AU154" i="18"/>
  <c r="AT154" i="18"/>
  <c r="AS154" i="18"/>
  <c r="AR154" i="18"/>
  <c r="AQ154" i="18"/>
  <c r="AP154" i="18"/>
  <c r="AN154" i="18"/>
  <c r="AC154" i="18" s="1"/>
  <c r="Z154" i="18"/>
  <c r="AD155" i="18" s="1"/>
  <c r="Y154" i="18"/>
  <c r="AA154" i="18" s="1"/>
  <c r="B154" i="18"/>
  <c r="BE153" i="18"/>
  <c r="BD153" i="18"/>
  <c r="BC153" i="18"/>
  <c r="BB153" i="18"/>
  <c r="BA153" i="18"/>
  <c r="AZ153" i="18"/>
  <c r="AY153" i="18"/>
  <c r="AX153" i="18"/>
  <c r="AW153" i="18"/>
  <c r="AV153" i="18"/>
  <c r="AU153" i="18"/>
  <c r="AT153" i="18"/>
  <c r="AS153" i="18"/>
  <c r="AR153" i="18"/>
  <c r="AQ153" i="18"/>
  <c r="AP153" i="18"/>
  <c r="BG152" i="18"/>
  <c r="BD152" i="18"/>
  <c r="BC152" i="18"/>
  <c r="BB152" i="18"/>
  <c r="BA152" i="18"/>
  <c r="AZ152" i="18"/>
  <c r="AY152" i="18"/>
  <c r="AX152" i="18"/>
  <c r="AW152" i="18"/>
  <c r="AV152" i="18"/>
  <c r="AU152" i="18"/>
  <c r="AT152" i="18"/>
  <c r="AS152" i="18"/>
  <c r="AR152" i="18"/>
  <c r="AQ152" i="18"/>
  <c r="AP152" i="18"/>
  <c r="AN152" i="18"/>
  <c r="AC152" i="18" s="1"/>
  <c r="Z152" i="18"/>
  <c r="AD152" i="18" s="1"/>
  <c r="Y152" i="18"/>
  <c r="AA152" i="18" s="1"/>
  <c r="B152" i="18"/>
  <c r="BE151" i="18"/>
  <c r="BD151" i="18"/>
  <c r="BC151" i="18"/>
  <c r="BB151" i="18"/>
  <c r="BA151" i="18"/>
  <c r="AZ151" i="18"/>
  <c r="AY151" i="18"/>
  <c r="AX151" i="18"/>
  <c r="AW151" i="18"/>
  <c r="AV151" i="18"/>
  <c r="AU151" i="18"/>
  <c r="AT151" i="18"/>
  <c r="AS151" i="18"/>
  <c r="AR151" i="18"/>
  <c r="AQ151" i="18"/>
  <c r="AP151" i="18"/>
  <c r="BG150" i="18"/>
  <c r="BD150" i="18"/>
  <c r="BC150" i="18"/>
  <c r="BB150" i="18"/>
  <c r="BA150" i="18"/>
  <c r="AZ150" i="18"/>
  <c r="AY150" i="18"/>
  <c r="AX150" i="18"/>
  <c r="AW150" i="18"/>
  <c r="AV150" i="18"/>
  <c r="AU150" i="18"/>
  <c r="AT150" i="18"/>
  <c r="AS150" i="18"/>
  <c r="AR150" i="18"/>
  <c r="AQ150" i="18"/>
  <c r="AP150" i="18"/>
  <c r="AN150" i="18"/>
  <c r="AC150" i="18" s="1"/>
  <c r="Z150" i="18"/>
  <c r="AD150" i="18" s="1"/>
  <c r="Y150" i="18"/>
  <c r="AA150" i="18" s="1"/>
  <c r="B150" i="18"/>
  <c r="BE149" i="18"/>
  <c r="BD149" i="18"/>
  <c r="BC149" i="18"/>
  <c r="BB149" i="18"/>
  <c r="BA149" i="18"/>
  <c r="AZ149" i="18"/>
  <c r="AY149" i="18"/>
  <c r="AX149" i="18"/>
  <c r="AW149" i="18"/>
  <c r="AV149" i="18"/>
  <c r="AU149" i="18"/>
  <c r="AT149" i="18"/>
  <c r="AS149" i="18"/>
  <c r="AR149" i="18"/>
  <c r="AQ149" i="18"/>
  <c r="AP149" i="18"/>
  <c r="BG148" i="18"/>
  <c r="BD148" i="18"/>
  <c r="BC148" i="18"/>
  <c r="BB148" i="18"/>
  <c r="BA148" i="18"/>
  <c r="AZ148" i="18"/>
  <c r="AY148" i="18"/>
  <c r="AX148" i="18"/>
  <c r="AW148" i="18"/>
  <c r="AV148" i="18"/>
  <c r="AU148" i="18"/>
  <c r="AT148" i="18"/>
  <c r="AS148" i="18"/>
  <c r="AR148" i="18"/>
  <c r="AQ148" i="18"/>
  <c r="AP148" i="18"/>
  <c r="AN148" i="18"/>
  <c r="AC148" i="18" s="1"/>
  <c r="Z148" i="18"/>
  <c r="AD148" i="18" s="1"/>
  <c r="Y148" i="18"/>
  <c r="AA148" i="18" s="1"/>
  <c r="B148" i="18"/>
  <c r="BE147" i="18"/>
  <c r="BD147" i="18"/>
  <c r="BC147" i="18"/>
  <c r="BB147" i="18"/>
  <c r="BA147" i="18"/>
  <c r="AZ147" i="18"/>
  <c r="AY147" i="18"/>
  <c r="AX147" i="18"/>
  <c r="AW147" i="18"/>
  <c r="AV147" i="18"/>
  <c r="AU147" i="18"/>
  <c r="AT147" i="18"/>
  <c r="AS147" i="18"/>
  <c r="AR147" i="18"/>
  <c r="AQ147" i="18"/>
  <c r="AP147" i="18"/>
  <c r="BG146" i="18"/>
  <c r="BD146" i="18"/>
  <c r="BC146" i="18"/>
  <c r="BB146" i="18"/>
  <c r="BA146" i="18"/>
  <c r="AZ146" i="18"/>
  <c r="AY146" i="18"/>
  <c r="AX146" i="18"/>
  <c r="AW146" i="18"/>
  <c r="AV146" i="18"/>
  <c r="AU146" i="18"/>
  <c r="AT146" i="18"/>
  <c r="AS146" i="18"/>
  <c r="AR146" i="18"/>
  <c r="AQ146" i="18"/>
  <c r="AP146" i="18"/>
  <c r="AN146" i="18"/>
  <c r="AC146" i="18" s="1"/>
  <c r="Z146" i="18"/>
  <c r="AD146" i="18" s="1"/>
  <c r="Y146" i="18"/>
  <c r="AA146" i="18" s="1"/>
  <c r="B146" i="18"/>
  <c r="BE145" i="18"/>
  <c r="BD145" i="18"/>
  <c r="BC145" i="18"/>
  <c r="BB145" i="18"/>
  <c r="BA145" i="18"/>
  <c r="AZ145" i="18"/>
  <c r="AY145" i="18"/>
  <c r="AX145" i="18"/>
  <c r="AW145" i="18"/>
  <c r="AV145" i="18"/>
  <c r="AU145" i="18"/>
  <c r="AT145" i="18"/>
  <c r="AS145" i="18"/>
  <c r="AR145" i="18"/>
  <c r="AQ145" i="18"/>
  <c r="AP145" i="18"/>
  <c r="BG144" i="18"/>
  <c r="BD144" i="18"/>
  <c r="BC144" i="18"/>
  <c r="BB144" i="18"/>
  <c r="BA144" i="18"/>
  <c r="AZ144" i="18"/>
  <c r="AY144" i="18"/>
  <c r="AX144" i="18"/>
  <c r="AW144" i="18"/>
  <c r="AV144" i="18"/>
  <c r="AU144" i="18"/>
  <c r="AT144" i="18"/>
  <c r="AS144" i="18"/>
  <c r="AR144" i="18"/>
  <c r="AQ144" i="18"/>
  <c r="AP144" i="18"/>
  <c r="AN144" i="18"/>
  <c r="AC144" i="18" s="1"/>
  <c r="Z144" i="18"/>
  <c r="Y144" i="18"/>
  <c r="AA144" i="18" s="1"/>
  <c r="B144" i="18"/>
  <c r="BE143" i="18"/>
  <c r="BD143" i="18"/>
  <c r="BC143" i="18"/>
  <c r="BB143" i="18"/>
  <c r="BA143" i="18"/>
  <c r="AZ143" i="18"/>
  <c r="AY143" i="18"/>
  <c r="AX143" i="18"/>
  <c r="AW143" i="18"/>
  <c r="AV143" i="18"/>
  <c r="AU143" i="18"/>
  <c r="AT143" i="18"/>
  <c r="AS143" i="18"/>
  <c r="AR143" i="18"/>
  <c r="AQ143" i="18"/>
  <c r="AP143" i="18"/>
  <c r="BG142" i="18"/>
  <c r="BD142" i="18"/>
  <c r="BC142" i="18"/>
  <c r="BB142" i="18"/>
  <c r="BA142" i="18"/>
  <c r="AZ142" i="18"/>
  <c r="AY142" i="18"/>
  <c r="AX142" i="18"/>
  <c r="AW142" i="18"/>
  <c r="AV142" i="18"/>
  <c r="AU142" i="18"/>
  <c r="AT142" i="18"/>
  <c r="AS142" i="18"/>
  <c r="AR142" i="18"/>
  <c r="AQ142" i="18"/>
  <c r="AP142" i="18"/>
  <c r="AN142" i="18"/>
  <c r="AC142" i="18" s="1"/>
  <c r="Z142" i="18"/>
  <c r="Y142" i="18"/>
  <c r="AA142" i="18" s="1"/>
  <c r="B142" i="18"/>
  <c r="BE141" i="18"/>
  <c r="BD141" i="18"/>
  <c r="BC141" i="18"/>
  <c r="BB141" i="18"/>
  <c r="BA141" i="18"/>
  <c r="AZ141" i="18"/>
  <c r="AY141" i="18"/>
  <c r="AX141" i="18"/>
  <c r="AW141" i="18"/>
  <c r="AV141" i="18"/>
  <c r="AU141" i="18"/>
  <c r="AT141" i="18"/>
  <c r="AS141" i="18"/>
  <c r="AR141" i="18"/>
  <c r="AQ141" i="18"/>
  <c r="AP141" i="18"/>
  <c r="BG140" i="18"/>
  <c r="BD140" i="18"/>
  <c r="BC140" i="18"/>
  <c r="BB140" i="18"/>
  <c r="BA140" i="18"/>
  <c r="AZ140" i="18"/>
  <c r="AY140" i="18"/>
  <c r="AX140" i="18"/>
  <c r="AW140" i="18"/>
  <c r="AV140" i="18"/>
  <c r="AU140" i="18"/>
  <c r="AT140" i="18"/>
  <c r="AS140" i="18"/>
  <c r="AR140" i="18"/>
  <c r="AQ140" i="18"/>
  <c r="AP140" i="18"/>
  <c r="AN140" i="18"/>
  <c r="AC140" i="18" s="1"/>
  <c r="Z140" i="18"/>
  <c r="Y140" i="18"/>
  <c r="AA140" i="18" s="1"/>
  <c r="B140" i="18"/>
  <c r="BE139" i="18"/>
  <c r="BD139" i="18"/>
  <c r="BC139" i="18"/>
  <c r="BB139" i="18"/>
  <c r="BA139" i="18"/>
  <c r="AZ139" i="18"/>
  <c r="AY139" i="18"/>
  <c r="AX139" i="18"/>
  <c r="AW139" i="18"/>
  <c r="AV139" i="18"/>
  <c r="AU139" i="18"/>
  <c r="AT139" i="18"/>
  <c r="AS139" i="18"/>
  <c r="AR139" i="18"/>
  <c r="AQ139" i="18"/>
  <c r="AP139" i="18"/>
  <c r="BG138" i="18"/>
  <c r="BD138" i="18"/>
  <c r="BC138" i="18"/>
  <c r="BB138" i="18"/>
  <c r="BA138" i="18"/>
  <c r="AZ138" i="18"/>
  <c r="AY138" i="18"/>
  <c r="AX138" i="18"/>
  <c r="AW138" i="18"/>
  <c r="AV138" i="18"/>
  <c r="AU138" i="18"/>
  <c r="AT138" i="18"/>
  <c r="AS138" i="18"/>
  <c r="AR138" i="18"/>
  <c r="AQ138" i="18"/>
  <c r="AP138" i="18"/>
  <c r="AN138" i="18"/>
  <c r="AC138" i="18" s="1"/>
  <c r="Z138" i="18"/>
  <c r="Y138" i="18"/>
  <c r="AA138" i="18" s="1"/>
  <c r="B138" i="18"/>
  <c r="BE137" i="18"/>
  <c r="BD137" i="18"/>
  <c r="BC137" i="18"/>
  <c r="BB137" i="18"/>
  <c r="BA137" i="18"/>
  <c r="AZ137" i="18"/>
  <c r="AY137" i="18"/>
  <c r="AX137" i="18"/>
  <c r="AW137" i="18"/>
  <c r="AV137" i="18"/>
  <c r="AU137" i="18"/>
  <c r="AT137" i="18"/>
  <c r="AS137" i="18"/>
  <c r="AR137" i="18"/>
  <c r="AQ137" i="18"/>
  <c r="AP137" i="18"/>
  <c r="BG136" i="18"/>
  <c r="BD136" i="18"/>
  <c r="BC136" i="18"/>
  <c r="BB136" i="18"/>
  <c r="BA136" i="18"/>
  <c r="AZ136" i="18"/>
  <c r="AY136" i="18"/>
  <c r="AX136" i="18"/>
  <c r="AW136" i="18"/>
  <c r="AV136" i="18"/>
  <c r="AU136" i="18"/>
  <c r="AT136" i="18"/>
  <c r="AS136" i="18"/>
  <c r="AR136" i="18"/>
  <c r="AQ136" i="18"/>
  <c r="AP136" i="18"/>
  <c r="AN136" i="18"/>
  <c r="AC136" i="18" s="1"/>
  <c r="Z136" i="18"/>
  <c r="AD137" i="18" s="1"/>
  <c r="Y136" i="18"/>
  <c r="AA136" i="18" s="1"/>
  <c r="B136" i="18"/>
  <c r="BE135" i="18"/>
  <c r="BD135" i="18"/>
  <c r="BC135" i="18"/>
  <c r="BB135" i="18"/>
  <c r="BA135" i="18"/>
  <c r="AZ135" i="18"/>
  <c r="AY135" i="18"/>
  <c r="AX135" i="18"/>
  <c r="AW135" i="18"/>
  <c r="AV135" i="18"/>
  <c r="AU135" i="18"/>
  <c r="AT135" i="18"/>
  <c r="AS135" i="18"/>
  <c r="AR135" i="18"/>
  <c r="AQ135" i="18"/>
  <c r="AP135" i="18"/>
  <c r="BG134" i="18"/>
  <c r="BD134" i="18"/>
  <c r="BC134" i="18"/>
  <c r="BB134" i="18"/>
  <c r="BA134" i="18"/>
  <c r="AZ134" i="18"/>
  <c r="AY134" i="18"/>
  <c r="AX134" i="18"/>
  <c r="AW134" i="18"/>
  <c r="AV134" i="18"/>
  <c r="AU134" i="18"/>
  <c r="AT134" i="18"/>
  <c r="AS134" i="18"/>
  <c r="AR134" i="18"/>
  <c r="AQ134" i="18"/>
  <c r="AP134" i="18"/>
  <c r="AN134" i="18"/>
  <c r="AC134" i="18" s="1"/>
  <c r="Z134" i="18"/>
  <c r="AD135" i="18" s="1"/>
  <c r="Y134" i="18"/>
  <c r="AA134" i="18" s="1"/>
  <c r="B134" i="18"/>
  <c r="BE133" i="18"/>
  <c r="BD133" i="18"/>
  <c r="BC133" i="18"/>
  <c r="BB133" i="18"/>
  <c r="BA133" i="18"/>
  <c r="AZ133" i="18"/>
  <c r="AY133" i="18"/>
  <c r="AX133" i="18"/>
  <c r="AW133" i="18"/>
  <c r="AV133" i="18"/>
  <c r="AU133" i="18"/>
  <c r="AT133" i="18"/>
  <c r="AS133" i="18"/>
  <c r="AR133" i="18"/>
  <c r="AQ133" i="18"/>
  <c r="AP133" i="18"/>
  <c r="BG132" i="18"/>
  <c r="BD132" i="18"/>
  <c r="BC132" i="18"/>
  <c r="BB132" i="18"/>
  <c r="BA132" i="18"/>
  <c r="AZ132" i="18"/>
  <c r="AY132" i="18"/>
  <c r="AX132" i="18"/>
  <c r="AW132" i="18"/>
  <c r="AV132" i="18"/>
  <c r="AU132" i="18"/>
  <c r="AT132" i="18"/>
  <c r="AS132" i="18"/>
  <c r="AR132" i="18"/>
  <c r="AQ132" i="18"/>
  <c r="AP132" i="18"/>
  <c r="AN132" i="18"/>
  <c r="AC132" i="18" s="1"/>
  <c r="Z132" i="18"/>
  <c r="AD133" i="18" s="1"/>
  <c r="Y132" i="18"/>
  <c r="AA132" i="18" s="1"/>
  <c r="B132" i="18"/>
  <c r="BE131" i="18"/>
  <c r="BD131" i="18"/>
  <c r="BC131" i="18"/>
  <c r="BB131" i="18"/>
  <c r="BA131" i="18"/>
  <c r="AZ131" i="18"/>
  <c r="AY131" i="18"/>
  <c r="AX131" i="18"/>
  <c r="AW131" i="18"/>
  <c r="AV131" i="18"/>
  <c r="AU131" i="18"/>
  <c r="AT131" i="18"/>
  <c r="AS131" i="18"/>
  <c r="AR131" i="18"/>
  <c r="AQ131" i="18"/>
  <c r="AP131" i="18"/>
  <c r="BG130" i="18"/>
  <c r="BD130" i="18"/>
  <c r="BC130" i="18"/>
  <c r="BB130" i="18"/>
  <c r="BA130" i="18"/>
  <c r="AZ130" i="18"/>
  <c r="AY130" i="18"/>
  <c r="AX130" i="18"/>
  <c r="AW130" i="18"/>
  <c r="AV130" i="18"/>
  <c r="AU130" i="18"/>
  <c r="AT130" i="18"/>
  <c r="AS130" i="18"/>
  <c r="AR130" i="18"/>
  <c r="AQ130" i="18"/>
  <c r="AP130" i="18"/>
  <c r="AN130" i="18"/>
  <c r="AC130" i="18" s="1"/>
  <c r="Z130" i="18"/>
  <c r="AD131" i="18" s="1"/>
  <c r="Y130" i="18"/>
  <c r="AA130" i="18" s="1"/>
  <c r="B130" i="18"/>
  <c r="BE129" i="18"/>
  <c r="BD129" i="18"/>
  <c r="BC129" i="18"/>
  <c r="BB129" i="18"/>
  <c r="BA129" i="18"/>
  <c r="AZ129" i="18"/>
  <c r="AY129" i="18"/>
  <c r="AX129" i="18"/>
  <c r="AW129" i="18"/>
  <c r="AV129" i="18"/>
  <c r="AU129" i="18"/>
  <c r="AT129" i="18"/>
  <c r="AS129" i="18"/>
  <c r="AR129" i="18"/>
  <c r="AQ129" i="18"/>
  <c r="AP129" i="18"/>
  <c r="BG128" i="18"/>
  <c r="BD128" i="18"/>
  <c r="BC128" i="18"/>
  <c r="BB128" i="18"/>
  <c r="BA128" i="18"/>
  <c r="AZ128" i="18"/>
  <c r="AY128" i="18"/>
  <c r="AX128" i="18"/>
  <c r="AW128" i="18"/>
  <c r="AV128" i="18"/>
  <c r="AU128" i="18"/>
  <c r="AT128" i="18"/>
  <c r="AS128" i="18"/>
  <c r="AR128" i="18"/>
  <c r="AQ128" i="18"/>
  <c r="AP128" i="18"/>
  <c r="AN128" i="18"/>
  <c r="AC128" i="18" s="1"/>
  <c r="Z128" i="18"/>
  <c r="AD128" i="18" s="1"/>
  <c r="Y128" i="18"/>
  <c r="AA128" i="18" s="1"/>
  <c r="B128" i="18"/>
  <c r="BE127" i="18"/>
  <c r="BD127" i="18"/>
  <c r="BC127" i="18"/>
  <c r="BB127" i="18"/>
  <c r="BA127" i="18"/>
  <c r="AZ127" i="18"/>
  <c r="AY127" i="18"/>
  <c r="AX127" i="18"/>
  <c r="AW127" i="18"/>
  <c r="AV127" i="18"/>
  <c r="AU127" i="18"/>
  <c r="AT127" i="18"/>
  <c r="AS127" i="18"/>
  <c r="AR127" i="18"/>
  <c r="AQ127" i="18"/>
  <c r="AP127" i="18"/>
  <c r="AD127" i="18"/>
  <c r="BG126" i="18"/>
  <c r="BD126" i="18"/>
  <c r="BC126" i="18"/>
  <c r="BB126" i="18"/>
  <c r="BA126" i="18"/>
  <c r="AZ126" i="18"/>
  <c r="AY126" i="18"/>
  <c r="AX126" i="18"/>
  <c r="AW126" i="18"/>
  <c r="AV126" i="18"/>
  <c r="AU126" i="18"/>
  <c r="AT126" i="18"/>
  <c r="AS126" i="18"/>
  <c r="AR126" i="18"/>
  <c r="AQ126" i="18"/>
  <c r="AP126" i="18"/>
  <c r="AN126" i="18"/>
  <c r="AC126" i="18" s="1"/>
  <c r="Z126" i="18"/>
  <c r="AD126" i="18" s="1"/>
  <c r="Y126" i="18"/>
  <c r="AA126" i="18" s="1"/>
  <c r="B126" i="18"/>
  <c r="BE125" i="18"/>
  <c r="BD125" i="18"/>
  <c r="BC125" i="18"/>
  <c r="BB125" i="18"/>
  <c r="BA125" i="18"/>
  <c r="AZ125" i="18"/>
  <c r="AY125" i="18"/>
  <c r="AX125" i="18"/>
  <c r="AW125" i="18"/>
  <c r="AV125" i="18"/>
  <c r="AU125" i="18"/>
  <c r="AT125" i="18"/>
  <c r="AS125" i="18"/>
  <c r="AR125" i="18"/>
  <c r="AQ125" i="18"/>
  <c r="AP125" i="18"/>
  <c r="BG124" i="18"/>
  <c r="BD124" i="18"/>
  <c r="BC124" i="18"/>
  <c r="BB124" i="18"/>
  <c r="BA124" i="18"/>
  <c r="AZ124" i="18"/>
  <c r="AY124" i="18"/>
  <c r="AX124" i="18"/>
  <c r="AW124" i="18"/>
  <c r="AV124" i="18"/>
  <c r="AU124" i="18"/>
  <c r="AT124" i="18"/>
  <c r="AS124" i="18"/>
  <c r="AR124" i="18"/>
  <c r="AQ124" i="18"/>
  <c r="AP124" i="18"/>
  <c r="AN124" i="18"/>
  <c r="AC124" i="18" s="1"/>
  <c r="Z124" i="18"/>
  <c r="AD125" i="18" s="1"/>
  <c r="Y124" i="18"/>
  <c r="AA124" i="18" s="1"/>
  <c r="B124" i="18"/>
  <c r="BE123" i="18"/>
  <c r="BD123" i="18"/>
  <c r="BC123" i="18"/>
  <c r="BB123" i="18"/>
  <c r="BA123" i="18"/>
  <c r="AZ123" i="18"/>
  <c r="AY123" i="18"/>
  <c r="AX123" i="18"/>
  <c r="AW123" i="18"/>
  <c r="AV123" i="18"/>
  <c r="AU123" i="18"/>
  <c r="AT123" i="18"/>
  <c r="AS123" i="18"/>
  <c r="AR123" i="18"/>
  <c r="AQ123" i="18"/>
  <c r="AP123" i="18"/>
  <c r="BG122" i="18"/>
  <c r="BD122" i="18"/>
  <c r="BC122" i="18"/>
  <c r="BB122" i="18"/>
  <c r="BA122" i="18"/>
  <c r="AZ122" i="18"/>
  <c r="AY122" i="18"/>
  <c r="AX122" i="18"/>
  <c r="AW122" i="18"/>
  <c r="AV122" i="18"/>
  <c r="AU122" i="18"/>
  <c r="AT122" i="18"/>
  <c r="AS122" i="18"/>
  <c r="AR122" i="18"/>
  <c r="AQ122" i="18"/>
  <c r="AP122" i="18"/>
  <c r="AN122" i="18"/>
  <c r="AC122" i="18" s="1"/>
  <c r="Z122" i="18"/>
  <c r="AD123" i="18" s="1"/>
  <c r="Y122" i="18"/>
  <c r="AA122" i="18" s="1"/>
  <c r="B122" i="18"/>
  <c r="BE121" i="18"/>
  <c r="BD121" i="18"/>
  <c r="BC121" i="18"/>
  <c r="BB121" i="18"/>
  <c r="BA121" i="18"/>
  <c r="AZ121" i="18"/>
  <c r="AY121" i="18"/>
  <c r="AX121" i="18"/>
  <c r="AW121" i="18"/>
  <c r="AV121" i="18"/>
  <c r="AU121" i="18"/>
  <c r="AT121" i="18"/>
  <c r="AS121" i="18"/>
  <c r="AR121" i="18"/>
  <c r="AQ121" i="18"/>
  <c r="AP121" i="18"/>
  <c r="BG120" i="18"/>
  <c r="BD120" i="18"/>
  <c r="BC120" i="18"/>
  <c r="BB120" i="18"/>
  <c r="BA120" i="18"/>
  <c r="AZ120" i="18"/>
  <c r="AY120" i="18"/>
  <c r="AX120" i="18"/>
  <c r="AW120" i="18"/>
  <c r="AV120" i="18"/>
  <c r="AU120" i="18"/>
  <c r="AT120" i="18"/>
  <c r="AS120" i="18"/>
  <c r="AR120" i="18"/>
  <c r="AQ120" i="18"/>
  <c r="AP120" i="18"/>
  <c r="AN120" i="18"/>
  <c r="AC120" i="18" s="1"/>
  <c r="Z120" i="18"/>
  <c r="AD120" i="18" s="1"/>
  <c r="Y120" i="18"/>
  <c r="AA120" i="18" s="1"/>
  <c r="B120" i="18"/>
  <c r="BE119" i="18"/>
  <c r="BD119" i="18"/>
  <c r="BC119" i="18"/>
  <c r="BB119" i="18"/>
  <c r="BA119" i="18"/>
  <c r="AZ119" i="18"/>
  <c r="AY119" i="18"/>
  <c r="AX119" i="18"/>
  <c r="AW119" i="18"/>
  <c r="AV119" i="18"/>
  <c r="AU119" i="18"/>
  <c r="AT119" i="18"/>
  <c r="AS119" i="18"/>
  <c r="AR119" i="18"/>
  <c r="AQ119" i="18"/>
  <c r="AP119" i="18"/>
  <c r="BG118" i="18"/>
  <c r="BD118" i="18"/>
  <c r="BC118" i="18"/>
  <c r="BB118" i="18"/>
  <c r="BA118" i="18"/>
  <c r="AZ118" i="18"/>
  <c r="AY118" i="18"/>
  <c r="AX118" i="18"/>
  <c r="AW118" i="18"/>
  <c r="AV118" i="18"/>
  <c r="AU118" i="18"/>
  <c r="AT118" i="18"/>
  <c r="AS118" i="18"/>
  <c r="AR118" i="18"/>
  <c r="AQ118" i="18"/>
  <c r="AP118" i="18"/>
  <c r="AN118" i="18"/>
  <c r="AC118" i="18" s="1"/>
  <c r="Z118" i="18"/>
  <c r="AD118" i="18" s="1"/>
  <c r="Y118" i="18"/>
  <c r="AA118" i="18" s="1"/>
  <c r="B118" i="18"/>
  <c r="BE117" i="18"/>
  <c r="BD117" i="18"/>
  <c r="BC117" i="18"/>
  <c r="BB117" i="18"/>
  <c r="BA117" i="18"/>
  <c r="AZ117" i="18"/>
  <c r="AY117" i="18"/>
  <c r="AX117" i="18"/>
  <c r="AW117" i="18"/>
  <c r="AV117" i="18"/>
  <c r="AU117" i="18"/>
  <c r="AT117" i="18"/>
  <c r="AS117" i="18"/>
  <c r="AR117" i="18"/>
  <c r="AQ117" i="18"/>
  <c r="AP117" i="18"/>
  <c r="BG116" i="18"/>
  <c r="BD116" i="18"/>
  <c r="BC116" i="18"/>
  <c r="BB116" i="18"/>
  <c r="BA116" i="18"/>
  <c r="AZ116" i="18"/>
  <c r="AY116" i="18"/>
  <c r="AX116" i="18"/>
  <c r="AW116" i="18"/>
  <c r="AV116" i="18"/>
  <c r="AU116" i="18"/>
  <c r="AT116" i="18"/>
  <c r="AS116" i="18"/>
  <c r="AR116" i="18"/>
  <c r="AQ116" i="18"/>
  <c r="AP116" i="18"/>
  <c r="AN116" i="18"/>
  <c r="Z116" i="18"/>
  <c r="AD116" i="18" s="1"/>
  <c r="Y116" i="18"/>
  <c r="AA116" i="18" s="1"/>
  <c r="B116" i="18"/>
  <c r="BE115" i="18"/>
  <c r="BD115" i="18"/>
  <c r="BC115" i="18"/>
  <c r="BB115" i="18"/>
  <c r="BA115" i="18"/>
  <c r="AZ115" i="18"/>
  <c r="AY115" i="18"/>
  <c r="AX115" i="18"/>
  <c r="AW115" i="18"/>
  <c r="AV115" i="18"/>
  <c r="AU115" i="18"/>
  <c r="AT115" i="18"/>
  <c r="AS115" i="18"/>
  <c r="AR115" i="18"/>
  <c r="AQ115" i="18"/>
  <c r="AP115" i="18"/>
  <c r="BG114" i="18"/>
  <c r="BD114" i="18"/>
  <c r="BC114" i="18"/>
  <c r="BB114" i="18"/>
  <c r="BA114" i="18"/>
  <c r="AZ114" i="18"/>
  <c r="AY114" i="18"/>
  <c r="AX114" i="18"/>
  <c r="AW114" i="18"/>
  <c r="AV114" i="18"/>
  <c r="AU114" i="18"/>
  <c r="AT114" i="18"/>
  <c r="AS114" i="18"/>
  <c r="AR114" i="18"/>
  <c r="AQ114" i="18"/>
  <c r="AP114" i="18"/>
  <c r="AN114" i="18"/>
  <c r="AC114" i="18" s="1"/>
  <c r="Z114" i="18"/>
  <c r="AD114" i="18" s="1"/>
  <c r="Y114" i="18"/>
  <c r="AA114" i="18" s="1"/>
  <c r="B114" i="18"/>
  <c r="BE113" i="18"/>
  <c r="BD113" i="18"/>
  <c r="BC113" i="18"/>
  <c r="BB113" i="18"/>
  <c r="BA113" i="18"/>
  <c r="AZ113" i="18"/>
  <c r="AY113" i="18"/>
  <c r="AX113" i="18"/>
  <c r="AW113" i="18"/>
  <c r="AV113" i="18"/>
  <c r="AU113" i="18"/>
  <c r="AT113" i="18"/>
  <c r="AS113" i="18"/>
  <c r="AR113" i="18"/>
  <c r="AQ113" i="18"/>
  <c r="AP113" i="18"/>
  <c r="BG112" i="18"/>
  <c r="BD112" i="18"/>
  <c r="BC112" i="18"/>
  <c r="BB112" i="18"/>
  <c r="BA112" i="18"/>
  <c r="AZ112" i="18"/>
  <c r="AY112" i="18"/>
  <c r="AX112" i="18"/>
  <c r="AW112" i="18"/>
  <c r="AV112" i="18"/>
  <c r="AU112" i="18"/>
  <c r="AT112" i="18"/>
  <c r="AS112" i="18"/>
  <c r="AR112" i="18"/>
  <c r="AQ112" i="18"/>
  <c r="AP112" i="18"/>
  <c r="AN112" i="18"/>
  <c r="AC112" i="18" s="1"/>
  <c r="Z112" i="18"/>
  <c r="AD112" i="18" s="1"/>
  <c r="Y112" i="18"/>
  <c r="AA112" i="18" s="1"/>
  <c r="B112" i="18"/>
  <c r="BE111" i="18"/>
  <c r="BD111" i="18"/>
  <c r="BC111" i="18"/>
  <c r="BB111" i="18"/>
  <c r="BA111" i="18"/>
  <c r="AZ111" i="18"/>
  <c r="AY111" i="18"/>
  <c r="AX111" i="18"/>
  <c r="AW111" i="18"/>
  <c r="AV111" i="18"/>
  <c r="AU111" i="18"/>
  <c r="AT111" i="18"/>
  <c r="AS111" i="18"/>
  <c r="AR111" i="18"/>
  <c r="AQ111" i="18"/>
  <c r="AP111" i="18"/>
  <c r="BG110" i="18"/>
  <c r="BD110" i="18"/>
  <c r="BC110" i="18"/>
  <c r="BB110" i="18"/>
  <c r="BA110" i="18"/>
  <c r="AZ110" i="18"/>
  <c r="AY110" i="18"/>
  <c r="AX110" i="18"/>
  <c r="AW110" i="18"/>
  <c r="AV110" i="18"/>
  <c r="AU110" i="18"/>
  <c r="AT110" i="18"/>
  <c r="AS110" i="18"/>
  <c r="AR110" i="18"/>
  <c r="AQ110" i="18"/>
  <c r="AP110" i="18"/>
  <c r="AN110" i="18"/>
  <c r="AC110" i="18" s="1"/>
  <c r="Z110" i="18"/>
  <c r="AD111" i="18" s="1"/>
  <c r="Y110" i="18"/>
  <c r="AA110" i="18" s="1"/>
  <c r="B110" i="18"/>
  <c r="BE109" i="18"/>
  <c r="BD109" i="18"/>
  <c r="BC109" i="18"/>
  <c r="BB109" i="18"/>
  <c r="BA109" i="18"/>
  <c r="AZ109" i="18"/>
  <c r="AY109" i="18"/>
  <c r="AX109" i="18"/>
  <c r="AW109" i="18"/>
  <c r="AV109" i="18"/>
  <c r="AU109" i="18"/>
  <c r="AT109" i="18"/>
  <c r="AS109" i="18"/>
  <c r="AR109" i="18"/>
  <c r="AQ109" i="18"/>
  <c r="AP109" i="18"/>
  <c r="BG108" i="18"/>
  <c r="BD108" i="18"/>
  <c r="BC108" i="18"/>
  <c r="BB108" i="18"/>
  <c r="BA108" i="18"/>
  <c r="AZ108" i="18"/>
  <c r="AY108" i="18"/>
  <c r="AX108" i="18"/>
  <c r="AW108" i="18"/>
  <c r="AV108" i="18"/>
  <c r="AU108" i="18"/>
  <c r="AT108" i="18"/>
  <c r="AS108" i="18"/>
  <c r="AR108" i="18"/>
  <c r="AQ108" i="18"/>
  <c r="AP108" i="18"/>
  <c r="AN108" i="18"/>
  <c r="AC108" i="18" s="1"/>
  <c r="Z108" i="18"/>
  <c r="AD109" i="18" s="1"/>
  <c r="Y108" i="18"/>
  <c r="AA108" i="18" s="1"/>
  <c r="B108" i="18"/>
  <c r="BE107" i="18"/>
  <c r="BD107" i="18"/>
  <c r="BC107" i="18"/>
  <c r="BB107" i="18"/>
  <c r="BA107" i="18"/>
  <c r="AZ107" i="18"/>
  <c r="AY107" i="18"/>
  <c r="AX107" i="18"/>
  <c r="AW107" i="18"/>
  <c r="AV107" i="18"/>
  <c r="AU107" i="18"/>
  <c r="AT107" i="18"/>
  <c r="AS107" i="18"/>
  <c r="AR107" i="18"/>
  <c r="AQ107" i="18"/>
  <c r="AP107" i="18"/>
  <c r="BG106" i="18"/>
  <c r="BD106" i="18"/>
  <c r="BC106" i="18"/>
  <c r="BB106" i="18"/>
  <c r="BA106" i="18"/>
  <c r="AZ106" i="18"/>
  <c r="AY106" i="18"/>
  <c r="AX106" i="18"/>
  <c r="AW106" i="18"/>
  <c r="AV106" i="18"/>
  <c r="AU106" i="18"/>
  <c r="AT106" i="18"/>
  <c r="AS106" i="18"/>
  <c r="AR106" i="18"/>
  <c r="AQ106" i="18"/>
  <c r="AP106" i="18"/>
  <c r="AN106" i="18"/>
  <c r="AC106" i="18" s="1"/>
  <c r="Z106" i="18"/>
  <c r="AD106" i="18" s="1"/>
  <c r="Y106" i="18"/>
  <c r="AA106" i="18" s="1"/>
  <c r="B106" i="18"/>
  <c r="BE105" i="18"/>
  <c r="BD105" i="18"/>
  <c r="BC105" i="18"/>
  <c r="BB105" i="18"/>
  <c r="BA105" i="18"/>
  <c r="AZ105" i="18"/>
  <c r="AY105" i="18"/>
  <c r="AX105" i="18"/>
  <c r="AW105" i="18"/>
  <c r="AV105" i="18"/>
  <c r="AU105" i="18"/>
  <c r="AT105" i="18"/>
  <c r="AS105" i="18"/>
  <c r="AR105" i="18"/>
  <c r="AQ105" i="18"/>
  <c r="AP105" i="18"/>
  <c r="BG104" i="18"/>
  <c r="BD104" i="18"/>
  <c r="BC104" i="18"/>
  <c r="BB104" i="18"/>
  <c r="BA104" i="18"/>
  <c r="AZ104" i="18"/>
  <c r="AY104" i="18"/>
  <c r="AX104" i="18"/>
  <c r="AW104" i="18"/>
  <c r="AV104" i="18"/>
  <c r="AU104" i="18"/>
  <c r="AT104" i="18"/>
  <c r="AS104" i="18"/>
  <c r="AR104" i="18"/>
  <c r="AQ104" i="18"/>
  <c r="AP104" i="18"/>
  <c r="AN104" i="18"/>
  <c r="AC104" i="18" s="1"/>
  <c r="Z104" i="18"/>
  <c r="AD105" i="18" s="1"/>
  <c r="Y104" i="18"/>
  <c r="AA104" i="18" s="1"/>
  <c r="B104" i="18"/>
  <c r="BE103" i="18"/>
  <c r="BD103" i="18"/>
  <c r="BC103" i="18"/>
  <c r="BB103" i="18"/>
  <c r="BA103" i="18"/>
  <c r="AZ103" i="18"/>
  <c r="AY103" i="18"/>
  <c r="AX103" i="18"/>
  <c r="AW103" i="18"/>
  <c r="AV103" i="18"/>
  <c r="AU103" i="18"/>
  <c r="AT103" i="18"/>
  <c r="AS103" i="18"/>
  <c r="AR103" i="18"/>
  <c r="AQ103" i="18"/>
  <c r="AP103" i="18"/>
  <c r="BG102" i="18"/>
  <c r="BD102" i="18"/>
  <c r="BC102" i="18"/>
  <c r="BB102" i="18"/>
  <c r="BA102" i="18"/>
  <c r="AZ102" i="18"/>
  <c r="AY102" i="18"/>
  <c r="AX102" i="18"/>
  <c r="AW102" i="18"/>
  <c r="AV102" i="18"/>
  <c r="AU102" i="18"/>
  <c r="AT102" i="18"/>
  <c r="AS102" i="18"/>
  <c r="AR102" i="18"/>
  <c r="AQ102" i="18"/>
  <c r="AP102" i="18"/>
  <c r="AN102" i="18"/>
  <c r="AC102" i="18" s="1"/>
  <c r="Z102" i="18"/>
  <c r="AD102" i="18" s="1"/>
  <c r="Y102" i="18"/>
  <c r="AA102" i="18" s="1"/>
  <c r="B102" i="18"/>
  <c r="BE101" i="18"/>
  <c r="BD101" i="18"/>
  <c r="BC101" i="18"/>
  <c r="BB101" i="18"/>
  <c r="BA101" i="18"/>
  <c r="AZ101" i="18"/>
  <c r="AY101" i="18"/>
  <c r="AX101" i="18"/>
  <c r="AW101" i="18"/>
  <c r="AV101" i="18"/>
  <c r="AU101" i="18"/>
  <c r="AT101" i="18"/>
  <c r="AS101" i="18"/>
  <c r="AR101" i="18"/>
  <c r="AQ101" i="18"/>
  <c r="AP101" i="18"/>
  <c r="BG100" i="18"/>
  <c r="BD100" i="18"/>
  <c r="BC100" i="18"/>
  <c r="BB100" i="18"/>
  <c r="BA100" i="18"/>
  <c r="AZ100" i="18"/>
  <c r="AY100" i="18"/>
  <c r="AX100" i="18"/>
  <c r="AW100" i="18"/>
  <c r="AV100" i="18"/>
  <c r="AU100" i="18"/>
  <c r="AT100" i="18"/>
  <c r="AS100" i="18"/>
  <c r="AR100" i="18"/>
  <c r="AQ100" i="18"/>
  <c r="AP100" i="18"/>
  <c r="AN100" i="18"/>
  <c r="AC100" i="18" s="1"/>
  <c r="Z100" i="18"/>
  <c r="AD100" i="18" s="1"/>
  <c r="Y100" i="18"/>
  <c r="AA100" i="18" s="1"/>
  <c r="B100" i="18"/>
  <c r="BE99" i="18"/>
  <c r="BD99" i="18"/>
  <c r="BC99" i="18"/>
  <c r="BB99" i="18"/>
  <c r="BA99" i="18"/>
  <c r="AZ99" i="18"/>
  <c r="AY99" i="18"/>
  <c r="AX99" i="18"/>
  <c r="AW99" i="18"/>
  <c r="AV99" i="18"/>
  <c r="AU99" i="18"/>
  <c r="AT99" i="18"/>
  <c r="AS99" i="18"/>
  <c r="AR99" i="18"/>
  <c r="AQ99" i="18"/>
  <c r="AP99" i="18"/>
  <c r="BG98" i="18"/>
  <c r="BD98" i="18"/>
  <c r="BC98" i="18"/>
  <c r="BB98" i="18"/>
  <c r="BA98" i="18"/>
  <c r="AZ98" i="18"/>
  <c r="AY98" i="18"/>
  <c r="AX98" i="18"/>
  <c r="AW98" i="18"/>
  <c r="AV98" i="18"/>
  <c r="AU98" i="18"/>
  <c r="AT98" i="18"/>
  <c r="AS98" i="18"/>
  <c r="AR98" i="18"/>
  <c r="AQ98" i="18"/>
  <c r="AP98" i="18"/>
  <c r="AN98" i="18"/>
  <c r="AC98" i="18" s="1"/>
  <c r="Z98" i="18"/>
  <c r="AD98" i="18" s="1"/>
  <c r="Y98" i="18"/>
  <c r="AA98" i="18" s="1"/>
  <c r="B98" i="18"/>
  <c r="BE97" i="18"/>
  <c r="BD97" i="18"/>
  <c r="BC97" i="18"/>
  <c r="BB97" i="18"/>
  <c r="BA97" i="18"/>
  <c r="AZ97" i="18"/>
  <c r="AY97" i="18"/>
  <c r="AX97" i="18"/>
  <c r="AW97" i="18"/>
  <c r="AV97" i="18"/>
  <c r="AU97" i="18"/>
  <c r="AT97" i="18"/>
  <c r="AS97" i="18"/>
  <c r="AR97" i="18"/>
  <c r="AQ97" i="18"/>
  <c r="AP97" i="18"/>
  <c r="BG96" i="18"/>
  <c r="BD96" i="18"/>
  <c r="BC96" i="18"/>
  <c r="BB96" i="18"/>
  <c r="BA96" i="18"/>
  <c r="AZ96" i="18"/>
  <c r="AY96" i="18"/>
  <c r="AX96" i="18"/>
  <c r="AW96" i="18"/>
  <c r="AV96" i="18"/>
  <c r="AU96" i="18"/>
  <c r="AT96" i="18"/>
  <c r="AS96" i="18"/>
  <c r="AR96" i="18"/>
  <c r="AQ96" i="18"/>
  <c r="AP96" i="18"/>
  <c r="AN96" i="18"/>
  <c r="AC96" i="18" s="1"/>
  <c r="Z96" i="18"/>
  <c r="Y96" i="18"/>
  <c r="AA96" i="18" s="1"/>
  <c r="B96" i="18"/>
  <c r="BE95" i="18"/>
  <c r="BD95" i="18"/>
  <c r="BC95" i="18"/>
  <c r="BB95" i="18"/>
  <c r="BA95" i="18"/>
  <c r="AZ95" i="18"/>
  <c r="AY95" i="18"/>
  <c r="AX95" i="18"/>
  <c r="AW95" i="18"/>
  <c r="AV95" i="18"/>
  <c r="AU95" i="18"/>
  <c r="AT95" i="18"/>
  <c r="AS95" i="18"/>
  <c r="AR95" i="18"/>
  <c r="AQ95" i="18"/>
  <c r="AP95" i="18"/>
  <c r="BG94" i="18"/>
  <c r="BD94" i="18"/>
  <c r="BC94" i="18"/>
  <c r="BB94" i="18"/>
  <c r="BA94" i="18"/>
  <c r="AZ94" i="18"/>
  <c r="AY94" i="18"/>
  <c r="AX94" i="18"/>
  <c r="AW94" i="18"/>
  <c r="AV94" i="18"/>
  <c r="AU94" i="18"/>
  <c r="AT94" i="18"/>
  <c r="AS94" i="18"/>
  <c r="AR94" i="18"/>
  <c r="AQ94" i="18"/>
  <c r="AP94" i="18"/>
  <c r="AN94" i="18"/>
  <c r="AC94" i="18" s="1"/>
  <c r="Z94" i="18"/>
  <c r="Y94" i="18"/>
  <c r="AA94" i="18" s="1"/>
  <c r="B94" i="18"/>
  <c r="BE93" i="18"/>
  <c r="BD93" i="18"/>
  <c r="BC93" i="18"/>
  <c r="BB93" i="18"/>
  <c r="BA93" i="18"/>
  <c r="AZ93" i="18"/>
  <c r="AY93" i="18"/>
  <c r="AX93" i="18"/>
  <c r="AW93" i="18"/>
  <c r="AV93" i="18"/>
  <c r="AU93" i="18"/>
  <c r="AT93" i="18"/>
  <c r="AS93" i="18"/>
  <c r="AR93" i="18"/>
  <c r="AQ93" i="18"/>
  <c r="AP93" i="18"/>
  <c r="BG92" i="18"/>
  <c r="BD92" i="18"/>
  <c r="BC92" i="18"/>
  <c r="BB92" i="18"/>
  <c r="BA92" i="18"/>
  <c r="AZ92" i="18"/>
  <c r="AY92" i="18"/>
  <c r="AX92" i="18"/>
  <c r="AW92" i="18"/>
  <c r="AV92" i="18"/>
  <c r="AU92" i="18"/>
  <c r="AT92" i="18"/>
  <c r="AS92" i="18"/>
  <c r="AR92" i="18"/>
  <c r="AQ92" i="18"/>
  <c r="AP92" i="18"/>
  <c r="AN92" i="18"/>
  <c r="AC92" i="18" s="1"/>
  <c r="Z92" i="18"/>
  <c r="Y92" i="18"/>
  <c r="AA92" i="18" s="1"/>
  <c r="B92" i="18"/>
  <c r="BE91" i="18"/>
  <c r="BD91" i="18"/>
  <c r="BC91" i="18"/>
  <c r="BB91" i="18"/>
  <c r="BA91" i="18"/>
  <c r="AZ91" i="18"/>
  <c r="AY91" i="18"/>
  <c r="AX91" i="18"/>
  <c r="AW91" i="18"/>
  <c r="AV91" i="18"/>
  <c r="AU91" i="18"/>
  <c r="AT91" i="18"/>
  <c r="AS91" i="18"/>
  <c r="AR91" i="18"/>
  <c r="AQ91" i="18"/>
  <c r="AP91" i="18"/>
  <c r="BG90" i="18"/>
  <c r="BD90" i="18"/>
  <c r="BC90" i="18"/>
  <c r="BB90" i="18"/>
  <c r="BA90" i="18"/>
  <c r="AZ90" i="18"/>
  <c r="AY90" i="18"/>
  <c r="AX90" i="18"/>
  <c r="AW90" i="18"/>
  <c r="AV90" i="18"/>
  <c r="AU90" i="18"/>
  <c r="AT90" i="18"/>
  <c r="AS90" i="18"/>
  <c r="AR90" i="18"/>
  <c r="AQ90" i="18"/>
  <c r="AP90" i="18"/>
  <c r="AN90" i="18"/>
  <c r="AC90" i="18" s="1"/>
  <c r="Z90" i="18"/>
  <c r="Y90" i="18"/>
  <c r="AA90" i="18" s="1"/>
  <c r="B90" i="18"/>
  <c r="BE89" i="18"/>
  <c r="BD89" i="18"/>
  <c r="BC89" i="18"/>
  <c r="BB89" i="18"/>
  <c r="BA89" i="18"/>
  <c r="AZ89" i="18"/>
  <c r="AY89" i="18"/>
  <c r="AX89" i="18"/>
  <c r="AW89" i="18"/>
  <c r="AV89" i="18"/>
  <c r="AU89" i="18"/>
  <c r="AT89" i="18"/>
  <c r="AS89" i="18"/>
  <c r="AR89" i="18"/>
  <c r="AQ89" i="18"/>
  <c r="AP89" i="18"/>
  <c r="BG88" i="18"/>
  <c r="BD88" i="18"/>
  <c r="BC88" i="18"/>
  <c r="BB88" i="18"/>
  <c r="BA88" i="18"/>
  <c r="AZ88" i="18"/>
  <c r="AY88" i="18"/>
  <c r="AX88" i="18"/>
  <c r="AW88" i="18"/>
  <c r="AV88" i="18"/>
  <c r="AU88" i="18"/>
  <c r="AT88" i="18"/>
  <c r="AS88" i="18"/>
  <c r="AR88" i="18"/>
  <c r="AQ88" i="18"/>
  <c r="AP88" i="18"/>
  <c r="AN88" i="18"/>
  <c r="AC88" i="18" s="1"/>
  <c r="Z88" i="18"/>
  <c r="AD89" i="18" s="1"/>
  <c r="Y88" i="18"/>
  <c r="AA88" i="18" s="1"/>
  <c r="B88" i="18"/>
  <c r="BE87" i="18"/>
  <c r="BD87" i="18"/>
  <c r="BC87" i="18"/>
  <c r="BB87" i="18"/>
  <c r="BA87" i="18"/>
  <c r="AZ87" i="18"/>
  <c r="AY87" i="18"/>
  <c r="AX87" i="18"/>
  <c r="AW87" i="18"/>
  <c r="AV87" i="18"/>
  <c r="AU87" i="18"/>
  <c r="AT87" i="18"/>
  <c r="AS87" i="18"/>
  <c r="AR87" i="18"/>
  <c r="AQ87" i="18"/>
  <c r="AP87" i="18"/>
  <c r="BG86" i="18"/>
  <c r="BD86" i="18"/>
  <c r="BC86" i="18"/>
  <c r="BB86" i="18"/>
  <c r="BA86" i="18"/>
  <c r="AZ86" i="18"/>
  <c r="AY86" i="18"/>
  <c r="AX86" i="18"/>
  <c r="AW86" i="18"/>
  <c r="AV86" i="18"/>
  <c r="AU86" i="18"/>
  <c r="AT86" i="18"/>
  <c r="AS86" i="18"/>
  <c r="AR86" i="18"/>
  <c r="AQ86" i="18"/>
  <c r="AP86" i="18"/>
  <c r="AN86" i="18"/>
  <c r="AC86" i="18" s="1"/>
  <c r="Z86" i="18"/>
  <c r="AD87" i="18" s="1"/>
  <c r="Y86" i="18"/>
  <c r="AA86" i="18" s="1"/>
  <c r="B86" i="18"/>
  <c r="BE85" i="18"/>
  <c r="BD85" i="18"/>
  <c r="BC85" i="18"/>
  <c r="BB85" i="18"/>
  <c r="BA85" i="18"/>
  <c r="AZ85" i="18"/>
  <c r="AY85" i="18"/>
  <c r="AX85" i="18"/>
  <c r="AW85" i="18"/>
  <c r="AV85" i="18"/>
  <c r="AU85" i="18"/>
  <c r="AT85" i="18"/>
  <c r="AS85" i="18"/>
  <c r="AR85" i="18"/>
  <c r="AQ85" i="18"/>
  <c r="AP85" i="18"/>
  <c r="BG84" i="18"/>
  <c r="BD84" i="18"/>
  <c r="BC84" i="18"/>
  <c r="BB84" i="18"/>
  <c r="BA84" i="18"/>
  <c r="AZ84" i="18"/>
  <c r="AY84" i="18"/>
  <c r="AX84" i="18"/>
  <c r="AW84" i="18"/>
  <c r="AV84" i="18"/>
  <c r="AU84" i="18"/>
  <c r="AT84" i="18"/>
  <c r="AS84" i="18"/>
  <c r="AR84" i="18"/>
  <c r="AQ84" i="18"/>
  <c r="AP84" i="18"/>
  <c r="AN84" i="18"/>
  <c r="AC84" i="18" s="1"/>
  <c r="Z84" i="18"/>
  <c r="AD85" i="18" s="1"/>
  <c r="Y84" i="18"/>
  <c r="AA84" i="18" s="1"/>
  <c r="B84" i="18"/>
  <c r="BE83" i="18"/>
  <c r="BD83" i="18"/>
  <c r="BC83" i="18"/>
  <c r="BB83" i="18"/>
  <c r="BA83" i="18"/>
  <c r="AZ83" i="18"/>
  <c r="AY83" i="18"/>
  <c r="AX83" i="18"/>
  <c r="AW83" i="18"/>
  <c r="AV83" i="18"/>
  <c r="AU83" i="18"/>
  <c r="AT83" i="18"/>
  <c r="AS83" i="18"/>
  <c r="AR83" i="18"/>
  <c r="AQ83" i="18"/>
  <c r="AP83" i="18"/>
  <c r="BG82" i="18"/>
  <c r="BD82" i="18"/>
  <c r="BC82" i="18"/>
  <c r="BB82" i="18"/>
  <c r="BA82" i="18"/>
  <c r="AZ82" i="18"/>
  <c r="AY82" i="18"/>
  <c r="AX82" i="18"/>
  <c r="AW82" i="18"/>
  <c r="AV82" i="18"/>
  <c r="AU82" i="18"/>
  <c r="AT82" i="18"/>
  <c r="AS82" i="18"/>
  <c r="AR82" i="18"/>
  <c r="AQ82" i="18"/>
  <c r="AP82" i="18"/>
  <c r="AN82" i="18"/>
  <c r="AC82" i="18" s="1"/>
  <c r="Z82" i="18"/>
  <c r="AD83" i="18" s="1"/>
  <c r="Y82" i="18"/>
  <c r="AA82" i="18" s="1"/>
  <c r="B82" i="18"/>
  <c r="BE81" i="18"/>
  <c r="BD81" i="18"/>
  <c r="BC81" i="18"/>
  <c r="BB81" i="18"/>
  <c r="BA81" i="18"/>
  <c r="AZ81" i="18"/>
  <c r="AY81" i="18"/>
  <c r="AX81" i="18"/>
  <c r="AW81" i="18"/>
  <c r="AV81" i="18"/>
  <c r="AU81" i="18"/>
  <c r="AT81" i="18"/>
  <c r="AS81" i="18"/>
  <c r="AR81" i="18"/>
  <c r="AQ81" i="18"/>
  <c r="AP81" i="18"/>
  <c r="BG80" i="18"/>
  <c r="BD80" i="18"/>
  <c r="BC80" i="18"/>
  <c r="BB80" i="18"/>
  <c r="BA80" i="18"/>
  <c r="AZ80" i="18"/>
  <c r="AY80" i="18"/>
  <c r="AX80" i="18"/>
  <c r="AW80" i="18"/>
  <c r="AV80" i="18"/>
  <c r="AU80" i="18"/>
  <c r="AT80" i="18"/>
  <c r="AS80" i="18"/>
  <c r="AR80" i="18"/>
  <c r="AQ80" i="18"/>
  <c r="AP80" i="18"/>
  <c r="AN80" i="18"/>
  <c r="AC80" i="18" s="1"/>
  <c r="Z80" i="18"/>
  <c r="AD80" i="18" s="1"/>
  <c r="Y80" i="18"/>
  <c r="AA80" i="18" s="1"/>
  <c r="B80" i="18"/>
  <c r="BE79" i="18"/>
  <c r="BD79" i="18"/>
  <c r="BC79" i="18"/>
  <c r="BB79" i="18"/>
  <c r="BA79" i="18"/>
  <c r="AZ79" i="18"/>
  <c r="AY79" i="18"/>
  <c r="AX79" i="18"/>
  <c r="AW79" i="18"/>
  <c r="AV79" i="18"/>
  <c r="AU79" i="18"/>
  <c r="AT79" i="18"/>
  <c r="AS79" i="18"/>
  <c r="AR79" i="18"/>
  <c r="AQ79" i="18"/>
  <c r="AP79" i="18"/>
  <c r="BG78" i="18"/>
  <c r="BD78" i="18"/>
  <c r="BC78" i="18"/>
  <c r="BB78" i="18"/>
  <c r="BA78" i="18"/>
  <c r="AZ78" i="18"/>
  <c r="AY78" i="18"/>
  <c r="AX78" i="18"/>
  <c r="AW78" i="18"/>
  <c r="AV78" i="18"/>
  <c r="AU78" i="18"/>
  <c r="AT78" i="18"/>
  <c r="AS78" i="18"/>
  <c r="AR78" i="18"/>
  <c r="AQ78" i="18"/>
  <c r="AP78" i="18"/>
  <c r="AN78" i="18"/>
  <c r="AC78" i="18" s="1"/>
  <c r="Z78" i="18"/>
  <c r="AD78" i="18" s="1"/>
  <c r="Y78" i="18"/>
  <c r="AA78" i="18" s="1"/>
  <c r="B78" i="18"/>
  <c r="BE77" i="18"/>
  <c r="BD77" i="18"/>
  <c r="BC77" i="18"/>
  <c r="BB77" i="18"/>
  <c r="BA77" i="18"/>
  <c r="AZ77" i="18"/>
  <c r="AY77" i="18"/>
  <c r="AX77" i="18"/>
  <c r="AW77" i="18"/>
  <c r="AV77" i="18"/>
  <c r="AU77" i="18"/>
  <c r="AT77" i="18"/>
  <c r="AS77" i="18"/>
  <c r="AR77" i="18"/>
  <c r="AQ77" i="18"/>
  <c r="AP77" i="18"/>
  <c r="BG76" i="18"/>
  <c r="BD76" i="18"/>
  <c r="BC76" i="18"/>
  <c r="BB76" i="18"/>
  <c r="BA76" i="18"/>
  <c r="AZ76" i="18"/>
  <c r="AY76" i="18"/>
  <c r="AX76" i="18"/>
  <c r="AW76" i="18"/>
  <c r="AV76" i="18"/>
  <c r="AU76" i="18"/>
  <c r="AT76" i="18"/>
  <c r="AS76" i="18"/>
  <c r="AR76" i="18"/>
  <c r="AQ76" i="18"/>
  <c r="AP76" i="18"/>
  <c r="AN76" i="18"/>
  <c r="AC76" i="18" s="1"/>
  <c r="Z76" i="18"/>
  <c r="AD77" i="18" s="1"/>
  <c r="Y76" i="18"/>
  <c r="AA76" i="18" s="1"/>
  <c r="B76" i="18"/>
  <c r="BE75" i="18"/>
  <c r="BD75" i="18"/>
  <c r="BC75" i="18"/>
  <c r="BB75" i="18"/>
  <c r="BA75" i="18"/>
  <c r="AZ75" i="18"/>
  <c r="AY75" i="18"/>
  <c r="AX75" i="18"/>
  <c r="AW75" i="18"/>
  <c r="AV75" i="18"/>
  <c r="AU75" i="18"/>
  <c r="AT75" i="18"/>
  <c r="AS75" i="18"/>
  <c r="AR75" i="18"/>
  <c r="AQ75" i="18"/>
  <c r="AP75" i="18"/>
  <c r="BG74" i="18"/>
  <c r="BD74" i="18"/>
  <c r="BC74" i="18"/>
  <c r="BB74" i="18"/>
  <c r="BA74" i="18"/>
  <c r="AZ74" i="18"/>
  <c r="AY74" i="18"/>
  <c r="AX74" i="18"/>
  <c r="AW74" i="18"/>
  <c r="AV74" i="18"/>
  <c r="AU74" i="18"/>
  <c r="AT74" i="18"/>
  <c r="AS74" i="18"/>
  <c r="AR74" i="18"/>
  <c r="AQ74" i="18"/>
  <c r="AP74" i="18"/>
  <c r="AN74" i="18"/>
  <c r="AC74" i="18" s="1"/>
  <c r="Z74" i="18"/>
  <c r="AD75" i="18" s="1"/>
  <c r="Y74" i="18"/>
  <c r="AA74" i="18" s="1"/>
  <c r="B74" i="18"/>
  <c r="BE73" i="18"/>
  <c r="BD73" i="18"/>
  <c r="BC73" i="18"/>
  <c r="BB73" i="18"/>
  <c r="BA73" i="18"/>
  <c r="AZ73" i="18"/>
  <c r="AY73" i="18"/>
  <c r="AX73" i="18"/>
  <c r="AW73" i="18"/>
  <c r="AV73" i="18"/>
  <c r="AU73" i="18"/>
  <c r="AT73" i="18"/>
  <c r="AS73" i="18"/>
  <c r="AR73" i="18"/>
  <c r="AQ73" i="18"/>
  <c r="AP73" i="18"/>
  <c r="BG72" i="18"/>
  <c r="BD72" i="18"/>
  <c r="BC72" i="18"/>
  <c r="BB72" i="18"/>
  <c r="BA72" i="18"/>
  <c r="AZ72" i="18"/>
  <c r="AY72" i="18"/>
  <c r="AX72" i="18"/>
  <c r="AW72" i="18"/>
  <c r="AV72" i="18"/>
  <c r="AU72" i="18"/>
  <c r="AT72" i="18"/>
  <c r="AS72" i="18"/>
  <c r="AR72" i="18"/>
  <c r="AQ72" i="18"/>
  <c r="AP72" i="18"/>
  <c r="AN72" i="18"/>
  <c r="AC72" i="18" s="1"/>
  <c r="Z72" i="18"/>
  <c r="AD72" i="18" s="1"/>
  <c r="Y72" i="18"/>
  <c r="AA72" i="18" s="1"/>
  <c r="B72" i="18"/>
  <c r="BE71" i="18"/>
  <c r="BD71" i="18"/>
  <c r="BC71" i="18"/>
  <c r="BB71" i="18"/>
  <c r="BA71" i="18"/>
  <c r="AZ71" i="18"/>
  <c r="AY71" i="18"/>
  <c r="AX71" i="18"/>
  <c r="AW71" i="18"/>
  <c r="AV71" i="18"/>
  <c r="AU71" i="18"/>
  <c r="AT71" i="18"/>
  <c r="AS71" i="18"/>
  <c r="AR71" i="18"/>
  <c r="AQ71" i="18"/>
  <c r="AP71" i="18"/>
  <c r="BG70" i="18"/>
  <c r="BD70" i="18"/>
  <c r="BC70" i="18"/>
  <c r="BB70" i="18"/>
  <c r="BA70" i="18"/>
  <c r="AZ70" i="18"/>
  <c r="AY70" i="18"/>
  <c r="AX70" i="18"/>
  <c r="AW70" i="18"/>
  <c r="AV70" i="18"/>
  <c r="AU70" i="18"/>
  <c r="AT70" i="18"/>
  <c r="AS70" i="18"/>
  <c r="AR70" i="18"/>
  <c r="AQ70" i="18"/>
  <c r="AP70" i="18"/>
  <c r="AN70" i="18"/>
  <c r="AC70" i="18" s="1"/>
  <c r="Z70" i="18"/>
  <c r="AD71" i="18" s="1"/>
  <c r="Y70" i="18"/>
  <c r="AA70" i="18" s="1"/>
  <c r="B70" i="18"/>
  <c r="BE69" i="18"/>
  <c r="BD69" i="18"/>
  <c r="BC69" i="18"/>
  <c r="BB69" i="18"/>
  <c r="BA69" i="18"/>
  <c r="AZ69" i="18"/>
  <c r="AY69" i="18"/>
  <c r="AX69" i="18"/>
  <c r="AW69" i="18"/>
  <c r="AV69" i="18"/>
  <c r="AU69" i="18"/>
  <c r="AT69" i="18"/>
  <c r="AS69" i="18"/>
  <c r="AR69" i="18"/>
  <c r="AQ69" i="18"/>
  <c r="AP69" i="18"/>
  <c r="AD69" i="18"/>
  <c r="BG68" i="18"/>
  <c r="BD68" i="18"/>
  <c r="BC68" i="18"/>
  <c r="BB68" i="18"/>
  <c r="BA68" i="18"/>
  <c r="AZ68" i="18"/>
  <c r="AY68" i="18"/>
  <c r="AX68" i="18"/>
  <c r="AW68" i="18"/>
  <c r="AV68" i="18"/>
  <c r="AU68" i="18"/>
  <c r="AT68" i="18"/>
  <c r="AS68" i="18"/>
  <c r="AR68" i="18"/>
  <c r="AQ68" i="18"/>
  <c r="AP68" i="18"/>
  <c r="AN68" i="18"/>
  <c r="Z68" i="18"/>
  <c r="AD68" i="18" s="1"/>
  <c r="Y68" i="18"/>
  <c r="AA68" i="18" s="1"/>
  <c r="B68" i="18"/>
  <c r="BE67" i="18"/>
  <c r="BD67" i="18"/>
  <c r="BC67" i="18"/>
  <c r="BB67" i="18"/>
  <c r="BA67" i="18"/>
  <c r="AZ67" i="18"/>
  <c r="AY67" i="18"/>
  <c r="AX67" i="18"/>
  <c r="AW67" i="18"/>
  <c r="AV67" i="18"/>
  <c r="AU67" i="18"/>
  <c r="AT67" i="18"/>
  <c r="AS67" i="18"/>
  <c r="AR67" i="18"/>
  <c r="AQ67" i="18"/>
  <c r="AP67" i="18"/>
  <c r="AD67" i="18"/>
  <c r="BG66" i="18"/>
  <c r="BD66" i="18"/>
  <c r="BC66" i="18"/>
  <c r="BB66" i="18"/>
  <c r="BA66" i="18"/>
  <c r="AZ66" i="18"/>
  <c r="AY66" i="18"/>
  <c r="AX66" i="18"/>
  <c r="AW66" i="18"/>
  <c r="AV66" i="18"/>
  <c r="AU66" i="18"/>
  <c r="AT66" i="18"/>
  <c r="AS66" i="18"/>
  <c r="AR66" i="18"/>
  <c r="AQ66" i="18"/>
  <c r="AP66" i="18"/>
  <c r="AN66" i="18"/>
  <c r="AC66" i="18" s="1"/>
  <c r="Z66" i="18"/>
  <c r="AD66" i="18" s="1"/>
  <c r="Y66" i="18"/>
  <c r="AA66" i="18" s="1"/>
  <c r="B66" i="18"/>
  <c r="BE65" i="18"/>
  <c r="BD65" i="18"/>
  <c r="BC65" i="18"/>
  <c r="BB65" i="18"/>
  <c r="BA65" i="18"/>
  <c r="AZ65" i="18"/>
  <c r="AY65" i="18"/>
  <c r="AX65" i="18"/>
  <c r="AW65" i="18"/>
  <c r="AV65" i="18"/>
  <c r="AU65" i="18"/>
  <c r="AT65" i="18"/>
  <c r="AS65" i="18"/>
  <c r="AR65" i="18"/>
  <c r="AQ65" i="18"/>
  <c r="AP65" i="18"/>
  <c r="BG64" i="18"/>
  <c r="BD64" i="18"/>
  <c r="BC64" i="18"/>
  <c r="BB64" i="18"/>
  <c r="BA64" i="18"/>
  <c r="AZ64" i="18"/>
  <c r="AY64" i="18"/>
  <c r="AX64" i="18"/>
  <c r="AW64" i="18"/>
  <c r="AV64" i="18"/>
  <c r="AU64" i="18"/>
  <c r="AT64" i="18"/>
  <c r="AS64" i="18"/>
  <c r="AR64" i="18"/>
  <c r="AQ64" i="18"/>
  <c r="AP64" i="18"/>
  <c r="AN64" i="18"/>
  <c r="AC64" i="18" s="1"/>
  <c r="Z64" i="18"/>
  <c r="AD65" i="18" s="1"/>
  <c r="Y64" i="18"/>
  <c r="AA64" i="18" s="1"/>
  <c r="B64" i="18"/>
  <c r="BE63" i="18"/>
  <c r="BD63" i="18"/>
  <c r="BC63" i="18"/>
  <c r="BB63" i="18"/>
  <c r="BA63" i="18"/>
  <c r="AZ63" i="18"/>
  <c r="AY63" i="18"/>
  <c r="AX63" i="18"/>
  <c r="AW63" i="18"/>
  <c r="AV63" i="18"/>
  <c r="AU63" i="18"/>
  <c r="AT63" i="18"/>
  <c r="AS63" i="18"/>
  <c r="AR63" i="18"/>
  <c r="AQ63" i="18"/>
  <c r="AP63" i="18"/>
  <c r="BG62" i="18"/>
  <c r="BD62" i="18"/>
  <c r="BC62" i="18"/>
  <c r="BB62" i="18"/>
  <c r="BA62" i="18"/>
  <c r="AZ62" i="18"/>
  <c r="AY62" i="18"/>
  <c r="AX62" i="18"/>
  <c r="AW62" i="18"/>
  <c r="AV62" i="18"/>
  <c r="AU62" i="18"/>
  <c r="AT62" i="18"/>
  <c r="AS62" i="18"/>
  <c r="AR62" i="18"/>
  <c r="AQ62" i="18"/>
  <c r="AP62" i="18"/>
  <c r="AN62" i="18"/>
  <c r="AC62" i="18" s="1"/>
  <c r="Z62" i="18"/>
  <c r="AD62" i="18" s="1"/>
  <c r="Y62" i="18"/>
  <c r="AA62" i="18" s="1"/>
  <c r="B62" i="18"/>
  <c r="BE61" i="18"/>
  <c r="BD61" i="18"/>
  <c r="BC61" i="18"/>
  <c r="BB61" i="18"/>
  <c r="BA61" i="18"/>
  <c r="AZ61" i="18"/>
  <c r="AY61" i="18"/>
  <c r="AX61" i="18"/>
  <c r="AW61" i="18"/>
  <c r="AV61" i="18"/>
  <c r="AU61" i="18"/>
  <c r="AT61" i="18"/>
  <c r="AS61" i="18"/>
  <c r="AR61" i="18"/>
  <c r="AQ61" i="18"/>
  <c r="AP61" i="18"/>
  <c r="BG60" i="18"/>
  <c r="BD60" i="18"/>
  <c r="BC60" i="18"/>
  <c r="BB60" i="18"/>
  <c r="BA60" i="18"/>
  <c r="AZ60" i="18"/>
  <c r="AY60" i="18"/>
  <c r="AX60" i="18"/>
  <c r="AW60" i="18"/>
  <c r="AV60" i="18"/>
  <c r="AU60" i="18"/>
  <c r="AT60" i="18"/>
  <c r="AS60" i="18"/>
  <c r="AR60" i="18"/>
  <c r="AQ60" i="18"/>
  <c r="AP60" i="18"/>
  <c r="AN60" i="18"/>
  <c r="AC60" i="18" s="1"/>
  <c r="Z60" i="18"/>
  <c r="AD60" i="18" s="1"/>
  <c r="Y60" i="18"/>
  <c r="AA60" i="18" s="1"/>
  <c r="B60" i="18"/>
  <c r="BE59" i="18"/>
  <c r="BD59" i="18"/>
  <c r="BC59" i="18"/>
  <c r="BB59" i="18"/>
  <c r="BA59" i="18"/>
  <c r="AZ59" i="18"/>
  <c r="AY59" i="18"/>
  <c r="AX59" i="18"/>
  <c r="AW59" i="18"/>
  <c r="AV59" i="18"/>
  <c r="AU59" i="18"/>
  <c r="AT59" i="18"/>
  <c r="AS59" i="18"/>
  <c r="AR59" i="18"/>
  <c r="AQ59" i="18"/>
  <c r="AP59" i="18"/>
  <c r="BG58" i="18"/>
  <c r="BD58" i="18"/>
  <c r="BC58" i="18"/>
  <c r="BB58" i="18"/>
  <c r="BA58" i="18"/>
  <c r="AZ58" i="18"/>
  <c r="AY58" i="18"/>
  <c r="AX58" i="18"/>
  <c r="AW58" i="18"/>
  <c r="AV58" i="18"/>
  <c r="AU58" i="18"/>
  <c r="AT58" i="18"/>
  <c r="AS58" i="18"/>
  <c r="AR58" i="18"/>
  <c r="AQ58" i="18"/>
  <c r="AP58" i="18"/>
  <c r="AN58" i="18"/>
  <c r="AC58" i="18" s="1"/>
  <c r="Z58" i="18"/>
  <c r="AD59" i="18" s="1"/>
  <c r="Y58" i="18"/>
  <c r="AA58" i="18" s="1"/>
  <c r="B58" i="18"/>
  <c r="BE57" i="18"/>
  <c r="BD57" i="18"/>
  <c r="BC57" i="18"/>
  <c r="BB57" i="18"/>
  <c r="BA57" i="18"/>
  <c r="AZ57" i="18"/>
  <c r="AY57" i="18"/>
  <c r="AX57" i="18"/>
  <c r="AW57" i="18"/>
  <c r="AV57" i="18"/>
  <c r="AU57" i="18"/>
  <c r="AT57" i="18"/>
  <c r="AS57" i="18"/>
  <c r="AR57" i="18"/>
  <c r="AQ57" i="18"/>
  <c r="AP57" i="18"/>
  <c r="BG56" i="18"/>
  <c r="BD56" i="18"/>
  <c r="BC56" i="18"/>
  <c r="BB56" i="18"/>
  <c r="BA56" i="18"/>
  <c r="AZ56" i="18"/>
  <c r="AY56" i="18"/>
  <c r="AX56" i="18"/>
  <c r="AW56" i="18"/>
  <c r="AV56" i="18"/>
  <c r="AU56" i="18"/>
  <c r="AT56" i="18"/>
  <c r="AS56" i="18"/>
  <c r="AR56" i="18"/>
  <c r="AQ56" i="18"/>
  <c r="AP56" i="18"/>
  <c r="AN56" i="18"/>
  <c r="AC56" i="18" s="1"/>
  <c r="Z56" i="18"/>
  <c r="AD56" i="18" s="1"/>
  <c r="Y56" i="18"/>
  <c r="AA56" i="18" s="1"/>
  <c r="B56" i="18"/>
  <c r="BE55" i="18"/>
  <c r="BD55" i="18"/>
  <c r="BC55" i="18"/>
  <c r="BB55" i="18"/>
  <c r="BA55" i="18"/>
  <c r="AZ55" i="18"/>
  <c r="AY55" i="18"/>
  <c r="AX55" i="18"/>
  <c r="AW55" i="18"/>
  <c r="AV55" i="18"/>
  <c r="AU55" i="18"/>
  <c r="AT55" i="18"/>
  <c r="AS55" i="18"/>
  <c r="AR55" i="18"/>
  <c r="AQ55" i="18"/>
  <c r="AP55" i="18"/>
  <c r="BG54" i="18"/>
  <c r="BD54" i="18"/>
  <c r="BC54" i="18"/>
  <c r="BB54" i="18"/>
  <c r="BA54" i="18"/>
  <c r="AZ54" i="18"/>
  <c r="AY54" i="18"/>
  <c r="AX54" i="18"/>
  <c r="AW54" i="18"/>
  <c r="AV54" i="18"/>
  <c r="AU54" i="18"/>
  <c r="AT54" i="18"/>
  <c r="AS54" i="18"/>
  <c r="AR54" i="18"/>
  <c r="AQ54" i="18"/>
  <c r="AP54" i="18"/>
  <c r="AN54" i="18"/>
  <c r="AC54" i="18" s="1"/>
  <c r="Z54" i="18"/>
  <c r="AD55" i="18" s="1"/>
  <c r="Y54" i="18"/>
  <c r="AA54" i="18" s="1"/>
  <c r="B54" i="18"/>
  <c r="BE53" i="18"/>
  <c r="BD53" i="18"/>
  <c r="BC53" i="18"/>
  <c r="BB53" i="18"/>
  <c r="BA53" i="18"/>
  <c r="AZ53" i="18"/>
  <c r="AY53" i="18"/>
  <c r="AX53" i="18"/>
  <c r="AW53" i="18"/>
  <c r="AV53" i="18"/>
  <c r="AU53" i="18"/>
  <c r="AT53" i="18"/>
  <c r="AS53" i="18"/>
  <c r="AR53" i="18"/>
  <c r="AQ53" i="18"/>
  <c r="AP53" i="18"/>
  <c r="BG52" i="18"/>
  <c r="BD52" i="18"/>
  <c r="BC52" i="18"/>
  <c r="BB52" i="18"/>
  <c r="BA52" i="18"/>
  <c r="AZ52" i="18"/>
  <c r="AY52" i="18"/>
  <c r="AX52" i="18"/>
  <c r="AW52" i="18"/>
  <c r="AV52" i="18"/>
  <c r="AU52" i="18"/>
  <c r="AT52" i="18"/>
  <c r="AS52" i="18"/>
  <c r="AR52" i="18"/>
  <c r="AQ52" i="18"/>
  <c r="AP52" i="18"/>
  <c r="AN52" i="18"/>
  <c r="AC52" i="18" s="1"/>
  <c r="Z52" i="18"/>
  <c r="AD52" i="18" s="1"/>
  <c r="Y52" i="18"/>
  <c r="AA52" i="18" s="1"/>
  <c r="B52" i="18"/>
  <c r="BE51" i="18"/>
  <c r="BD51" i="18"/>
  <c r="BC51" i="18"/>
  <c r="BB51" i="18"/>
  <c r="BA51" i="18"/>
  <c r="AZ51" i="18"/>
  <c r="AY51" i="18"/>
  <c r="AX51" i="18"/>
  <c r="AW51" i="18"/>
  <c r="AV51" i="18"/>
  <c r="AU51" i="18"/>
  <c r="AT51" i="18"/>
  <c r="AS51" i="18"/>
  <c r="AR51" i="18"/>
  <c r="AQ51" i="18"/>
  <c r="AP51" i="18"/>
  <c r="AD51" i="18"/>
  <c r="BG50" i="18"/>
  <c r="BD50" i="18"/>
  <c r="BC50" i="18"/>
  <c r="BB50" i="18"/>
  <c r="BA50" i="18"/>
  <c r="AZ50" i="18"/>
  <c r="AY50" i="18"/>
  <c r="AX50" i="18"/>
  <c r="AW50" i="18"/>
  <c r="AV50" i="18"/>
  <c r="AU50" i="18"/>
  <c r="AT50" i="18"/>
  <c r="AS50" i="18"/>
  <c r="AR50" i="18"/>
  <c r="AQ50" i="18"/>
  <c r="AP50" i="18"/>
  <c r="AN50" i="18"/>
  <c r="AC50" i="18" s="1"/>
  <c r="Z50" i="18"/>
  <c r="AD50" i="18" s="1"/>
  <c r="Y50" i="18"/>
  <c r="AA50" i="18" s="1"/>
  <c r="B50" i="18"/>
  <c r="BE49" i="18"/>
  <c r="BD49" i="18"/>
  <c r="BC49" i="18"/>
  <c r="BB49" i="18"/>
  <c r="BA49" i="18"/>
  <c r="AZ49" i="18"/>
  <c r="AY49" i="18"/>
  <c r="AX49" i="18"/>
  <c r="AW49" i="18"/>
  <c r="AV49" i="18"/>
  <c r="AU49" i="18"/>
  <c r="AT49" i="18"/>
  <c r="AS49" i="18"/>
  <c r="AR49" i="18"/>
  <c r="AQ49" i="18"/>
  <c r="AP49" i="18"/>
  <c r="BG48" i="18"/>
  <c r="BD48" i="18"/>
  <c r="BC48" i="18"/>
  <c r="BB48" i="18"/>
  <c r="BA48" i="18"/>
  <c r="AZ48" i="18"/>
  <c r="AY48" i="18"/>
  <c r="AX48" i="18"/>
  <c r="AW48" i="18"/>
  <c r="AV48" i="18"/>
  <c r="AU48" i="18"/>
  <c r="AT48" i="18"/>
  <c r="AS48" i="18"/>
  <c r="AR48" i="18"/>
  <c r="AQ48" i="18"/>
  <c r="AP48" i="18"/>
  <c r="AN48" i="18"/>
  <c r="AC48" i="18" s="1"/>
  <c r="Z48" i="18"/>
  <c r="AD48" i="18" s="1"/>
  <c r="Y48" i="18"/>
  <c r="AA48" i="18" s="1"/>
  <c r="B48" i="18"/>
  <c r="BE47" i="18"/>
  <c r="BD47" i="18"/>
  <c r="BC47" i="18"/>
  <c r="BB47" i="18"/>
  <c r="BA47" i="18"/>
  <c r="AZ47" i="18"/>
  <c r="AY47" i="18"/>
  <c r="AX47" i="18"/>
  <c r="AW47" i="18"/>
  <c r="AV47" i="18"/>
  <c r="AU47" i="18"/>
  <c r="AT47" i="18"/>
  <c r="AS47" i="18"/>
  <c r="AR47" i="18"/>
  <c r="AQ47" i="18"/>
  <c r="AP47" i="18"/>
  <c r="BG46" i="18"/>
  <c r="BD46" i="18"/>
  <c r="BC46" i="18"/>
  <c r="BB46" i="18"/>
  <c r="BA46" i="18"/>
  <c r="AZ46" i="18"/>
  <c r="AY46" i="18"/>
  <c r="AX46" i="18"/>
  <c r="AW46" i="18"/>
  <c r="AV46" i="18"/>
  <c r="AU46" i="18"/>
  <c r="AT46" i="18"/>
  <c r="AS46" i="18"/>
  <c r="AR46" i="18"/>
  <c r="AQ46" i="18"/>
  <c r="AP46" i="18"/>
  <c r="AN46" i="18"/>
  <c r="AC46" i="18" s="1"/>
  <c r="Z46" i="18"/>
  <c r="Y46" i="18"/>
  <c r="AA46" i="18" s="1"/>
  <c r="B46" i="18"/>
  <c r="BE45" i="18"/>
  <c r="BD45" i="18"/>
  <c r="BC45" i="18"/>
  <c r="BB45" i="18"/>
  <c r="BA45" i="18"/>
  <c r="AZ45" i="18"/>
  <c r="AY45" i="18"/>
  <c r="AX45" i="18"/>
  <c r="AW45" i="18"/>
  <c r="AV45" i="18"/>
  <c r="AU45" i="18"/>
  <c r="AT45" i="18"/>
  <c r="AS45" i="18"/>
  <c r="AR45" i="18"/>
  <c r="AQ45" i="18"/>
  <c r="AP45" i="18"/>
  <c r="BG44" i="18"/>
  <c r="BD44" i="18"/>
  <c r="BC44" i="18"/>
  <c r="BB44" i="18"/>
  <c r="BA44" i="18"/>
  <c r="AZ44" i="18"/>
  <c r="AY44" i="18"/>
  <c r="AX44" i="18"/>
  <c r="AW44" i="18"/>
  <c r="AV44" i="18"/>
  <c r="AU44" i="18"/>
  <c r="AT44" i="18"/>
  <c r="AS44" i="18"/>
  <c r="AR44" i="18"/>
  <c r="AQ44" i="18"/>
  <c r="AP44" i="18"/>
  <c r="AN44" i="18"/>
  <c r="AC44" i="18" s="1"/>
  <c r="Z44" i="18"/>
  <c r="Y44" i="18"/>
  <c r="AA44" i="18" s="1"/>
  <c r="B44" i="18"/>
  <c r="BE43" i="18"/>
  <c r="BD43" i="18"/>
  <c r="BC43" i="18"/>
  <c r="BB43" i="18"/>
  <c r="BA43" i="18"/>
  <c r="AZ43" i="18"/>
  <c r="AY43" i="18"/>
  <c r="AX43" i="18"/>
  <c r="AW43" i="18"/>
  <c r="AV43" i="18"/>
  <c r="AU43" i="18"/>
  <c r="AT43" i="18"/>
  <c r="AS43" i="18"/>
  <c r="AR43" i="18"/>
  <c r="AQ43" i="18"/>
  <c r="AP43" i="18"/>
  <c r="BG42" i="18"/>
  <c r="BD42" i="18"/>
  <c r="BC42" i="18"/>
  <c r="BB42" i="18"/>
  <c r="BA42" i="18"/>
  <c r="AZ42" i="18"/>
  <c r="AY42" i="18"/>
  <c r="AX42" i="18"/>
  <c r="AW42" i="18"/>
  <c r="AV42" i="18"/>
  <c r="AU42" i="18"/>
  <c r="AT42" i="18"/>
  <c r="AS42" i="18"/>
  <c r="AR42" i="18"/>
  <c r="AQ42" i="18"/>
  <c r="AP42" i="18"/>
  <c r="AN42" i="18"/>
  <c r="AC42" i="18" s="1"/>
  <c r="Z42" i="18"/>
  <c r="Y42" i="18"/>
  <c r="AA42" i="18" s="1"/>
  <c r="B42" i="18"/>
  <c r="BE39" i="18"/>
  <c r="BD39" i="18"/>
  <c r="BC39" i="18"/>
  <c r="BB39" i="18"/>
  <c r="BA39" i="18"/>
  <c r="AZ39" i="18"/>
  <c r="AY39" i="18"/>
  <c r="AX39" i="18"/>
  <c r="AW39" i="18"/>
  <c r="AV39" i="18"/>
  <c r="AU39" i="18"/>
  <c r="AT39" i="18"/>
  <c r="AS39" i="18"/>
  <c r="AR39" i="18"/>
  <c r="AQ39" i="18"/>
  <c r="AP39" i="18"/>
  <c r="BG38" i="18"/>
  <c r="BD38" i="18"/>
  <c r="BC38" i="18"/>
  <c r="BB38" i="18"/>
  <c r="BA38" i="18"/>
  <c r="AZ38" i="18"/>
  <c r="AY38" i="18"/>
  <c r="AX38" i="18"/>
  <c r="AW38" i="18"/>
  <c r="AV38" i="18"/>
  <c r="AU38" i="18"/>
  <c r="AT38" i="18"/>
  <c r="AS38" i="18"/>
  <c r="AR38" i="18"/>
  <c r="AQ38" i="18"/>
  <c r="AP38" i="18"/>
  <c r="AN38" i="18"/>
  <c r="AC38" i="18" s="1"/>
  <c r="Z38" i="18"/>
  <c r="AD39" i="18" s="1"/>
  <c r="Y38" i="18"/>
  <c r="AA38" i="18" s="1"/>
  <c r="B38" i="18"/>
  <c r="BE37" i="18"/>
  <c r="BD37" i="18"/>
  <c r="BC37" i="18"/>
  <c r="BB37" i="18"/>
  <c r="BA37" i="18"/>
  <c r="AZ37" i="18"/>
  <c r="AY37" i="18"/>
  <c r="AX37" i="18"/>
  <c r="AW37" i="18"/>
  <c r="AV37" i="18"/>
  <c r="AU37" i="18"/>
  <c r="AT37" i="18"/>
  <c r="AS37" i="18"/>
  <c r="AR37" i="18"/>
  <c r="AQ37" i="18"/>
  <c r="AP37" i="18"/>
  <c r="BG36" i="18"/>
  <c r="BD36" i="18"/>
  <c r="BC36" i="18"/>
  <c r="BB36" i="18"/>
  <c r="BA36" i="18"/>
  <c r="AZ36" i="18"/>
  <c r="AY36" i="18"/>
  <c r="AX36" i="18"/>
  <c r="AW36" i="18"/>
  <c r="AV36" i="18"/>
  <c r="AU36" i="18"/>
  <c r="AT36" i="18"/>
  <c r="AS36" i="18"/>
  <c r="AR36" i="18"/>
  <c r="AQ36" i="18"/>
  <c r="AP36" i="18"/>
  <c r="AN36" i="18"/>
  <c r="AC36" i="18" s="1"/>
  <c r="Z36" i="18"/>
  <c r="AD37" i="18" s="1"/>
  <c r="Y36" i="18"/>
  <c r="AA36" i="18" s="1"/>
  <c r="B36" i="18"/>
  <c r="BE35" i="18"/>
  <c r="BD35" i="18"/>
  <c r="BC35" i="18"/>
  <c r="BB35" i="18"/>
  <c r="BA35" i="18"/>
  <c r="AZ35" i="18"/>
  <c r="AY35" i="18"/>
  <c r="AX35" i="18"/>
  <c r="AW35" i="18"/>
  <c r="AV35" i="18"/>
  <c r="AU35" i="18"/>
  <c r="AT35" i="18"/>
  <c r="AS35" i="18"/>
  <c r="AR35" i="18"/>
  <c r="AQ35" i="18"/>
  <c r="AP35" i="18"/>
  <c r="BG34" i="18"/>
  <c r="BD34" i="18"/>
  <c r="BC34" i="18"/>
  <c r="BB34" i="18"/>
  <c r="BA34" i="18"/>
  <c r="AZ34" i="18"/>
  <c r="AY34" i="18"/>
  <c r="AX34" i="18"/>
  <c r="AW34" i="18"/>
  <c r="AV34" i="18"/>
  <c r="AU34" i="18"/>
  <c r="AT34" i="18"/>
  <c r="AS34" i="18"/>
  <c r="AR34" i="18"/>
  <c r="AQ34" i="18"/>
  <c r="AP34" i="18"/>
  <c r="AN34" i="18"/>
  <c r="AC34" i="18" s="1"/>
  <c r="Z34" i="18"/>
  <c r="AD35" i="18" s="1"/>
  <c r="Y34" i="18"/>
  <c r="AA34" i="18" s="1"/>
  <c r="B34" i="18"/>
  <c r="BE33" i="18"/>
  <c r="BD33" i="18"/>
  <c r="BC33" i="18"/>
  <c r="BB33" i="18"/>
  <c r="BA33" i="18"/>
  <c r="AZ33" i="18"/>
  <c r="AY33" i="18"/>
  <c r="AX33" i="18"/>
  <c r="AW33" i="18"/>
  <c r="AV33" i="18"/>
  <c r="AU33" i="18"/>
  <c r="AT33" i="18"/>
  <c r="AS33" i="18"/>
  <c r="AR33" i="18"/>
  <c r="AQ33" i="18"/>
  <c r="AP33" i="18"/>
  <c r="BG32" i="18"/>
  <c r="BD32" i="18"/>
  <c r="BC32" i="18"/>
  <c r="BB32" i="18"/>
  <c r="BA32" i="18"/>
  <c r="AZ32" i="18"/>
  <c r="AY32" i="18"/>
  <c r="AX32" i="18"/>
  <c r="AW32" i="18"/>
  <c r="AV32" i="18"/>
  <c r="AU32" i="18"/>
  <c r="AT32" i="18"/>
  <c r="AS32" i="18"/>
  <c r="AR32" i="18"/>
  <c r="AQ32" i="18"/>
  <c r="AP32" i="18"/>
  <c r="AN32" i="18"/>
  <c r="Z32" i="18"/>
  <c r="AD32" i="18" s="1"/>
  <c r="Y32" i="18"/>
  <c r="AA32" i="18" s="1"/>
  <c r="B32" i="18"/>
  <c r="BE31" i="18"/>
  <c r="BD31" i="18"/>
  <c r="BC31" i="18"/>
  <c r="BB31" i="18"/>
  <c r="BA31" i="18"/>
  <c r="AZ31" i="18"/>
  <c r="AY31" i="18"/>
  <c r="AX31" i="18"/>
  <c r="AW31" i="18"/>
  <c r="AV31" i="18"/>
  <c r="AU31" i="18"/>
  <c r="AT31" i="18"/>
  <c r="AS31" i="18"/>
  <c r="AR31" i="18"/>
  <c r="AQ31" i="18"/>
  <c r="AP31" i="18"/>
  <c r="BG30" i="18"/>
  <c r="BD30" i="18"/>
  <c r="BC30" i="18"/>
  <c r="BB30" i="18"/>
  <c r="BA30" i="18"/>
  <c r="AZ30" i="18"/>
  <c r="AY30" i="18"/>
  <c r="AX30" i="18"/>
  <c r="AW30" i="18"/>
  <c r="AV30" i="18"/>
  <c r="AU30" i="18"/>
  <c r="AT30" i="18"/>
  <c r="AS30" i="18"/>
  <c r="AR30" i="18"/>
  <c r="AQ30" i="18"/>
  <c r="AP30" i="18"/>
  <c r="AN30" i="18"/>
  <c r="AC30" i="18" s="1"/>
  <c r="Z30" i="18"/>
  <c r="AD30" i="18" s="1"/>
  <c r="Y30" i="18"/>
  <c r="AA30" i="18" s="1"/>
  <c r="B30" i="18"/>
  <c r="BE29" i="18"/>
  <c r="BD29" i="18"/>
  <c r="BC29" i="18"/>
  <c r="BB29" i="18"/>
  <c r="BA29" i="18"/>
  <c r="AZ29" i="18"/>
  <c r="AY29" i="18"/>
  <c r="AX29" i="18"/>
  <c r="AW29" i="18"/>
  <c r="AV29" i="18"/>
  <c r="AU29" i="18"/>
  <c r="AT29" i="18"/>
  <c r="AS29" i="18"/>
  <c r="AR29" i="18"/>
  <c r="AQ29" i="18"/>
  <c r="AP29" i="18"/>
  <c r="BG28" i="18"/>
  <c r="BD28" i="18"/>
  <c r="BC28" i="18"/>
  <c r="BB28" i="18"/>
  <c r="BA28" i="18"/>
  <c r="AZ28" i="18"/>
  <c r="AY28" i="18"/>
  <c r="AX28" i="18"/>
  <c r="AW28" i="18"/>
  <c r="AV28" i="18"/>
  <c r="AU28" i="18"/>
  <c r="AT28" i="18"/>
  <c r="AS28" i="18"/>
  <c r="AR28" i="18"/>
  <c r="AQ28" i="18"/>
  <c r="AP28" i="18"/>
  <c r="AN28" i="18"/>
  <c r="AC28" i="18" s="1"/>
  <c r="Z28" i="18"/>
  <c r="AD29" i="18" s="1"/>
  <c r="Y28" i="18"/>
  <c r="AA28" i="18" s="1"/>
  <c r="B28" i="18"/>
  <c r="BE27" i="18"/>
  <c r="BD27" i="18"/>
  <c r="BC27" i="18"/>
  <c r="BB27" i="18"/>
  <c r="BA27" i="18"/>
  <c r="AZ27" i="18"/>
  <c r="AY27" i="18"/>
  <c r="AX27" i="18"/>
  <c r="AW27" i="18"/>
  <c r="AV27" i="18"/>
  <c r="AU27" i="18"/>
  <c r="AT27" i="18"/>
  <c r="AS27" i="18"/>
  <c r="AR27" i="18"/>
  <c r="AQ27" i="18"/>
  <c r="AP27" i="18"/>
  <c r="BG26" i="18"/>
  <c r="BD26" i="18"/>
  <c r="BC26" i="18"/>
  <c r="BB26" i="18"/>
  <c r="BA26" i="18"/>
  <c r="AZ26" i="18"/>
  <c r="AY26" i="18"/>
  <c r="AX26" i="18"/>
  <c r="AW26" i="18"/>
  <c r="AV26" i="18"/>
  <c r="AU26" i="18"/>
  <c r="AT26" i="18"/>
  <c r="AS26" i="18"/>
  <c r="AR26" i="18"/>
  <c r="AQ26" i="18"/>
  <c r="AP26" i="18"/>
  <c r="AN26" i="18"/>
  <c r="AC26" i="18" s="1"/>
  <c r="BE25" i="18"/>
  <c r="BD25" i="18"/>
  <c r="BC25" i="18"/>
  <c r="BB25" i="18"/>
  <c r="BA25" i="18"/>
  <c r="AZ25" i="18"/>
  <c r="AY25" i="18"/>
  <c r="AX25" i="18"/>
  <c r="AW25" i="18"/>
  <c r="AV25" i="18"/>
  <c r="AU25" i="18"/>
  <c r="AT25" i="18"/>
  <c r="AS25" i="18"/>
  <c r="AR25" i="18"/>
  <c r="AQ25" i="18"/>
  <c r="AP25" i="18"/>
  <c r="BG24" i="18"/>
  <c r="BD24" i="18"/>
  <c r="BC24" i="18"/>
  <c r="BB24" i="18"/>
  <c r="BA24" i="18"/>
  <c r="AZ24" i="18"/>
  <c r="AY24" i="18"/>
  <c r="AX24" i="18"/>
  <c r="AW24" i="18"/>
  <c r="AV24" i="18"/>
  <c r="AU24" i="18"/>
  <c r="AT24" i="18"/>
  <c r="AS24" i="18"/>
  <c r="AR24" i="18"/>
  <c r="AQ24" i="18"/>
  <c r="AP24" i="18"/>
  <c r="AN24" i="18"/>
  <c r="BE23" i="18"/>
  <c r="BD23" i="18"/>
  <c r="BC23" i="18"/>
  <c r="BB23" i="18"/>
  <c r="BA23" i="18"/>
  <c r="AZ23" i="18"/>
  <c r="AY23" i="18"/>
  <c r="AX23" i="18"/>
  <c r="AW23" i="18"/>
  <c r="AV23" i="18"/>
  <c r="AU23" i="18"/>
  <c r="AT23" i="18"/>
  <c r="AS23" i="18"/>
  <c r="AR23" i="18"/>
  <c r="AQ23" i="18"/>
  <c r="AP23" i="18"/>
  <c r="BG22" i="18"/>
  <c r="BD22" i="18"/>
  <c r="BC22" i="18"/>
  <c r="BB22" i="18"/>
  <c r="BA22" i="18"/>
  <c r="AZ22" i="18"/>
  <c r="AY22" i="18"/>
  <c r="AX22" i="18"/>
  <c r="AW22" i="18"/>
  <c r="AV22" i="18"/>
  <c r="AU22" i="18"/>
  <c r="AT22" i="18"/>
  <c r="AS22" i="18"/>
  <c r="AR22" i="18"/>
  <c r="AQ22" i="18"/>
  <c r="AP22" i="18"/>
  <c r="AN22" i="18"/>
  <c r="BE21" i="18"/>
  <c r="BD21" i="18"/>
  <c r="BC21" i="18"/>
  <c r="BB21" i="18"/>
  <c r="BA21" i="18"/>
  <c r="AZ21" i="18"/>
  <c r="AY21" i="18"/>
  <c r="AX21" i="18"/>
  <c r="AW21" i="18"/>
  <c r="AV21" i="18"/>
  <c r="AU21" i="18"/>
  <c r="AT21" i="18"/>
  <c r="AS21" i="18"/>
  <c r="AR21" i="18"/>
  <c r="AQ21" i="18"/>
  <c r="AP21" i="18"/>
  <c r="BG20" i="18"/>
  <c r="BD20" i="18"/>
  <c r="BC20" i="18"/>
  <c r="BB20" i="18"/>
  <c r="BA20" i="18"/>
  <c r="AZ20" i="18"/>
  <c r="AY20" i="18"/>
  <c r="AX20" i="18"/>
  <c r="AW20" i="18"/>
  <c r="AV20" i="18"/>
  <c r="AU20" i="18"/>
  <c r="AT20" i="18"/>
  <c r="AS20" i="18"/>
  <c r="AQ20" i="18"/>
  <c r="AP20" i="18"/>
  <c r="AN20" i="18"/>
  <c r="BE19" i="18"/>
  <c r="BD19" i="18"/>
  <c r="BC19" i="18"/>
  <c r="BB19" i="18"/>
  <c r="BA19" i="18"/>
  <c r="AZ19" i="18"/>
  <c r="AY19" i="18"/>
  <c r="AX19" i="18"/>
  <c r="AW19" i="18"/>
  <c r="AV19" i="18"/>
  <c r="AU19" i="18"/>
  <c r="AT19" i="18"/>
  <c r="AS19" i="18"/>
  <c r="AR19" i="18"/>
  <c r="AQ19" i="18"/>
  <c r="AP19" i="18"/>
  <c r="BG18" i="18"/>
  <c r="BD18" i="18"/>
  <c r="BC18" i="18"/>
  <c r="BB18" i="18"/>
  <c r="BA18" i="18"/>
  <c r="AZ18" i="18"/>
  <c r="AY18" i="18"/>
  <c r="AX18" i="18"/>
  <c r="AW18" i="18"/>
  <c r="AV18" i="18"/>
  <c r="AU18" i="18"/>
  <c r="AT18" i="18"/>
  <c r="AS18" i="18"/>
  <c r="AR18" i="18"/>
  <c r="AQ18" i="18"/>
  <c r="AP18" i="18"/>
  <c r="AN18" i="18"/>
  <c r="BE17" i="18"/>
  <c r="BD17" i="18"/>
  <c r="BC17" i="18"/>
  <c r="BB17" i="18"/>
  <c r="BA17" i="18"/>
  <c r="AZ17" i="18"/>
  <c r="AY17" i="18"/>
  <c r="AX17" i="18"/>
  <c r="AW17" i="18"/>
  <c r="AV17" i="18"/>
  <c r="AU17" i="18"/>
  <c r="AT17" i="18"/>
  <c r="AS17" i="18"/>
  <c r="AR17" i="18"/>
  <c r="AQ17" i="18"/>
  <c r="AP17" i="18"/>
  <c r="BG16" i="18"/>
  <c r="BD16" i="18"/>
  <c r="BC16" i="18"/>
  <c r="BB16" i="18"/>
  <c r="BA16" i="18"/>
  <c r="AZ16" i="18"/>
  <c r="AY16" i="18"/>
  <c r="AX16" i="18"/>
  <c r="AW16" i="18"/>
  <c r="AV16" i="18"/>
  <c r="AU16" i="18"/>
  <c r="AT16" i="18"/>
  <c r="AS16" i="18"/>
  <c r="AR16" i="18"/>
  <c r="AQ16" i="18"/>
  <c r="AP16" i="18"/>
  <c r="AN16" i="18"/>
  <c r="BE15" i="18"/>
  <c r="BD15" i="18"/>
  <c r="BC15" i="18"/>
  <c r="BB15" i="18"/>
  <c r="BA15" i="18"/>
  <c r="AZ15" i="18"/>
  <c r="AY15" i="18"/>
  <c r="AX15" i="18"/>
  <c r="AW15" i="18"/>
  <c r="AV15" i="18"/>
  <c r="AU15" i="18"/>
  <c r="AT15" i="18"/>
  <c r="AS15" i="18"/>
  <c r="AR15" i="18"/>
  <c r="AQ15" i="18"/>
  <c r="AP15" i="18"/>
  <c r="BG14" i="18"/>
  <c r="BD14" i="18"/>
  <c r="BC14" i="18"/>
  <c r="BB14" i="18"/>
  <c r="BA14" i="18"/>
  <c r="AZ14" i="18"/>
  <c r="AY14" i="18"/>
  <c r="AX14" i="18"/>
  <c r="AW14" i="18"/>
  <c r="AV14" i="18"/>
  <c r="AU14" i="18"/>
  <c r="AT14" i="18"/>
  <c r="AS14" i="18"/>
  <c r="AR14" i="18"/>
  <c r="AQ14" i="18"/>
  <c r="AP14" i="18"/>
  <c r="AN14" i="18"/>
  <c r="BE13" i="18"/>
  <c r="BD13" i="18"/>
  <c r="BC13" i="18"/>
  <c r="BB13" i="18"/>
  <c r="BA13" i="18"/>
  <c r="AZ13" i="18"/>
  <c r="AY13" i="18"/>
  <c r="AX13" i="18"/>
  <c r="AW13" i="18"/>
  <c r="AV13" i="18"/>
  <c r="AU13" i="18"/>
  <c r="AT13" i="18"/>
  <c r="AS13" i="18"/>
  <c r="AR13" i="18"/>
  <c r="AQ13" i="18"/>
  <c r="AP13" i="18"/>
  <c r="BG12" i="18"/>
  <c r="BD12" i="18"/>
  <c r="BC12" i="18"/>
  <c r="BB12" i="18"/>
  <c r="BA12" i="18"/>
  <c r="AZ12" i="18"/>
  <c r="AY12" i="18"/>
  <c r="AX12" i="18"/>
  <c r="AW12" i="18"/>
  <c r="AV12" i="18"/>
  <c r="AU12" i="18"/>
  <c r="AT12" i="18"/>
  <c r="AS12" i="18"/>
  <c r="AR12" i="18"/>
  <c r="AQ12" i="18"/>
  <c r="AP12" i="18"/>
  <c r="AN12" i="18"/>
  <c r="BE11" i="18"/>
  <c r="BD11" i="18"/>
  <c r="BC11" i="18"/>
  <c r="BB11" i="18"/>
  <c r="BA11" i="18"/>
  <c r="AZ11" i="18"/>
  <c r="AY11" i="18"/>
  <c r="AX11" i="18"/>
  <c r="AW11" i="18"/>
  <c r="AV11" i="18"/>
  <c r="AU11" i="18"/>
  <c r="AT11" i="18"/>
  <c r="AS11" i="18"/>
  <c r="AR11" i="18"/>
  <c r="AQ11" i="18"/>
  <c r="AP11" i="18"/>
  <c r="BG10" i="18"/>
  <c r="BD10" i="18"/>
  <c r="BC10" i="18"/>
  <c r="BB10" i="18"/>
  <c r="BA10" i="18"/>
  <c r="AZ10" i="18"/>
  <c r="AY10" i="18"/>
  <c r="AX10" i="18"/>
  <c r="AW10" i="18"/>
  <c r="AV10" i="18"/>
  <c r="AU10" i="18"/>
  <c r="AT10" i="18"/>
  <c r="AS10" i="18"/>
  <c r="AR10" i="18"/>
  <c r="AQ10" i="18"/>
  <c r="AP10" i="18"/>
  <c r="AN10" i="18"/>
  <c r="AC10" i="18" s="1"/>
  <c r="BE9" i="18"/>
  <c r="BD9" i="18"/>
  <c r="BC9" i="18"/>
  <c r="BB9" i="18"/>
  <c r="BA9" i="18"/>
  <c r="AZ9" i="18"/>
  <c r="AY9" i="18"/>
  <c r="AX9" i="18"/>
  <c r="AW9" i="18"/>
  <c r="AV9" i="18"/>
  <c r="AU9" i="18"/>
  <c r="AT9" i="18"/>
  <c r="AS9" i="18"/>
  <c r="AR9" i="18"/>
  <c r="AQ9" i="18"/>
  <c r="AP9" i="18"/>
  <c r="BG8" i="18"/>
  <c r="BD8" i="18"/>
  <c r="BC8" i="18"/>
  <c r="BB8" i="18"/>
  <c r="BA8" i="18"/>
  <c r="AZ8" i="18"/>
  <c r="AY8" i="18"/>
  <c r="AX8" i="18"/>
  <c r="AW8" i="18"/>
  <c r="AV8" i="18"/>
  <c r="AU8" i="18"/>
  <c r="AT8" i="18"/>
  <c r="AS8" i="18"/>
  <c r="AR8" i="18"/>
  <c r="AQ8" i="18"/>
  <c r="AP8" i="18"/>
  <c r="AN8" i="18"/>
  <c r="X7" i="18"/>
  <c r="W7" i="18"/>
  <c r="V7" i="18"/>
  <c r="AJ5" i="18"/>
  <c r="X5" i="18"/>
  <c r="W5" i="18"/>
  <c r="V5" i="18"/>
  <c r="U5" i="18"/>
  <c r="T5" i="18"/>
  <c r="S5" i="18"/>
  <c r="R5" i="18"/>
  <c r="Q5" i="18"/>
  <c r="P5" i="18"/>
  <c r="O5" i="18"/>
  <c r="N5" i="18"/>
  <c r="M5" i="18"/>
  <c r="L5" i="18"/>
  <c r="K5" i="18"/>
  <c r="J5" i="18"/>
  <c r="I5" i="18"/>
  <c r="BW3" i="18"/>
  <c r="BV3" i="18"/>
  <c r="W4" i="18"/>
  <c r="V4" i="18"/>
  <c r="U4" i="18"/>
  <c r="T4" i="18"/>
  <c r="S4" i="18"/>
  <c r="R4" i="18"/>
  <c r="Q4" i="18"/>
  <c r="P4" i="18"/>
  <c r="O4" i="18"/>
  <c r="N4" i="18"/>
  <c r="M4" i="18"/>
  <c r="L4" i="18"/>
  <c r="K4" i="18"/>
  <c r="J4" i="18"/>
  <c r="I4" i="18"/>
  <c r="C4" i="18"/>
  <c r="AE2" i="18"/>
  <c r="AE1" i="18"/>
  <c r="I6" i="18" s="1"/>
  <c r="J6" i="18" s="1"/>
  <c r="K6" i="18" s="1"/>
  <c r="L6" i="18" s="1"/>
  <c r="M6" i="18" s="1"/>
  <c r="N6" i="18" s="1"/>
  <c r="O6" i="18" s="1"/>
  <c r="P6" i="18" s="1"/>
  <c r="Q6" i="18" s="1"/>
  <c r="R6" i="18" s="1"/>
  <c r="S6" i="18" s="1"/>
  <c r="T6" i="18" s="1"/>
  <c r="U6" i="18" s="1"/>
  <c r="V6" i="18" s="1"/>
  <c r="W6" i="18" s="1"/>
  <c r="I7" i="18" s="1"/>
  <c r="J7" i="18" s="1"/>
  <c r="K7" i="18" s="1"/>
  <c r="L7" i="18" s="1"/>
  <c r="M7" i="18" s="1"/>
  <c r="N7" i="18" s="1"/>
  <c r="O7" i="18" s="1"/>
  <c r="P7" i="18" s="1"/>
  <c r="Q7" i="18" s="1"/>
  <c r="R7" i="18" s="1"/>
  <c r="S7" i="18" s="1"/>
  <c r="T7" i="18" s="1"/>
  <c r="U7" i="18" s="1"/>
  <c r="BV30" i="18" l="1"/>
  <c r="AD117" i="18"/>
  <c r="AD33" i="18"/>
  <c r="BV32" i="18"/>
  <c r="AA4" i="18"/>
  <c r="BU8" i="18" s="1"/>
  <c r="BV8" i="18" s="1"/>
  <c r="BV4" i="18" s="1"/>
  <c r="AD81" i="18"/>
  <c r="AD31" i="18"/>
  <c r="AD161" i="18"/>
  <c r="AD23" i="18"/>
  <c r="AC12" i="18"/>
  <c r="AD129" i="18"/>
  <c r="AD115" i="18"/>
  <c r="AD177" i="18"/>
  <c r="AD79" i="18"/>
  <c r="AD119" i="18"/>
  <c r="AD169" i="18"/>
  <c r="AC33" i="18"/>
  <c r="AD63" i="18"/>
  <c r="AD99" i="18"/>
  <c r="AD113" i="18"/>
  <c r="AD195" i="18"/>
  <c r="AO74" i="18"/>
  <c r="AB74" i="18" s="1"/>
  <c r="AB75" i="18" s="1"/>
  <c r="AD167" i="18"/>
  <c r="AD15" i="18"/>
  <c r="AO64" i="18"/>
  <c r="AB64" i="18" s="1"/>
  <c r="AB65" i="18" s="1"/>
  <c r="AD110" i="18"/>
  <c r="AO112" i="18"/>
  <c r="AB112" i="18" s="1"/>
  <c r="AB113" i="18" s="1"/>
  <c r="AD61" i="18"/>
  <c r="AD149" i="18"/>
  <c r="AD121" i="18"/>
  <c r="AO174" i="18"/>
  <c r="AB174" i="18" s="1"/>
  <c r="AB175" i="18" s="1"/>
  <c r="AO80" i="18"/>
  <c r="AB80" i="18" s="1"/>
  <c r="AB81" i="18" s="1"/>
  <c r="AD162" i="18"/>
  <c r="AD70" i="18"/>
  <c r="AO176" i="18"/>
  <c r="AB176" i="18" s="1"/>
  <c r="AB177" i="18" s="1"/>
  <c r="AO60" i="18"/>
  <c r="AB60" i="18" s="1"/>
  <c r="AB61" i="18" s="1"/>
  <c r="AD165" i="18"/>
  <c r="AD21" i="18"/>
  <c r="AO30" i="18"/>
  <c r="AB30" i="18" s="1"/>
  <c r="AB31" i="18" s="1"/>
  <c r="AC69" i="18"/>
  <c r="AD73" i="18"/>
  <c r="AO122" i="18"/>
  <c r="AB122" i="18" s="1"/>
  <c r="AB123" i="18" s="1"/>
  <c r="AD159" i="18"/>
  <c r="AO164" i="18"/>
  <c r="AB164" i="18" s="1"/>
  <c r="AB165" i="18" s="1"/>
  <c r="AO170" i="18"/>
  <c r="AB170" i="18" s="1"/>
  <c r="AB171" i="18" s="1"/>
  <c r="AD175" i="18"/>
  <c r="AO94" i="18"/>
  <c r="AB94" i="18" s="1"/>
  <c r="AB95" i="18" s="1"/>
  <c r="AO202" i="18"/>
  <c r="AB202" i="18" s="1"/>
  <c r="AB203" i="18" s="1"/>
  <c r="AO76" i="18"/>
  <c r="AB76" i="18" s="1"/>
  <c r="AB77" i="18" s="1"/>
  <c r="AO120" i="18"/>
  <c r="AB120" i="18" s="1"/>
  <c r="AB121" i="18" s="1"/>
  <c r="AD64" i="18"/>
  <c r="AO168" i="18"/>
  <c r="AB168" i="18" s="1"/>
  <c r="AB169" i="18" s="1"/>
  <c r="AO68" i="18"/>
  <c r="AB68" i="18" s="1"/>
  <c r="AB69" i="18" s="1"/>
  <c r="AO58" i="18"/>
  <c r="AB58" i="18" s="1"/>
  <c r="AB59" i="18" s="1"/>
  <c r="AO166" i="18"/>
  <c r="AB166" i="18" s="1"/>
  <c r="AB167" i="18" s="1"/>
  <c r="AO172" i="18"/>
  <c r="AB172" i="18" s="1"/>
  <c r="AB173" i="18" s="1"/>
  <c r="AO196" i="18"/>
  <c r="AB196" i="18" s="1"/>
  <c r="AB197" i="18" s="1"/>
  <c r="AO62" i="18"/>
  <c r="AB62" i="18" s="1"/>
  <c r="AB63" i="18" s="1"/>
  <c r="AO158" i="18"/>
  <c r="AB158" i="18" s="1"/>
  <c r="AB159" i="18" s="1"/>
  <c r="AO98" i="18"/>
  <c r="AB98" i="18" s="1"/>
  <c r="AB99" i="18" s="1"/>
  <c r="AO114" i="18"/>
  <c r="AB114" i="18" s="1"/>
  <c r="AB115" i="18" s="1"/>
  <c r="AO126" i="18"/>
  <c r="AB126" i="18" s="1"/>
  <c r="AB127" i="18" s="1"/>
  <c r="AO28" i="18"/>
  <c r="AB28" i="18" s="1"/>
  <c r="AB29" i="18" s="1"/>
  <c r="AO42" i="18"/>
  <c r="AB42" i="18" s="1"/>
  <c r="AB43" i="18" s="1"/>
  <c r="AO124" i="18"/>
  <c r="AB124" i="18" s="1"/>
  <c r="AB125" i="18" s="1"/>
  <c r="AO72" i="18"/>
  <c r="AB72" i="18" s="1"/>
  <c r="AB73" i="18" s="1"/>
  <c r="AO106" i="18"/>
  <c r="AB106" i="18" s="1"/>
  <c r="AB107" i="18" s="1"/>
  <c r="AO108" i="18"/>
  <c r="AB108" i="18" s="1"/>
  <c r="AB109" i="18" s="1"/>
  <c r="AO154" i="18"/>
  <c r="AB154" i="18" s="1"/>
  <c r="AB155" i="18" s="1"/>
  <c r="AO162" i="18"/>
  <c r="AB162" i="18" s="1"/>
  <c r="AB163" i="18" s="1"/>
  <c r="AO70" i="18"/>
  <c r="AB70" i="18" s="1"/>
  <c r="AB71" i="18" s="1"/>
  <c r="AO118" i="18"/>
  <c r="AB118" i="18" s="1"/>
  <c r="AB119" i="18" s="1"/>
  <c r="AO186" i="18"/>
  <c r="AB186" i="18" s="1"/>
  <c r="AB187" i="18" s="1"/>
  <c r="AO156" i="18"/>
  <c r="AB156" i="18" s="1"/>
  <c r="AB157" i="18" s="1"/>
  <c r="AO160" i="18"/>
  <c r="AB160" i="18" s="1"/>
  <c r="AB161" i="18" s="1"/>
  <c r="AO110" i="18"/>
  <c r="AB110" i="18" s="1"/>
  <c r="AB111" i="18" s="1"/>
  <c r="AO116" i="18"/>
  <c r="AB116" i="18" s="1"/>
  <c r="AB117" i="18" s="1"/>
  <c r="AO66" i="18"/>
  <c r="AB66" i="18" s="1"/>
  <c r="AB67" i="18" s="1"/>
  <c r="AO78" i="18"/>
  <c r="AB78" i="18" s="1"/>
  <c r="AB79" i="18" s="1"/>
  <c r="AC117" i="18"/>
  <c r="AO96" i="18"/>
  <c r="AB96" i="18" s="1"/>
  <c r="AB97" i="18" s="1"/>
  <c r="AO192" i="18"/>
  <c r="AB192" i="18" s="1"/>
  <c r="AB193" i="18" s="1"/>
  <c r="AO100" i="18"/>
  <c r="AB100" i="18" s="1"/>
  <c r="AB101" i="18" s="1"/>
  <c r="AO128" i="18"/>
  <c r="AB128" i="18" s="1"/>
  <c r="AB129" i="18" s="1"/>
  <c r="AO146" i="18"/>
  <c r="AB146" i="18" s="1"/>
  <c r="AB147" i="18" s="1"/>
  <c r="AO32" i="18"/>
  <c r="AB32" i="18" s="1"/>
  <c r="AB33" i="18" s="1"/>
  <c r="AC22" i="18"/>
  <c r="AC21" i="18"/>
  <c r="AD25" i="18"/>
  <c r="AD17" i="18"/>
  <c r="AD19" i="18"/>
  <c r="AO12" i="18"/>
  <c r="AO18" i="18"/>
  <c r="AB18" i="18" s="1"/>
  <c r="AB19" i="18" s="1"/>
  <c r="AO24" i="18"/>
  <c r="AB24" i="18" s="1"/>
  <c r="AB25" i="18" s="1"/>
  <c r="AO26" i="18"/>
  <c r="AB26" i="18" s="1"/>
  <c r="AB27" i="18" s="1"/>
  <c r="AO14" i="18"/>
  <c r="AB14" i="18" s="1"/>
  <c r="AB15" i="18" s="1"/>
  <c r="AO22" i="18"/>
  <c r="AB22" i="18" s="1"/>
  <c r="AB23" i="18" s="1"/>
  <c r="AO16" i="18"/>
  <c r="AB16" i="18" s="1"/>
  <c r="AB17" i="18" s="1"/>
  <c r="AO20" i="18"/>
  <c r="AB20" i="18" s="1"/>
  <c r="AB21" i="18" s="1"/>
  <c r="AC16" i="18"/>
  <c r="AC18" i="18"/>
  <c r="AC8" i="18"/>
  <c r="AC15" i="18"/>
  <c r="AC125" i="18"/>
  <c r="AC165" i="18"/>
  <c r="AC113" i="18"/>
  <c r="AC163" i="18"/>
  <c r="AC17" i="18"/>
  <c r="AC14" i="18"/>
  <c r="AC169" i="18"/>
  <c r="AC32" i="18"/>
  <c r="AC61" i="18"/>
  <c r="AC67" i="18"/>
  <c r="AC195" i="18"/>
  <c r="AC77" i="18"/>
  <c r="AC173" i="18"/>
  <c r="AC73" i="18"/>
  <c r="AC19" i="18"/>
  <c r="AC111" i="18"/>
  <c r="AC121" i="18"/>
  <c r="AC161" i="18"/>
  <c r="AC115" i="18"/>
  <c r="AC99" i="18"/>
  <c r="AC13" i="18"/>
  <c r="AC159" i="18"/>
  <c r="AC23" i="18"/>
  <c r="AC65" i="18"/>
  <c r="AC59" i="18"/>
  <c r="AC29" i="18"/>
  <c r="AC71" i="18"/>
  <c r="AC147" i="18"/>
  <c r="AC63" i="18"/>
  <c r="AC105" i="18"/>
  <c r="AC57" i="18"/>
  <c r="AC199" i="18"/>
  <c r="AC51" i="18"/>
  <c r="AC193" i="18"/>
  <c r="AC203" i="18"/>
  <c r="AC151" i="18"/>
  <c r="AC93" i="18"/>
  <c r="AC197" i="18"/>
  <c r="AC101" i="18"/>
  <c r="AC143" i="18"/>
  <c r="AC53" i="18"/>
  <c r="AC153" i="18"/>
  <c r="AC95" i="18"/>
  <c r="AC11" i="18"/>
  <c r="AC47" i="18"/>
  <c r="AC103" i="18"/>
  <c r="AC145" i="18"/>
  <c r="AC9" i="18"/>
  <c r="AC155" i="18"/>
  <c r="AC45" i="18"/>
  <c r="AC55" i="18"/>
  <c r="AC97" i="18"/>
  <c r="AC107" i="18"/>
  <c r="AC49" i="18"/>
  <c r="AC149" i="18"/>
  <c r="AC191" i="18"/>
  <c r="AC201" i="18"/>
  <c r="AD43" i="18"/>
  <c r="AD42" i="18"/>
  <c r="AO90" i="18"/>
  <c r="AB90" i="18" s="1"/>
  <c r="AO102" i="18"/>
  <c r="AB102" i="18" s="1"/>
  <c r="AC116" i="18"/>
  <c r="AD141" i="18"/>
  <c r="AD140" i="18"/>
  <c r="AO200" i="18"/>
  <c r="AB200" i="18" s="1"/>
  <c r="AC43" i="18"/>
  <c r="AC31" i="18"/>
  <c r="AC181" i="18"/>
  <c r="AD107" i="18"/>
  <c r="AO10" i="18"/>
  <c r="AB10" i="18" s="1"/>
  <c r="AB11" i="18" s="1"/>
  <c r="AO48" i="18"/>
  <c r="AB48" i="18" s="1"/>
  <c r="AD103" i="18"/>
  <c r="AC123" i="18"/>
  <c r="AO134" i="18"/>
  <c r="AB134" i="18" s="1"/>
  <c r="AC139" i="18"/>
  <c r="AO140" i="18"/>
  <c r="AB140" i="18" s="1"/>
  <c r="AO180" i="18"/>
  <c r="AB180" i="18" s="1"/>
  <c r="AD200" i="18"/>
  <c r="AO8" i="18"/>
  <c r="AB8" i="18" s="1"/>
  <c r="AC20" i="18"/>
  <c r="AO36" i="18"/>
  <c r="AB36" i="18" s="1"/>
  <c r="AO56" i="18"/>
  <c r="AB56" i="18" s="1"/>
  <c r="AC129" i="18"/>
  <c r="AD139" i="18"/>
  <c r="AD138" i="18"/>
  <c r="AD199" i="18"/>
  <c r="AO54" i="18"/>
  <c r="AB54" i="18" s="1"/>
  <c r="AC68" i="18"/>
  <c r="AD93" i="18"/>
  <c r="AD92" i="18"/>
  <c r="AD101" i="18"/>
  <c r="AC141" i="18"/>
  <c r="AC131" i="18"/>
  <c r="AD147" i="18"/>
  <c r="AD191" i="18"/>
  <c r="AD190" i="18"/>
  <c r="AC85" i="18"/>
  <c r="AC109" i="18"/>
  <c r="AO194" i="18"/>
  <c r="AB194" i="18" s="1"/>
  <c r="AC25" i="18"/>
  <c r="AC24" i="18"/>
  <c r="AD47" i="18"/>
  <c r="AD46" i="18"/>
  <c r="AD104" i="18"/>
  <c r="AD145" i="18"/>
  <c r="AD144" i="18"/>
  <c r="AC167" i="18"/>
  <c r="AO190" i="18"/>
  <c r="AB190" i="18" s="1"/>
  <c r="AO52" i="18"/>
  <c r="AB52" i="18" s="1"/>
  <c r="AO152" i="18"/>
  <c r="AB152" i="18" s="1"/>
  <c r="AD189" i="18"/>
  <c r="AD188" i="18"/>
  <c r="AD197" i="18"/>
  <c r="AD108" i="18"/>
  <c r="AO46" i="18"/>
  <c r="AB46" i="18" s="1"/>
  <c r="AO50" i="18"/>
  <c r="AB50" i="18" s="1"/>
  <c r="AO88" i="18"/>
  <c r="AB88" i="18" s="1"/>
  <c r="AO138" i="18"/>
  <c r="AB138" i="18" s="1"/>
  <c r="AO150" i="18"/>
  <c r="AB150" i="18" s="1"/>
  <c r="AC189" i="18"/>
  <c r="AD202" i="18"/>
  <c r="AC83" i="18"/>
  <c r="AO144" i="18"/>
  <c r="AB144" i="18" s="1"/>
  <c r="AO148" i="18"/>
  <c r="AB148" i="18" s="1"/>
  <c r="AO184" i="18"/>
  <c r="AB184" i="18" s="1"/>
  <c r="AC179" i="18"/>
  <c r="Z4" i="18"/>
  <c r="AD12" i="18"/>
  <c r="AC87" i="18"/>
  <c r="AC133" i="18"/>
  <c r="AC157" i="18"/>
  <c r="AD57" i="18"/>
  <c r="AO82" i="18"/>
  <c r="AB82" i="18" s="1"/>
  <c r="AD156" i="18"/>
  <c r="AC183" i="18"/>
  <c r="AD45" i="18"/>
  <c r="AD44" i="18"/>
  <c r="AD10" i="18"/>
  <c r="AD11" i="18" s="1"/>
  <c r="AD97" i="18"/>
  <c r="AD96" i="18"/>
  <c r="AC137" i="18"/>
  <c r="AD154" i="18"/>
  <c r="AO178" i="18"/>
  <c r="AB178" i="18" s="1"/>
  <c r="AC75" i="18"/>
  <c r="AO86" i="18"/>
  <c r="AB86" i="18" s="1"/>
  <c r="AC91" i="18"/>
  <c r="AO92" i="18"/>
  <c r="AB92" i="18" s="1"/>
  <c r="AC119" i="18"/>
  <c r="AO142" i="18"/>
  <c r="AB142" i="18" s="1"/>
  <c r="AD153" i="18"/>
  <c r="AD193" i="18"/>
  <c r="AD192" i="18"/>
  <c r="AC89" i="18"/>
  <c r="AC135" i="18"/>
  <c r="AC37" i="18"/>
  <c r="AO84" i="18"/>
  <c r="AB84" i="18" s="1"/>
  <c r="AO130" i="18"/>
  <c r="AB130" i="18" s="1"/>
  <c r="AC185" i="18"/>
  <c r="AD8" i="18"/>
  <c r="AD9" i="18" s="1"/>
  <c r="AO34" i="18"/>
  <c r="AB34" i="18" s="1"/>
  <c r="AD54" i="18"/>
  <c r="AC81" i="18"/>
  <c r="AD91" i="18"/>
  <c r="AD90" i="18"/>
  <c r="AO132" i="18"/>
  <c r="AB132" i="18" s="1"/>
  <c r="AC171" i="18"/>
  <c r="AC187" i="18"/>
  <c r="AO188" i="18"/>
  <c r="AB188" i="18" s="1"/>
  <c r="AO44" i="18"/>
  <c r="AB44" i="18" s="1"/>
  <c r="AO198" i="18"/>
  <c r="AB198" i="18" s="1"/>
  <c r="AD95" i="18"/>
  <c r="AD94" i="18"/>
  <c r="AO136" i="18"/>
  <c r="AB136" i="18" s="1"/>
  <c r="AD49" i="18"/>
  <c r="Y4" i="18"/>
  <c r="AC39" i="18"/>
  <c r="AD53" i="18"/>
  <c r="AD151" i="18"/>
  <c r="AC177" i="18"/>
  <c r="AD187" i="18"/>
  <c r="AD186" i="18"/>
  <c r="AD143" i="18"/>
  <c r="AD142" i="18"/>
  <c r="AC35" i="18"/>
  <c r="AD58" i="18"/>
  <c r="AC27" i="18"/>
  <c r="AO38" i="18"/>
  <c r="AB38" i="18" s="1"/>
  <c r="AO104" i="18"/>
  <c r="AB104" i="18" s="1"/>
  <c r="AO182" i="18"/>
  <c r="AB182" i="18" s="1"/>
  <c r="AD88" i="18"/>
  <c r="AD136" i="18"/>
  <c r="AD184" i="18"/>
  <c r="AD38" i="18"/>
  <c r="AD86" i="18"/>
  <c r="AD134" i="18"/>
  <c r="AD182" i="18"/>
  <c r="AD34" i="18"/>
  <c r="AD82" i="18"/>
  <c r="AD130" i="18"/>
  <c r="AD178" i="18"/>
  <c r="AC175" i="18"/>
  <c r="AD180" i="18"/>
  <c r="AC79" i="18"/>
  <c r="AC127" i="18"/>
  <c r="AD36" i="18"/>
  <c r="AD84" i="18"/>
  <c r="AD132" i="18"/>
  <c r="AD28" i="18"/>
  <c r="AD76" i="18"/>
  <c r="AD124" i="18"/>
  <c r="AD172" i="18"/>
  <c r="AD26" i="18"/>
  <c r="AD27" i="18" s="1"/>
  <c r="AD74" i="18"/>
  <c r="AD122" i="18"/>
  <c r="AD170" i="18"/>
  <c r="AB12" i="18" l="1"/>
  <c r="AB13" i="18" s="1"/>
  <c r="AE12" i="18" s="1"/>
  <c r="AF12" i="18" s="1"/>
  <c r="BV5" i="18"/>
  <c r="AE174" i="18"/>
  <c r="AF174" i="18" s="1"/>
  <c r="AE166" i="18"/>
  <c r="AF166" i="18" s="1"/>
  <c r="AE66" i="18"/>
  <c r="AF66" i="18" s="1"/>
  <c r="AE112" i="18"/>
  <c r="AF112" i="18" s="1"/>
  <c r="AE128" i="18"/>
  <c r="AF128" i="18" s="1"/>
  <c r="AE116" i="18"/>
  <c r="AF116" i="18" s="1"/>
  <c r="AE156" i="18"/>
  <c r="AF156" i="18" s="1"/>
  <c r="AE108" i="18"/>
  <c r="AF108" i="18" s="1"/>
  <c r="AE146" i="18"/>
  <c r="AF146" i="18" s="1"/>
  <c r="AE74" i="18"/>
  <c r="AF74" i="18" s="1"/>
  <c r="AE70" i="18"/>
  <c r="AF70" i="18" s="1"/>
  <c r="AE122" i="18"/>
  <c r="AF122" i="18" s="1"/>
  <c r="AE110" i="18"/>
  <c r="AF110" i="18" s="1"/>
  <c r="AE170" i="18"/>
  <c r="AF170" i="18" s="1"/>
  <c r="AE202" i="18"/>
  <c r="AF202" i="18" s="1"/>
  <c r="AE80" i="18"/>
  <c r="AF80" i="18" s="1"/>
  <c r="AE100" i="18"/>
  <c r="AF100" i="18" s="1"/>
  <c r="AE94" i="18"/>
  <c r="AF94" i="18" s="1"/>
  <c r="AE158" i="18"/>
  <c r="AF158" i="18" s="1"/>
  <c r="AE98" i="18"/>
  <c r="AF98" i="18" s="1"/>
  <c r="AE42" i="18"/>
  <c r="AF42" i="18" s="1"/>
  <c r="AE160" i="18"/>
  <c r="AF160" i="18" s="1"/>
  <c r="AE176" i="18"/>
  <c r="AF176" i="18" s="1"/>
  <c r="AE16" i="18"/>
  <c r="AF16" i="18" s="1"/>
  <c r="AE164" i="18"/>
  <c r="AF164" i="18" s="1"/>
  <c r="AE14" i="18"/>
  <c r="AF14" i="18" s="1"/>
  <c r="AE162" i="18"/>
  <c r="AF162" i="18" s="1"/>
  <c r="AE124" i="18"/>
  <c r="AF124" i="18" s="1"/>
  <c r="AE76" i="18"/>
  <c r="AF76" i="18" s="1"/>
  <c r="AE172" i="18"/>
  <c r="AF172" i="18" s="1"/>
  <c r="AE32" i="18"/>
  <c r="AF32" i="18" s="1"/>
  <c r="AE114" i="18"/>
  <c r="AF114" i="18" s="1"/>
  <c r="AE168" i="18"/>
  <c r="AF168" i="18" s="1"/>
  <c r="AE18" i="18"/>
  <c r="AF18" i="18" s="1"/>
  <c r="AE60" i="18"/>
  <c r="AF60" i="18" s="1"/>
  <c r="AE72" i="18"/>
  <c r="AF72" i="18" s="1"/>
  <c r="AE120" i="18"/>
  <c r="AF120" i="18" s="1"/>
  <c r="AE58" i="18"/>
  <c r="AF58" i="18" s="1"/>
  <c r="AE64" i="18"/>
  <c r="AF64" i="18" s="1"/>
  <c r="AE192" i="18"/>
  <c r="AF192" i="18" s="1"/>
  <c r="AE186" i="18"/>
  <c r="AF186" i="18" s="1"/>
  <c r="AE96" i="18"/>
  <c r="AF96" i="18" s="1"/>
  <c r="AE28" i="18"/>
  <c r="AF28" i="18" s="1"/>
  <c r="AE26" i="18"/>
  <c r="AF26" i="18" s="1"/>
  <c r="AE196" i="18"/>
  <c r="AF196" i="18" s="1"/>
  <c r="AE22" i="18"/>
  <c r="AF22" i="18" s="1"/>
  <c r="AE30" i="18"/>
  <c r="AF30" i="18" s="1"/>
  <c r="AE62" i="18"/>
  <c r="AF62" i="18" s="1"/>
  <c r="AE78" i="18"/>
  <c r="AF78" i="18" s="1"/>
  <c r="AE118" i="18"/>
  <c r="AF118" i="18" s="1"/>
  <c r="AE154" i="18"/>
  <c r="AF154" i="18" s="1"/>
  <c r="AE68" i="18"/>
  <c r="AF68" i="18" s="1"/>
  <c r="AE24" i="18"/>
  <c r="AF24" i="18" s="1"/>
  <c r="AC5" i="18"/>
  <c r="AE20" i="18"/>
  <c r="AF20" i="18" s="1"/>
  <c r="AE126" i="18"/>
  <c r="AF126" i="18" s="1"/>
  <c r="AE106" i="18"/>
  <c r="AF106" i="18" s="1"/>
  <c r="AB45" i="18"/>
  <c r="AE44" i="18" s="1"/>
  <c r="AF44" i="18" s="1"/>
  <c r="AB137" i="18"/>
  <c r="AE136" i="18" s="1"/>
  <c r="AF136" i="18" s="1"/>
  <c r="AB85" i="18"/>
  <c r="AE84" i="18" s="1"/>
  <c r="AF84" i="18" s="1"/>
  <c r="AB39" i="18"/>
  <c r="AE38" i="18" s="1"/>
  <c r="AF38" i="18" s="1"/>
  <c r="AB199" i="18"/>
  <c r="AE198" i="18" s="1"/>
  <c r="AF198" i="18" s="1"/>
  <c r="AB195" i="18"/>
  <c r="AE194" i="18" s="1"/>
  <c r="AF194" i="18" s="1"/>
  <c r="AB83" i="18"/>
  <c r="AE82" i="18" s="1"/>
  <c r="AF82" i="18" s="1"/>
  <c r="AB51" i="18"/>
  <c r="AE50" i="18"/>
  <c r="AF50" i="18" s="1"/>
  <c r="AB93" i="18"/>
  <c r="AE92" i="18" s="1"/>
  <c r="AF92" i="18" s="1"/>
  <c r="AB181" i="18"/>
  <c r="AE180" i="18" s="1"/>
  <c r="AF180" i="18" s="1"/>
  <c r="AB103" i="18"/>
  <c r="AE102" i="18" s="1"/>
  <c r="AF102" i="18" s="1"/>
  <c r="AB189" i="18"/>
  <c r="AE188" i="18"/>
  <c r="AF188" i="18" s="1"/>
  <c r="AB139" i="18"/>
  <c r="AE138" i="18" s="1"/>
  <c r="AF138" i="18" s="1"/>
  <c r="AB89" i="18"/>
  <c r="AE88" i="18"/>
  <c r="AF88" i="18" s="1"/>
  <c r="AB37" i="18"/>
  <c r="AE36" i="18" s="1"/>
  <c r="AF36" i="18" s="1"/>
  <c r="AB201" i="18"/>
  <c r="AE200" i="18" s="1"/>
  <c r="AF200" i="18" s="1"/>
  <c r="AB143" i="18"/>
  <c r="AE142" i="18" s="1"/>
  <c r="AF142" i="18" s="1"/>
  <c r="AB47" i="18"/>
  <c r="AE46" i="18" s="1"/>
  <c r="AF46" i="18" s="1"/>
  <c r="AB9" i="18"/>
  <c r="AB133" i="18"/>
  <c r="AE132" i="18" s="1"/>
  <c r="AF132" i="18" s="1"/>
  <c r="AB141" i="18"/>
  <c r="AE140" i="18" s="1"/>
  <c r="AF140" i="18" s="1"/>
  <c r="AB91" i="18"/>
  <c r="AE90" i="18" s="1"/>
  <c r="AF90" i="18" s="1"/>
  <c r="AB87" i="18"/>
  <c r="AE86" i="18" s="1"/>
  <c r="AF86" i="18" s="1"/>
  <c r="AB153" i="18"/>
  <c r="AE152" i="18" s="1"/>
  <c r="AF152" i="18" s="1"/>
  <c r="AC4" i="18"/>
  <c r="AD4" i="18"/>
  <c r="AD5" i="18"/>
  <c r="AB191" i="18"/>
  <c r="AE190" i="18" s="1"/>
  <c r="AF190" i="18" s="1"/>
  <c r="AB57" i="18"/>
  <c r="AE56" i="18" s="1"/>
  <c r="AF56" i="18" s="1"/>
  <c r="AB135" i="18"/>
  <c r="AE134" i="18" s="1"/>
  <c r="AF134" i="18" s="1"/>
  <c r="AB49" i="18"/>
  <c r="AE48" i="18" s="1"/>
  <c r="AF48" i="18" s="1"/>
  <c r="AB151" i="18"/>
  <c r="AE150" i="18"/>
  <c r="AF150" i="18" s="1"/>
  <c r="AB185" i="18"/>
  <c r="AE184" i="18" s="1"/>
  <c r="AF184" i="18" s="1"/>
  <c r="AB35" i="18"/>
  <c r="AE34" i="18" s="1"/>
  <c r="AF34" i="18" s="1"/>
  <c r="AB183" i="18"/>
  <c r="AE182" i="18" s="1"/>
  <c r="AF182" i="18" s="1"/>
  <c r="AB149" i="18"/>
  <c r="AE148" i="18" s="1"/>
  <c r="AF148" i="18" s="1"/>
  <c r="AE10" i="18"/>
  <c r="AF10" i="18" s="1"/>
  <c r="AB179" i="18"/>
  <c r="AE178" i="18" s="1"/>
  <c r="AF178" i="18" s="1"/>
  <c r="AB53" i="18"/>
  <c r="AE52" i="18" s="1"/>
  <c r="AF52" i="18" s="1"/>
  <c r="AB105" i="18"/>
  <c r="AE104" i="18" s="1"/>
  <c r="AF104" i="18" s="1"/>
  <c r="AB131" i="18"/>
  <c r="AE130" i="18" s="1"/>
  <c r="AF130" i="18" s="1"/>
  <c r="AB145" i="18"/>
  <c r="AE144" i="18" s="1"/>
  <c r="AF144" i="18" s="1"/>
  <c r="AB55" i="18"/>
  <c r="AE54" i="18" s="1"/>
  <c r="AF54" i="18" s="1"/>
  <c r="AB5" i="18" l="1"/>
  <c r="AB4" i="18"/>
  <c r="AE8" i="18"/>
  <c r="AF8" i="18" s="1"/>
  <c r="AE4" i="18" l="1"/>
  <c r="AF4" i="18"/>
  <c r="B36" i="14" l="1"/>
  <c r="A36" i="14"/>
  <c r="E36" i="14" s="1"/>
  <c r="B35" i="14"/>
  <c r="A35" i="14"/>
  <c r="E35" i="14" s="1"/>
  <c r="B34" i="14"/>
  <c r="A34" i="14"/>
  <c r="E34" i="14" s="1"/>
  <c r="B33" i="14"/>
  <c r="A33" i="14"/>
  <c r="E33" i="14" s="1"/>
  <c r="B32" i="14"/>
  <c r="A32" i="14"/>
  <c r="E32" i="14" s="1"/>
  <c r="B31" i="14"/>
  <c r="A31" i="14"/>
  <c r="E31" i="14" s="1"/>
  <c r="B30" i="14"/>
  <c r="A30" i="14"/>
  <c r="E30" i="14" s="1"/>
  <c r="B29" i="14"/>
  <c r="A29" i="14"/>
  <c r="E29" i="14" s="1"/>
  <c r="B28" i="14"/>
  <c r="A28" i="14"/>
  <c r="E28" i="14" s="1"/>
  <c r="B27" i="14"/>
  <c r="A27" i="14"/>
  <c r="E27" i="14" s="1"/>
  <c r="B26" i="14"/>
  <c r="A26" i="14"/>
  <c r="E26" i="14" s="1"/>
  <c r="B25" i="14"/>
  <c r="A25" i="14"/>
  <c r="E25" i="14" s="1"/>
  <c r="B24" i="14"/>
  <c r="A24" i="14"/>
  <c r="E24" i="14" s="1"/>
  <c r="B23" i="14"/>
  <c r="A23" i="14"/>
  <c r="E23" i="14" s="1"/>
  <c r="B22" i="14"/>
  <c r="A22" i="14"/>
  <c r="E22" i="14" s="1"/>
  <c r="B21" i="14"/>
  <c r="A21" i="14"/>
  <c r="E21" i="14" s="1"/>
  <c r="B20" i="14"/>
  <c r="A20" i="14"/>
  <c r="B19" i="14"/>
  <c r="A19" i="14"/>
  <c r="E19" i="14" s="1"/>
  <c r="B18" i="14"/>
  <c r="A18" i="14"/>
  <c r="E18" i="14" s="1"/>
  <c r="B17" i="14"/>
  <c r="A17" i="14"/>
  <c r="E17" i="14" s="1"/>
  <c r="B16" i="14"/>
  <c r="A16" i="14"/>
  <c r="E16" i="14" s="1"/>
  <c r="B15" i="14"/>
  <c r="A15" i="14"/>
  <c r="E15" i="14" s="1"/>
  <c r="B14" i="14"/>
  <c r="A14" i="14"/>
  <c r="E14" i="14" s="1"/>
  <c r="B13" i="14"/>
  <c r="A13" i="14"/>
  <c r="E13" i="14" s="1"/>
  <c r="B12" i="14"/>
  <c r="A12" i="14"/>
  <c r="E12" i="14" s="1"/>
  <c r="B11" i="14"/>
  <c r="A11" i="14"/>
  <c r="E11" i="14" s="1"/>
  <c r="B10" i="14"/>
  <c r="A10" i="14"/>
  <c r="E10" i="14" s="1"/>
  <c r="B9" i="14"/>
  <c r="A9" i="14"/>
  <c r="E9" i="14" s="1"/>
  <c r="B8" i="14"/>
  <c r="A8" i="14"/>
  <c r="E8" i="14" s="1"/>
  <c r="B7" i="14"/>
  <c r="A7" i="14"/>
  <c r="E7" i="14" s="1"/>
  <c r="B6" i="14"/>
  <c r="A6" i="14"/>
  <c r="E6" i="14" s="1"/>
  <c r="B5" i="14"/>
  <c r="A5" i="14"/>
  <c r="E5" i="14" s="1"/>
  <c r="K4" i="14"/>
  <c r="J4" i="14"/>
  <c r="I4" i="14"/>
  <c r="H4" i="14"/>
  <c r="G4" i="14"/>
  <c r="F4" i="14"/>
  <c r="M2" i="14"/>
  <c r="H2" i="14"/>
  <c r="B2" i="14"/>
  <c r="J35" i="14"/>
  <c r="J33" i="14"/>
  <c r="J31" i="14"/>
  <c r="J28" i="14"/>
  <c r="J25" i="14"/>
  <c r="J23" i="14"/>
  <c r="J8" i="14"/>
  <c r="J7" i="14"/>
  <c r="I20" i="14"/>
  <c r="I18" i="14"/>
  <c r="I17" i="14"/>
  <c r="I16" i="14"/>
  <c r="I14" i="14"/>
  <c r="I13" i="14"/>
  <c r="I12" i="14"/>
  <c r="I10" i="14"/>
  <c r="I7" i="14"/>
  <c r="H35" i="14"/>
  <c r="H32" i="14"/>
  <c r="H28" i="14"/>
  <c r="H26" i="14"/>
  <c r="H24" i="14"/>
  <c r="G23" i="14"/>
  <c r="G22" i="14"/>
  <c r="G12" i="14"/>
  <c r="G11" i="14"/>
  <c r="G10" i="14"/>
  <c r="F36" i="14"/>
  <c r="F35" i="14"/>
  <c r="F34" i="14"/>
  <c r="F33" i="14"/>
  <c r="F32" i="14"/>
  <c r="F31" i="14"/>
  <c r="F30" i="14"/>
  <c r="F29" i="14"/>
  <c r="F28" i="14"/>
  <c r="F27" i="14"/>
  <c r="F26" i="14"/>
  <c r="F25" i="14"/>
  <c r="F24" i="14"/>
  <c r="F23" i="14"/>
  <c r="F22" i="14"/>
  <c r="F20" i="14"/>
  <c r="F19" i="14"/>
  <c r="F18" i="14"/>
  <c r="F17" i="14"/>
  <c r="F16" i="14"/>
  <c r="F15" i="14"/>
  <c r="F14" i="14"/>
  <c r="F13" i="14"/>
  <c r="F12" i="14"/>
  <c r="F11" i="14"/>
  <c r="F10" i="14"/>
  <c r="F9" i="14"/>
  <c r="F8" i="14"/>
  <c r="F7" i="14"/>
  <c r="F6" i="14"/>
  <c r="I57" i="7"/>
  <c r="I55" i="7"/>
  <c r="A52" i="7"/>
  <c r="D52" i="7" s="1"/>
  <c r="A51" i="7"/>
  <c r="D51" i="7" s="1"/>
  <c r="A50" i="7"/>
  <c r="D50" i="7" s="1"/>
  <c r="A49" i="7"/>
  <c r="D49" i="7" s="1"/>
  <c r="A48" i="7"/>
  <c r="D48" i="7" s="1"/>
  <c r="A47" i="7"/>
  <c r="D47" i="7" s="1"/>
  <c r="A46" i="7"/>
  <c r="D46" i="7" s="1"/>
  <c r="A45" i="7"/>
  <c r="D45" i="7" s="1"/>
  <c r="A44" i="7"/>
  <c r="D44" i="7" s="1"/>
  <c r="A43" i="7"/>
  <c r="D43" i="7" s="1"/>
  <c r="A42" i="7"/>
  <c r="D42" i="7" s="1"/>
  <c r="A41" i="7"/>
  <c r="D41" i="7" s="1"/>
  <c r="A39" i="7"/>
  <c r="D39" i="7" s="1"/>
  <c r="A38" i="7"/>
  <c r="D38" i="7" s="1"/>
  <c r="A37" i="7"/>
  <c r="D37" i="7" s="1"/>
  <c r="A36" i="7"/>
  <c r="D36" i="7" s="1"/>
  <c r="A35" i="7"/>
  <c r="D35" i="7" s="1"/>
  <c r="A34" i="7"/>
  <c r="D34" i="7" s="1"/>
  <c r="A33" i="7"/>
  <c r="D33" i="7" s="1"/>
  <c r="A32" i="7"/>
  <c r="D32" i="7" s="1"/>
  <c r="A31" i="7"/>
  <c r="D31" i="7" s="1"/>
  <c r="A30" i="7"/>
  <c r="D30" i="7" s="1"/>
  <c r="A29" i="7"/>
  <c r="D29" i="7" s="1"/>
  <c r="A28" i="7"/>
  <c r="D28" i="7" s="1"/>
  <c r="A27" i="7"/>
  <c r="D27" i="7" s="1"/>
  <c r="A26" i="7"/>
  <c r="D26" i="7" s="1"/>
  <c r="A25" i="7"/>
  <c r="D25" i="7" s="1"/>
  <c r="A24" i="7"/>
  <c r="D24" i="7" s="1"/>
  <c r="A23" i="7"/>
  <c r="D23" i="7" s="1"/>
  <c r="A22" i="7"/>
  <c r="D22" i="7" s="1"/>
  <c r="A21" i="7"/>
  <c r="D21" i="7" s="1"/>
  <c r="A20" i="7"/>
  <c r="D20" i="7" s="1"/>
  <c r="A19" i="7"/>
  <c r="D19" i="7" s="1"/>
  <c r="A18" i="7"/>
  <c r="D18" i="7" s="1"/>
  <c r="A17" i="7"/>
  <c r="D17" i="7" s="1"/>
  <c r="A16" i="7"/>
  <c r="D16" i="7" s="1"/>
  <c r="A15" i="7"/>
  <c r="D15" i="7" s="1"/>
  <c r="A14" i="7"/>
  <c r="D14" i="7" s="1"/>
  <c r="A13" i="7"/>
  <c r="D13" i="7" s="1"/>
  <c r="A12" i="7"/>
  <c r="D12" i="7" s="1"/>
  <c r="A11" i="7"/>
  <c r="D11" i="7" s="1"/>
  <c r="A10" i="7"/>
  <c r="D10" i="7" s="1"/>
  <c r="A9" i="7"/>
  <c r="D9" i="7" s="1"/>
  <c r="A8" i="7"/>
  <c r="D8" i="7" s="1"/>
  <c r="A7" i="7"/>
  <c r="D7" i="7" s="1"/>
  <c r="A6" i="7"/>
  <c r="D6" i="7" s="1"/>
  <c r="J3" i="7"/>
  <c r="K3" i="14" s="1"/>
  <c r="I3" i="7"/>
  <c r="J3" i="14" s="1"/>
  <c r="H3" i="7"/>
  <c r="I3" i="14" s="1"/>
  <c r="G3" i="7"/>
  <c r="H3" i="14" s="1"/>
  <c r="F3" i="7"/>
  <c r="G3" i="14" s="1"/>
  <c r="E3" i="7"/>
  <c r="A5" i="7"/>
  <c r="D5" i="7" s="1"/>
  <c r="A40" i="7"/>
  <c r="D40" i="7" s="1"/>
  <c r="K23" i="14" l="1"/>
  <c r="K25" i="14"/>
  <c r="K27" i="14"/>
  <c r="K29" i="14"/>
  <c r="K31" i="14"/>
  <c r="K33" i="14"/>
  <c r="J9" i="14"/>
  <c r="J11" i="14"/>
  <c r="J19" i="14"/>
  <c r="I5" i="14"/>
  <c r="I9" i="14"/>
  <c r="I15" i="14"/>
  <c r="K35" i="14"/>
  <c r="J32" i="14"/>
  <c r="J34" i="14"/>
  <c r="J36" i="14"/>
  <c r="J10" i="14"/>
  <c r="G9" i="14"/>
  <c r="G31" i="14"/>
  <c r="H23" i="14"/>
  <c r="H25" i="14"/>
  <c r="H27" i="14"/>
  <c r="H29" i="14"/>
  <c r="H31" i="14"/>
  <c r="I6" i="14"/>
  <c r="I11" i="14"/>
  <c r="G19" i="14"/>
  <c r="I8" i="14"/>
  <c r="J6" i="14"/>
  <c r="J22" i="14"/>
  <c r="J24" i="14"/>
  <c r="K10" i="14"/>
  <c r="K12" i="14"/>
  <c r="K14" i="14"/>
  <c r="K20" i="14"/>
  <c r="G20" i="14"/>
  <c r="G32" i="14"/>
  <c r="G33" i="14"/>
  <c r="G34" i="14"/>
  <c r="G35" i="14"/>
  <c r="I21" i="14"/>
  <c r="J14" i="14"/>
  <c r="J15" i="14"/>
  <c r="J26" i="14"/>
  <c r="J27" i="14"/>
  <c r="G47" i="7"/>
  <c r="I11" i="7"/>
  <c r="I19" i="14"/>
  <c r="I26" i="14"/>
  <c r="I31" i="14"/>
  <c r="J29" i="14"/>
  <c r="J30" i="14"/>
  <c r="E28" i="7"/>
  <c r="F12" i="7"/>
  <c r="F14" i="7"/>
  <c r="F16" i="7"/>
  <c r="F17" i="7"/>
  <c r="F19" i="7"/>
  <c r="F20" i="7"/>
  <c r="H10" i="7"/>
  <c r="G13" i="14"/>
  <c r="G14" i="14"/>
  <c r="G16" i="14"/>
  <c r="G27" i="14"/>
  <c r="E29" i="7"/>
  <c r="F8" i="7"/>
  <c r="E38" i="7"/>
  <c r="F11" i="7"/>
  <c r="F15" i="7"/>
  <c r="F18" i="7"/>
  <c r="F36" i="7"/>
  <c r="E36" i="7"/>
  <c r="F44" i="7"/>
  <c r="I6" i="7"/>
  <c r="I9" i="7"/>
  <c r="E31" i="7"/>
  <c r="F6" i="7"/>
  <c r="F9" i="7"/>
  <c r="G20" i="7"/>
  <c r="H36" i="14"/>
  <c r="J21" i="14"/>
  <c r="E18" i="7"/>
  <c r="G18" i="7"/>
  <c r="I7" i="7"/>
  <c r="I10" i="7"/>
  <c r="G24" i="14"/>
  <c r="G25" i="14"/>
  <c r="G26" i="14"/>
  <c r="H7" i="14"/>
  <c r="H11" i="14"/>
  <c r="H15" i="14"/>
  <c r="I27" i="14"/>
  <c r="I28" i="14"/>
  <c r="I29" i="14"/>
  <c r="J12" i="14"/>
  <c r="K6" i="14"/>
  <c r="K9" i="14"/>
  <c r="G6" i="14"/>
  <c r="G7" i="14"/>
  <c r="G28" i="14"/>
  <c r="G29" i="14"/>
  <c r="G30" i="14"/>
  <c r="H30" i="14"/>
  <c r="I30" i="14"/>
  <c r="I32" i="14"/>
  <c r="I33" i="14"/>
  <c r="J18" i="14"/>
  <c r="J20" i="14"/>
  <c r="G15" i="14"/>
  <c r="G17" i="14"/>
  <c r="G18" i="14"/>
  <c r="G36" i="14"/>
  <c r="H22" i="14"/>
  <c r="H33" i="14"/>
  <c r="H34" i="14"/>
  <c r="I22" i="14"/>
  <c r="I34" i="14"/>
  <c r="H19" i="14"/>
  <c r="I23" i="14"/>
  <c r="I24" i="14"/>
  <c r="I25" i="14"/>
  <c r="I35" i="14"/>
  <c r="I36" i="14"/>
  <c r="K18" i="14"/>
  <c r="K16" i="14"/>
  <c r="J16" i="14"/>
  <c r="E20" i="7"/>
  <c r="E33" i="7"/>
  <c r="E26" i="7"/>
  <c r="E32" i="7"/>
  <c r="E12" i="7"/>
  <c r="E30" i="7"/>
  <c r="E45" i="7"/>
  <c r="E46" i="7"/>
  <c r="E49" i="7"/>
  <c r="G28" i="7"/>
  <c r="G29" i="7"/>
  <c r="G30" i="7"/>
  <c r="G31" i="7"/>
  <c r="G43" i="7"/>
  <c r="G45" i="7"/>
  <c r="G49" i="7"/>
  <c r="G51" i="7"/>
  <c r="E40" i="7"/>
  <c r="E44" i="7"/>
  <c r="E48" i="7"/>
  <c r="E52" i="7"/>
  <c r="E24" i="7"/>
  <c r="E35" i="7"/>
  <c r="G46" i="7"/>
  <c r="G48" i="7"/>
  <c r="G50" i="7"/>
  <c r="G52" i="7"/>
  <c r="H30" i="7"/>
  <c r="H32" i="7"/>
  <c r="F34" i="7"/>
  <c r="F38" i="7"/>
  <c r="F39" i="7"/>
  <c r="F40" i="7"/>
  <c r="F41" i="7"/>
  <c r="F42" i="7"/>
  <c r="F43" i="7"/>
  <c r="F45" i="7"/>
  <c r="F46" i="7"/>
  <c r="F47" i="7"/>
  <c r="F48" i="7"/>
  <c r="F49" i="7"/>
  <c r="F50" i="7"/>
  <c r="F51" i="7"/>
  <c r="F35" i="7"/>
  <c r="H33" i="7"/>
  <c r="I39" i="7"/>
  <c r="I45" i="7"/>
  <c r="I52" i="7"/>
  <c r="G26" i="7"/>
  <c r="G27" i="7"/>
  <c r="H6" i="7"/>
  <c r="H7" i="7"/>
  <c r="H8" i="7"/>
  <c r="H9" i="7"/>
  <c r="H11" i="7"/>
  <c r="H12" i="7"/>
  <c r="H13" i="7"/>
  <c r="H15" i="7"/>
  <c r="H16" i="7"/>
  <c r="H17" i="7"/>
  <c r="H18" i="7"/>
  <c r="H19" i="7"/>
  <c r="I38" i="7"/>
  <c r="I40" i="7"/>
  <c r="I42" i="7"/>
  <c r="I44" i="7"/>
  <c r="I46" i="7"/>
  <c r="I48" i="7"/>
  <c r="I50" i="7"/>
  <c r="I51" i="7"/>
  <c r="J11" i="7"/>
  <c r="J13" i="7"/>
  <c r="J15" i="7"/>
  <c r="J14" i="7"/>
  <c r="G8" i="14"/>
  <c r="H9" i="14"/>
  <c r="H13" i="14"/>
  <c r="H17" i="14"/>
  <c r="K7" i="14"/>
  <c r="H8" i="14"/>
  <c r="H12" i="14"/>
  <c r="L12" i="14" s="1"/>
  <c r="H16" i="14"/>
  <c r="H20" i="14"/>
  <c r="J17" i="14"/>
  <c r="K22" i="14"/>
  <c r="K24" i="14"/>
  <c r="K26" i="14"/>
  <c r="K28" i="14"/>
  <c r="K30" i="14"/>
  <c r="K32" i="14"/>
  <c r="K34" i="14"/>
  <c r="K36" i="14"/>
  <c r="H6" i="14"/>
  <c r="H10" i="14"/>
  <c r="H14" i="14"/>
  <c r="H18" i="14"/>
  <c r="J13" i="14"/>
  <c r="K5" i="14"/>
  <c r="K8" i="14"/>
  <c r="K11" i="14"/>
  <c r="K13" i="14"/>
  <c r="K15" i="14"/>
  <c r="K17" i="14"/>
  <c r="K19" i="14"/>
  <c r="L19" i="14" s="1"/>
  <c r="E6" i="7" l="1"/>
  <c r="E25" i="7"/>
  <c r="E42" i="7"/>
  <c r="L28" i="14"/>
  <c r="L31" i="14"/>
  <c r="E11" i="7"/>
  <c r="E16" i="7"/>
  <c r="E8" i="7"/>
  <c r="E7" i="7"/>
  <c r="L23" i="14"/>
  <c r="L27" i="14"/>
  <c r="L7" i="14"/>
  <c r="L10" i="14"/>
  <c r="L14" i="14"/>
  <c r="I37" i="14"/>
  <c r="L29" i="14"/>
  <c r="L9" i="14"/>
  <c r="L6" i="14"/>
  <c r="L34" i="14"/>
  <c r="L25" i="14"/>
  <c r="L11" i="14"/>
  <c r="L18" i="14"/>
  <c r="L32" i="14"/>
  <c r="L24" i="14"/>
  <c r="L20" i="14"/>
  <c r="L35" i="14"/>
  <c r="L33" i="14"/>
  <c r="L15" i="14"/>
  <c r="I13" i="7"/>
  <c r="F10" i="7"/>
  <c r="E10" i="7"/>
  <c r="G44" i="7"/>
  <c r="L22" i="14"/>
  <c r="L16" i="14"/>
  <c r="I49" i="7"/>
  <c r="I43" i="7"/>
  <c r="E41" i="7"/>
  <c r="E15" i="7"/>
  <c r="I14" i="7"/>
  <c r="L30" i="14"/>
  <c r="H20" i="7"/>
  <c r="H14" i="7"/>
  <c r="I47" i="7"/>
  <c r="I41" i="7"/>
  <c r="E39" i="7"/>
  <c r="E14" i="7"/>
  <c r="L26" i="14"/>
  <c r="F52" i="7"/>
  <c r="H31" i="7"/>
  <c r="E22" i="7"/>
  <c r="E50" i="7"/>
  <c r="H38" i="7"/>
  <c r="L36" i="14"/>
  <c r="I8" i="7"/>
  <c r="E19" i="7"/>
  <c r="I15" i="7"/>
  <c r="I16" i="7"/>
  <c r="L8" i="14"/>
  <c r="G33" i="7"/>
  <c r="F13" i="7"/>
  <c r="I18" i="7"/>
  <c r="L13" i="14"/>
  <c r="I19" i="7"/>
  <c r="I17" i="7"/>
  <c r="G32" i="7"/>
  <c r="E23" i="7"/>
  <c r="I20" i="7"/>
  <c r="F7" i="7"/>
  <c r="L17" i="14"/>
  <c r="J12" i="7"/>
  <c r="I12" i="7"/>
  <c r="J51" i="7"/>
  <c r="J47" i="7"/>
  <c r="J43" i="7"/>
  <c r="J39" i="7"/>
  <c r="J17" i="7"/>
  <c r="I34" i="7"/>
  <c r="I30" i="7"/>
  <c r="I26" i="7"/>
  <c r="I22" i="7"/>
  <c r="H50" i="7"/>
  <c r="H46" i="7"/>
  <c r="H42" i="7"/>
  <c r="J33" i="7"/>
  <c r="J29" i="7"/>
  <c r="J25" i="7"/>
  <c r="H29" i="7"/>
  <c r="H25" i="7"/>
  <c r="G36" i="7"/>
  <c r="F32" i="7"/>
  <c r="F28" i="7"/>
  <c r="F24" i="7"/>
  <c r="G42" i="7"/>
  <c r="G38" i="7"/>
  <c r="G23" i="7"/>
  <c r="G22" i="7"/>
  <c r="F21" i="14"/>
  <c r="G21" i="14"/>
  <c r="J50" i="7"/>
  <c r="J46" i="7"/>
  <c r="J42" i="7"/>
  <c r="J38" i="7"/>
  <c r="J20" i="7"/>
  <c r="J16" i="7"/>
  <c r="J36" i="7"/>
  <c r="J32" i="7"/>
  <c r="J28" i="7"/>
  <c r="J24" i="7"/>
  <c r="J10" i="7"/>
  <c r="J6" i="7"/>
  <c r="I33" i="7"/>
  <c r="I29" i="7"/>
  <c r="I25" i="7"/>
  <c r="H49" i="7"/>
  <c r="H45" i="7"/>
  <c r="H41" i="7"/>
  <c r="J9" i="7"/>
  <c r="H28" i="7"/>
  <c r="H24" i="7"/>
  <c r="G35" i="7"/>
  <c r="G19" i="7"/>
  <c r="F31" i="7"/>
  <c r="F27" i="7"/>
  <c r="F23" i="7"/>
  <c r="G41" i="7"/>
  <c r="G17" i="7"/>
  <c r="G13" i="7"/>
  <c r="G9" i="7"/>
  <c r="G14" i="7"/>
  <c r="G10" i="7"/>
  <c r="G6" i="7"/>
  <c r="J5" i="14"/>
  <c r="J37" i="14" s="1"/>
  <c r="H21" i="14"/>
  <c r="F5" i="14"/>
  <c r="J49" i="7"/>
  <c r="J45" i="7"/>
  <c r="J41" i="7"/>
  <c r="J19" i="7"/>
  <c r="I36" i="7"/>
  <c r="I32" i="7"/>
  <c r="I28" i="7"/>
  <c r="I24" i="7"/>
  <c r="H52" i="7"/>
  <c r="H48" i="7"/>
  <c r="H44" i="7"/>
  <c r="H40" i="7"/>
  <c r="J35" i="7"/>
  <c r="J31" i="7"/>
  <c r="J27" i="7"/>
  <c r="J23" i="7"/>
  <c r="H27" i="7"/>
  <c r="H23" i="7"/>
  <c r="G34" i="7"/>
  <c r="F30" i="7"/>
  <c r="F26" i="7"/>
  <c r="F22" i="7"/>
  <c r="H35" i="7"/>
  <c r="G40" i="7"/>
  <c r="E13" i="7"/>
  <c r="G25" i="7"/>
  <c r="E17" i="7"/>
  <c r="G24" i="7"/>
  <c r="K21" i="14"/>
  <c r="K37" i="14" s="1"/>
  <c r="J52" i="7"/>
  <c r="J48" i="7"/>
  <c r="J44" i="7"/>
  <c r="J40" i="7"/>
  <c r="J18" i="7"/>
  <c r="J34" i="7"/>
  <c r="J30" i="7"/>
  <c r="J26" i="7"/>
  <c r="J22" i="7"/>
  <c r="J8" i="7"/>
  <c r="I35" i="7"/>
  <c r="I31" i="7"/>
  <c r="I27" i="7"/>
  <c r="I23" i="7"/>
  <c r="H51" i="7"/>
  <c r="H47" i="7"/>
  <c r="H43" i="7"/>
  <c r="J7" i="7"/>
  <c r="H26" i="7"/>
  <c r="H22" i="7"/>
  <c r="F33" i="7"/>
  <c r="F29" i="7"/>
  <c r="F25" i="7"/>
  <c r="H34" i="7"/>
  <c r="G39" i="7"/>
  <c r="H36" i="7"/>
  <c r="G15" i="7"/>
  <c r="G11" i="7"/>
  <c r="G7" i="7"/>
  <c r="E9" i="7"/>
  <c r="E51" i="7"/>
  <c r="E47" i="7"/>
  <c r="E43" i="7"/>
  <c r="G16" i="7"/>
  <c r="G12" i="7"/>
  <c r="G8" i="7"/>
  <c r="E34" i="7"/>
  <c r="E27" i="7"/>
  <c r="K15" i="7" l="1"/>
  <c r="K11" i="7"/>
  <c r="K16" i="7"/>
  <c r="K14" i="7"/>
  <c r="K18" i="7"/>
  <c r="K12" i="7"/>
  <c r="K20" i="7"/>
  <c r="K9" i="7"/>
  <c r="K13" i="7"/>
  <c r="K8" i="7"/>
  <c r="K7" i="7"/>
  <c r="K49" i="7"/>
  <c r="K44" i="7"/>
  <c r="K25" i="7"/>
  <c r="K52" i="7"/>
  <c r="K29" i="7"/>
  <c r="K17" i="7"/>
  <c r="K10" i="7"/>
  <c r="K19" i="7"/>
  <c r="K36" i="7"/>
  <c r="K41" i="7"/>
  <c r="K33" i="7"/>
  <c r="K26" i="7"/>
  <c r="K30" i="7"/>
  <c r="K6" i="7"/>
  <c r="K40" i="7"/>
  <c r="K22" i="7"/>
  <c r="K23" i="7"/>
  <c r="K45" i="7"/>
  <c r="K32" i="7"/>
  <c r="K48" i="7"/>
  <c r="K35" i="7"/>
  <c r="K42" i="7"/>
  <c r="K31" i="7"/>
  <c r="K38" i="7"/>
  <c r="K24" i="7"/>
  <c r="K46" i="7"/>
  <c r="K28" i="7"/>
  <c r="K50" i="7"/>
  <c r="K43" i="7"/>
  <c r="F37" i="14"/>
  <c r="K27" i="7"/>
  <c r="K47" i="7"/>
  <c r="F37" i="7"/>
  <c r="H39" i="7"/>
  <c r="K39" i="7" s="1"/>
  <c r="L21" i="14"/>
  <c r="K34" i="7"/>
  <c r="K51" i="7"/>
  <c r="I5" i="7"/>
  <c r="I56" i="7"/>
  <c r="E21" i="7"/>
  <c r="H5" i="14"/>
  <c r="H37" i="14" s="1"/>
  <c r="G5" i="14"/>
  <c r="G37" i="14" s="1"/>
  <c r="F5" i="7"/>
  <c r="L15" i="7" l="1"/>
  <c r="L11" i="7"/>
  <c r="L13" i="7"/>
  <c r="L19" i="7"/>
  <c r="L7" i="7"/>
  <c r="H5" i="7"/>
  <c r="J5" i="7"/>
  <c r="I37" i="7"/>
  <c r="L5" i="14"/>
  <c r="L37" i="14" s="1"/>
  <c r="J21" i="7"/>
  <c r="H37" i="7"/>
  <c r="E5" i="7" l="1"/>
  <c r="G5" i="7"/>
  <c r="I21" i="7"/>
  <c r="I53" i="7" s="1"/>
  <c r="H21" i="7"/>
  <c r="E37" i="7"/>
  <c r="G37" i="7"/>
  <c r="F21" i="7"/>
  <c r="J37" i="7"/>
  <c r="J53" i="7" s="1"/>
  <c r="G21" i="7"/>
  <c r="H53" i="7"/>
  <c r="F53" i="7" l="1"/>
  <c r="K21" i="7"/>
  <c r="G53" i="7"/>
  <c r="K37" i="7"/>
  <c r="E53" i="7"/>
  <c r="K5" i="7"/>
  <c r="K53" i="7" l="1"/>
  <c r="L5" i="7"/>
</calcChain>
</file>

<file path=xl/sharedStrings.xml><?xml version="1.0" encoding="utf-8"?>
<sst xmlns="http://schemas.openxmlformats.org/spreadsheetml/2006/main" count="211" uniqueCount="138">
  <si>
    <t>성 명</t>
  </si>
  <si>
    <t>고대승</t>
  </si>
  <si>
    <t>010-6332-3822</t>
  </si>
  <si>
    <t>윗톱</t>
  </si>
  <si>
    <t>김종갑</t>
  </si>
  <si>
    <t>■ 지급금액 산출</t>
  </si>
  <si>
    <t>현장명 : 현장별 노무비 정산</t>
  </si>
  <si>
    <t>(양평군,김포시,강동구,종로구)</t>
  </si>
  <si>
    <t>기타:</t>
  </si>
  <si>
    <t>10월분</t>
  </si>
  <si>
    <t>지급계좌</t>
  </si>
  <si>
    <t>지급금액</t>
  </si>
  <si>
    <t>비 고</t>
  </si>
  <si>
    <t>은행명</t>
  </si>
  <si>
    <t>계좌번호</t>
  </si>
  <si>
    <t>예금주</t>
  </si>
  <si>
    <t>국민은행</t>
  </si>
  <si>
    <t>467701-01-076012</t>
  </si>
  <si>
    <t>467701-01-076013</t>
  </si>
  <si>
    <t>구팀장막내</t>
  </si>
  <si>
    <t>824-24-0259-701</t>
  </si>
  <si>
    <t>농협은행</t>
  </si>
  <si>
    <t>356-1271-9970-53</t>
  </si>
  <si>
    <t>302-1293-9122-01</t>
  </si>
  <si>
    <t>302-1293-9122-02</t>
  </si>
  <si>
    <t>우리은행</t>
  </si>
  <si>
    <t>1002-135-833724</t>
  </si>
  <si>
    <t>중소기업은행</t>
  </si>
  <si>
    <t>213-065905-02-018</t>
  </si>
  <si>
    <t>1002-038-529333</t>
  </si>
  <si>
    <t>1290-01-011302</t>
  </si>
  <si>
    <t>356-0873-8785-33</t>
  </si>
  <si>
    <t>신한은행</t>
  </si>
  <si>
    <t>110-257-461220</t>
  </si>
  <si>
    <t>제일은행</t>
  </si>
  <si>
    <t>626-20-447763</t>
  </si>
  <si>
    <t>356-02-040622</t>
  </si>
  <si>
    <t>김지은 반장</t>
  </si>
  <si>
    <t>조반장</t>
  </si>
  <si>
    <t>종로식재</t>
  </si>
  <si>
    <t>윤창열</t>
  </si>
  <si>
    <t>3명</t>
  </si>
  <si>
    <t>합 계</t>
  </si>
  <si>
    <t>㈜ 태 산 조 경</t>
  </si>
  <si>
    <t>규격</t>
  </si>
  <si>
    <t>010-9062-1430</t>
  </si>
  <si>
    <t>새한물류</t>
  </si>
  <si>
    <t>010-5282-3034</t>
  </si>
  <si>
    <t>010-9033-2424</t>
  </si>
  <si>
    <t>010-7179-8948</t>
  </si>
  <si>
    <t>010-3893-4418</t>
  </si>
  <si>
    <t>010-5449-1420</t>
  </si>
  <si>
    <t>010-8968-5500</t>
  </si>
  <si>
    <t>현장명 :현장별 장비대 정산</t>
  </si>
  <si>
    <t>부가세포함</t>
  </si>
  <si>
    <t>010-9143-0906</t>
  </si>
  <si>
    <t>서울크레인</t>
  </si>
  <si>
    <t>중앙크레인</t>
  </si>
  <si>
    <t>영창크레인</t>
  </si>
  <si>
    <t>고양시,종로구</t>
  </si>
  <si>
    <t>010-5281-3914</t>
  </si>
  <si>
    <t>회사명</t>
    <phoneticPr fontId="15" type="noConversion"/>
  </si>
  <si>
    <t>년</t>
    <phoneticPr fontId="15" type="noConversion"/>
  </si>
  <si>
    <t>월</t>
    <phoneticPr fontId="15" type="noConversion"/>
  </si>
  <si>
    <t>노무비지급대장</t>
    <phoneticPr fontId="15" type="noConversion"/>
  </si>
  <si>
    <t>기
간</t>
    <phoneticPr fontId="15" type="noConversion"/>
  </si>
  <si>
    <t>고용보험</t>
    <phoneticPr fontId="15" type="noConversion"/>
  </si>
  <si>
    <t>적용일수</t>
    <phoneticPr fontId="15" type="noConversion"/>
  </si>
  <si>
    <t>이 노임대장은 단순 월력으로 건강 및 연금</t>
    <phoneticPr fontId="15" type="noConversion"/>
  </si>
  <si>
    <t>현장명</t>
    <phoneticPr fontId="15" type="noConversion"/>
  </si>
  <si>
    <t>건강보험</t>
    <phoneticPr fontId="15" type="noConversion"/>
  </si>
  <si>
    <t>※ 변경 사항이 있을 경우, 수정하여 주시면 변경 적용됩니다!</t>
    <phoneticPr fontId="15" type="noConversion"/>
  </si>
  <si>
    <t>공제금액이 산정됩니다.</t>
    <phoneticPr fontId="15" type="noConversion"/>
  </si>
  <si>
    <t>현장책임자</t>
    <phoneticPr fontId="15" type="noConversion"/>
  </si>
  <si>
    <t>관리번호</t>
    <phoneticPr fontId="15" type="noConversion"/>
  </si>
  <si>
    <t>※ 프로그램 등록 후에 총 인원수, 총 공수, 총 일수, 노무비 총액 일치 꼭 확인해 주시기 바랍니다.</t>
    <phoneticPr fontId="15" type="noConversion"/>
  </si>
  <si>
    <t>장기요양</t>
    <phoneticPr fontId="15" type="noConversion"/>
  </si>
  <si>
    <t>건강 및 연금 가입 지침에 따라, 명확한 공제</t>
    <phoneticPr fontId="15" type="noConversion"/>
  </si>
  <si>
    <t>총 인원수 :</t>
    <phoneticPr fontId="15" type="noConversion"/>
  </si>
  <si>
    <t>※ 프로그램 등록 용 노임대장입니다. 실제 보험료 부과내역은 프로그램에서 확인하시기 바랍니다.
※ 셀 삽입 시, 수식이 적용되지 않을 수 있으므로 수식 적용 여부 꼭 확인해 주시기 바랍니다.</t>
    <phoneticPr fontId="15" type="noConversion"/>
  </si>
  <si>
    <t>합 계</t>
    <phoneticPr fontId="15" type="noConversion"/>
  </si>
  <si>
    <t>연금보험</t>
    <phoneticPr fontId="15" type="noConversion"/>
  </si>
  <si>
    <t>연금고시금액</t>
    <phoneticPr fontId="15" type="noConversion"/>
  </si>
  <si>
    <t>금액을 확인하시려면 꼭 프로그램에 등록 후</t>
    <phoneticPr fontId="15" type="noConversion"/>
  </si>
  <si>
    <t>연금상한</t>
    <phoneticPr fontId="15" type="noConversion"/>
  </si>
  <si>
    <t>연금상한공제액</t>
    <phoneticPr fontId="15" type="noConversion"/>
  </si>
  <si>
    <t>공제금액을 확인하셔야 합니다!</t>
    <phoneticPr fontId="15" type="noConversion"/>
  </si>
  <si>
    <t>연번</t>
    <phoneticPr fontId="15" type="noConversion"/>
  </si>
  <si>
    <t>오류
확인</t>
    <phoneticPr fontId="15" type="noConversion"/>
  </si>
  <si>
    <t>성   명</t>
    <phoneticPr fontId="15" type="noConversion"/>
  </si>
  <si>
    <t>주민등록번호</t>
    <phoneticPr fontId="15" type="noConversion"/>
  </si>
  <si>
    <t>직종</t>
    <phoneticPr fontId="15" type="noConversion"/>
  </si>
  <si>
    <t>팀명칭</t>
    <phoneticPr fontId="15" type="noConversion"/>
  </si>
  <si>
    <t>주             소</t>
    <phoneticPr fontId="15" type="noConversion"/>
  </si>
  <si>
    <t>일 당</t>
    <phoneticPr fontId="15" type="noConversion"/>
  </si>
  <si>
    <t>총
공수</t>
    <phoneticPr fontId="15" type="noConversion"/>
  </si>
  <si>
    <t>총
일수</t>
    <phoneticPr fontId="15" type="noConversion"/>
  </si>
  <si>
    <t>보수총액</t>
    <phoneticPr fontId="15" type="noConversion"/>
  </si>
  <si>
    <t>소득세</t>
    <phoneticPr fontId="15" type="noConversion"/>
  </si>
  <si>
    <t>공제합계</t>
    <phoneticPr fontId="15" type="noConversion"/>
  </si>
  <si>
    <t>차감지급액</t>
    <phoneticPr fontId="15" type="noConversion"/>
  </si>
  <si>
    <t>휴대전화</t>
    <phoneticPr fontId="15" type="noConversion"/>
  </si>
  <si>
    <t>은행명</t>
    <phoneticPr fontId="15" type="noConversion"/>
  </si>
  <si>
    <t>계좌번호</t>
    <phoneticPr fontId="15" type="noConversion"/>
  </si>
  <si>
    <t>예금주</t>
    <phoneticPr fontId="15" type="noConversion"/>
  </si>
  <si>
    <t>E-mail</t>
    <phoneticPr fontId="15" type="noConversion"/>
  </si>
  <si>
    <t>영문성명</t>
    <phoneticPr fontId="15" type="noConversion"/>
  </si>
  <si>
    <t>체류자격</t>
    <phoneticPr fontId="15" type="noConversion"/>
  </si>
  <si>
    <t>만나이</t>
    <phoneticPr fontId="15" type="noConversion"/>
  </si>
  <si>
    <t>갑근세합계</t>
    <phoneticPr fontId="15" type="noConversion"/>
  </si>
  <si>
    <t>지방소득</t>
    <phoneticPr fontId="15" type="noConversion"/>
  </si>
  <si>
    <t>국민연금</t>
    <phoneticPr fontId="15" type="noConversion"/>
  </si>
  <si>
    <t>구 분</t>
    <phoneticPr fontId="15" type="noConversion"/>
  </si>
  <si>
    <t>수량</t>
    <phoneticPr fontId="15" type="noConversion"/>
  </si>
  <si>
    <t>금액</t>
    <phoneticPr fontId="15" type="noConversion"/>
  </si>
  <si>
    <t>일당환산</t>
    <phoneticPr fontId="15" type="noConversion"/>
  </si>
  <si>
    <t>이 름</t>
    <phoneticPr fontId="15" type="noConversion"/>
  </si>
  <si>
    <t>구분</t>
    <phoneticPr fontId="15" type="noConversion"/>
  </si>
  <si>
    <t>금 액</t>
    <phoneticPr fontId="15" type="noConversion"/>
  </si>
  <si>
    <t>공 종</t>
    <phoneticPr fontId="15" type="noConversion"/>
  </si>
  <si>
    <t>공제내역</t>
    <phoneticPr fontId="15" type="noConversion"/>
  </si>
  <si>
    <t>아침</t>
    <phoneticPr fontId="15" type="noConversion"/>
  </si>
  <si>
    <t>점심</t>
    <phoneticPr fontId="15" type="noConversion"/>
  </si>
  <si>
    <t>공수</t>
    <phoneticPr fontId="15" type="noConversion"/>
  </si>
  <si>
    <t>작업부위</t>
    <phoneticPr fontId="15" type="noConversion"/>
  </si>
  <si>
    <t>비 고</t>
    <phoneticPr fontId="15" type="noConversion"/>
  </si>
  <si>
    <t xml:space="preserve">현장명 : </t>
    <phoneticPr fontId="15" type="noConversion"/>
  </si>
  <si>
    <t>매사 작업 내역서</t>
    <phoneticPr fontId="15" type="noConversion"/>
  </si>
  <si>
    <t>▶ 현장명 수정</t>
    <phoneticPr fontId="15" type="noConversion"/>
  </si>
  <si>
    <t>▶ 현장 책임자 수정</t>
    <phoneticPr fontId="15" type="noConversion"/>
  </si>
  <si>
    <t>▶ 월 수정</t>
    <phoneticPr fontId="15" type="noConversion"/>
  </si>
  <si>
    <t>▶ 위임장 및 신분증 작성</t>
    <phoneticPr fontId="15" type="noConversion"/>
  </si>
  <si>
    <t>▶ 매사 공사시 공제 내역과 작업 수량 확인후 총액으로 입금후 단가 산정</t>
    <phoneticPr fontId="15" type="noConversion"/>
  </si>
  <si>
    <t>외 주</t>
    <phoneticPr fontId="15" type="noConversion"/>
  </si>
  <si>
    <t>외 주2</t>
    <phoneticPr fontId="15" type="noConversion"/>
  </si>
  <si>
    <t>단가</t>
    <phoneticPr fontId="15" type="noConversion"/>
  </si>
  <si>
    <t>계</t>
    <phoneticPr fontId="15" type="noConversion"/>
  </si>
  <si>
    <t>기타</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</si>
</sst>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_-* #,##0_-;\-* #,##0_-;_-* &quot;-&quot;_-;_-@_-"/>
    <numFmt numFmtId="177" formatCode="_-* #,##0.00_-;\-* #,##0.00_-;_-* &quot;-&quot;??_-;_-@_-"/>
    <numFmt numFmtId="178" formatCode="_-* #,##0_-;\-* #,##0_-;_-* &quot;-&quot;_-;_-@"/>
    <numFmt numFmtId="179" formatCode="######\-#######"/>
    <numFmt numFmtId="180" formatCode="0_ "/>
    <numFmt numFmtId="181" formatCode="0.0"/>
    <numFmt numFmtId="182" formatCode="d"/>
    <numFmt numFmtId="183" formatCode="#,##0&quot;장&quot;"/>
    <numFmt numFmtId="184" formatCode="General&quot;년&quot;"/>
    <numFmt numFmtId="185" formatCode="General&quot;월&quot;"/>
    <numFmt numFmtId="186" formatCode="mm&quot;월&quot;\ dd&quot;일&quot;"/>
  </numFmts>
  <fonts count="51">
    <font>
      <sz val="11"/>
      <color theme="1"/>
      <name val="Calibri"/>
      <scheme val="minor"/>
    </font>
    <font>
      <sz val="11"/>
      <color theme="1"/>
      <name val="Calibri"/>
      <family val="2"/>
      <charset val="129"/>
      <scheme val="minor"/>
    </font>
    <font>
      <sz val="11"/>
      <color theme="1"/>
      <name val="Calibri"/>
      <family val="2"/>
      <charset val="129"/>
      <scheme val="minor"/>
    </font>
    <font>
      <sz val="11"/>
      <color theme="1"/>
      <name val="Calibri"/>
      <family val="2"/>
      <charset val="129"/>
      <scheme val="minor"/>
    </font>
    <font>
      <sz val="11"/>
      <color theme="1"/>
      <name val="Calibri"/>
      <family val="2"/>
      <charset val="129"/>
      <scheme val="minor"/>
    </font>
    <font>
      <b/>
      <sz val="10"/>
      <color theme="1"/>
      <name val="Gulim"/>
      <family val="3"/>
      <charset val="129"/>
    </font>
    <font>
      <sz val="11"/>
      <name val="Calibri"/>
      <family val="2"/>
    </font>
    <font>
      <sz val="10"/>
      <color theme="1"/>
      <name val="Gulim"/>
      <family val="3"/>
      <charset val="129"/>
    </font>
    <font>
      <sz val="9"/>
      <color theme="1"/>
      <name val="Gulim"/>
      <family val="3"/>
      <charset val="129"/>
    </font>
    <font>
      <sz val="9"/>
      <color rgb="FFFF0000"/>
      <name val="Gulim"/>
      <family val="3"/>
      <charset val="129"/>
    </font>
    <font>
      <b/>
      <sz val="14"/>
      <color theme="1"/>
      <name val="Dotum"/>
      <family val="3"/>
      <charset val="129"/>
    </font>
    <font>
      <sz val="11"/>
      <color theme="1"/>
      <name val="Malgun Gothic"/>
      <family val="3"/>
      <charset val="129"/>
    </font>
    <font>
      <sz val="10"/>
      <color theme="1"/>
      <name val="Dotum"/>
      <family val="3"/>
      <charset val="129"/>
    </font>
    <font>
      <sz val="11"/>
      <color rgb="FFFF0000"/>
      <name val="Malgun Gothic"/>
      <family val="3"/>
      <charset val="129"/>
    </font>
    <font>
      <sz val="11"/>
      <color theme="1"/>
      <name val="Gulim"/>
      <family val="3"/>
      <charset val="129"/>
    </font>
    <font>
      <sz val="8"/>
      <name val="Calibri"/>
      <family val="3"/>
      <charset val="129"/>
      <scheme val="minor"/>
    </font>
    <font>
      <sz val="11"/>
      <color theme="1"/>
      <name val="Calibri"/>
      <family val="2"/>
      <scheme val="minor"/>
    </font>
    <font>
      <b/>
      <sz val="10"/>
      <color theme="1"/>
      <name val="Calibri"/>
      <family val="3"/>
      <charset val="129"/>
      <scheme val="minor"/>
    </font>
    <font>
      <b/>
      <sz val="18"/>
      <color theme="1"/>
      <name val="Calibri"/>
      <family val="3"/>
      <charset val="129"/>
      <scheme val="minor"/>
    </font>
    <font>
      <b/>
      <sz val="9"/>
      <color theme="1"/>
      <name val="Calibri"/>
      <family val="3"/>
      <charset val="129"/>
      <scheme val="minor"/>
    </font>
    <font>
      <b/>
      <sz val="9"/>
      <color rgb="FFFF0000"/>
      <name val="Calibri"/>
      <family val="3"/>
      <charset val="129"/>
      <scheme val="minor"/>
    </font>
    <font>
      <sz val="9"/>
      <color theme="1"/>
      <name val="Calibri"/>
      <family val="3"/>
      <charset val="129"/>
      <scheme val="minor"/>
    </font>
    <font>
      <sz val="10"/>
      <color theme="1"/>
      <name val="Calibri"/>
      <family val="2"/>
      <scheme val="minor"/>
    </font>
    <font>
      <sz val="9"/>
      <color theme="1"/>
      <name val="Calibri"/>
      <family val="2"/>
      <scheme val="minor"/>
    </font>
    <font>
      <sz val="8"/>
      <color theme="1"/>
      <name val="Calibri"/>
      <family val="3"/>
      <charset val="129"/>
      <scheme val="minor"/>
    </font>
    <font>
      <sz val="8"/>
      <color theme="1"/>
      <name val="Calibri"/>
      <family val="2"/>
      <scheme val="minor"/>
    </font>
    <font>
      <sz val="10"/>
      <color theme="1"/>
      <name val="Calibri"/>
      <family val="3"/>
      <charset val="129"/>
      <scheme val="minor"/>
    </font>
    <font>
      <sz val="9"/>
      <color indexed="8"/>
      <name val="Calibri"/>
      <family val="3"/>
      <charset val="129"/>
      <scheme val="minor"/>
    </font>
    <font>
      <sz val="10"/>
      <color theme="1"/>
      <name val="Calibri"/>
      <family val="3"/>
      <charset val="129"/>
      <scheme val="major"/>
    </font>
    <font>
      <sz val="11"/>
      <color theme="1"/>
      <name val="Calibri"/>
      <family val="3"/>
      <charset val="129"/>
      <scheme val="minor"/>
    </font>
    <font>
      <sz val="11"/>
      <color theme="1"/>
      <name val="맑은 고딕"/>
      <family val="2"/>
      <charset val="129"/>
    </font>
    <font>
      <sz val="10"/>
      <color theme="1"/>
      <name val="맑은 고딕"/>
      <family val="3"/>
      <charset val="129"/>
    </font>
    <font>
      <sz val="14"/>
      <color theme="0"/>
      <name val="맑은 고딕"/>
      <family val="2"/>
      <charset val="129"/>
    </font>
    <font>
      <sz val="10"/>
      <name val="Calibri"/>
      <family val="3"/>
      <charset val="129"/>
      <scheme val="minor"/>
    </font>
    <font>
      <sz val="10"/>
      <name val="맑은 고딕"/>
      <family val="3"/>
      <charset val="129"/>
    </font>
    <font>
      <sz val="10"/>
      <color rgb="FFFF0000"/>
      <name val="Calibri"/>
      <family val="2"/>
      <scheme val="minor"/>
    </font>
    <font>
      <sz val="10"/>
      <name val="Calibri"/>
      <family val="2"/>
      <scheme val="minor"/>
    </font>
    <font>
      <b/>
      <sz val="10"/>
      <color theme="1"/>
      <name val="맑은 고딕"/>
      <family val="3"/>
      <charset val="129"/>
    </font>
    <font>
      <b/>
      <sz val="11"/>
      <color rgb="FF00B0F0"/>
      <name val="Malgun Gothic"/>
      <family val="3"/>
      <charset val="129"/>
    </font>
    <font>
      <sz val="9"/>
      <color rgb="FF000000"/>
      <name val="맑은 고딕"/>
      <family val="3"/>
      <charset val="129"/>
    </font>
    <font>
      <sz val="8"/>
      <color rgb="FF000000"/>
      <name val="굴림체"/>
      <family val="3"/>
      <charset val="129"/>
    </font>
    <font>
      <b/>
      <sz val="16"/>
      <color rgb="FF000000"/>
      <name val="바탕체"/>
      <family val="1"/>
      <charset val="129"/>
    </font>
    <font>
      <sz val="10"/>
      <color rgb="FF000000"/>
      <name val="굴림체"/>
      <family val="3"/>
      <charset val="129"/>
    </font>
    <font>
      <sz val="9"/>
      <color rgb="FF000000"/>
      <name val="굴림체"/>
      <family val="3"/>
      <charset val="129"/>
    </font>
    <font>
      <sz val="7"/>
      <color rgb="FF000000"/>
      <name val="굴림체"/>
      <family val="3"/>
      <charset val="129"/>
    </font>
    <font>
      <b/>
      <sz val="9"/>
      <color rgb="FF000000"/>
      <name val="굴림체"/>
      <family val="3"/>
      <charset val="129"/>
    </font>
    <font>
      <sz val="9"/>
      <color rgb="FF0000FF"/>
      <name val="굴림체"/>
      <family val="3"/>
      <charset val="129"/>
    </font>
    <font>
      <b/>
      <sz val="10"/>
      <color rgb="FF0000FF"/>
      <name val="굴림체"/>
      <family val="3"/>
      <charset val="129"/>
    </font>
    <font>
      <b/>
      <sz val="7"/>
      <color rgb="FF000000"/>
      <name val="굴림체"/>
      <family val="3"/>
      <charset val="129"/>
    </font>
    <font>
      <sz val="6"/>
      <color rgb="FF000000"/>
      <name val="굴림체"/>
      <family val="3"/>
      <charset val="129"/>
    </font>
    <font>
      <b/>
      <sz val="10"/>
      <color rgb="FF000000"/>
      <name val="굴림체"/>
      <family val="3"/>
      <charset val="129"/>
    </font>
  </fonts>
  <fills count="16">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D8D8D8"/>
        <bgColor rgb="FFD8D8D8"/>
      </patternFill>
    </fill>
    <fill>
      <patternFill patternType="solid">
        <fgColor rgb="FFFEF2CB"/>
        <bgColor rgb="FFFEF2CB"/>
      </patternFill>
    </fill>
    <fill>
      <patternFill patternType="solid">
        <fgColor rgb="FFFFFF00"/>
        <bgColor indexed="64"/>
      </patternFill>
    </fill>
    <fill>
      <patternFill patternType="solid">
        <fgColor rgb="FFFFFFCC"/>
        <bgColor indexed="64"/>
      </patternFill>
    </fill>
    <fill>
      <patternFill patternType="solid">
        <fgColor rgb="FFFCE4D6"/>
        <bgColor indexed="64"/>
      </patternFill>
    </fill>
    <fill>
      <patternFill patternType="solid">
        <fgColor rgb="FFDDEBF7"/>
        <bgColor indexed="64"/>
      </patternFill>
    </fill>
    <fill>
      <patternFill patternType="solid">
        <fgColor rgb="FFE2EFDA"/>
        <bgColor indexed="64"/>
      </patternFill>
    </fill>
    <fill>
      <patternFill patternType="solid">
        <fgColor rgb="FFCCECFF"/>
        <bgColor indexed="64"/>
      </patternFill>
    </fill>
    <fill>
      <patternFill patternType="solid">
        <fgColor theme="4" tint="-0.499984740745262"/>
        <bgColor indexed="64"/>
      </patternFill>
    </fill>
    <fill>
      <patternFill patternType="solid">
        <fgColor theme="5" tint="0.59999389629810485"/>
        <bgColor indexed="64"/>
      </patternFill>
    </fill>
    <fill>
      <patternFill patternType="solid">
        <fgColor rgb="FFCCFF99"/>
        <bgColor indexed="64"/>
      </patternFill>
    </fill>
    <fill>
      <patternFill patternType="solid">
        <fgColor theme="0"/>
        <bgColor indexed="64"/>
      </patternFill>
    </fill>
  </fills>
  <borders count="109">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medium">
        <color rgb="FF000000"/>
      </bottom>
      <diagonal/>
    </border>
    <border>
      <left style="thin">
        <color rgb="FF000000"/>
      </left>
      <right style="medium">
        <color rgb="FF000000"/>
      </right>
      <top style="medium">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diagonalUp="1" diagonalDown="1">
      <left style="thin">
        <color auto="1"/>
      </left>
      <right/>
      <top style="medium">
        <color auto="1"/>
      </top>
      <bottom/>
      <diagonal style="thin">
        <color auto="1"/>
      </diagonal>
    </border>
    <border diagonalUp="1" diagonalDown="1">
      <left/>
      <right style="medium">
        <color auto="1"/>
      </right>
      <top style="medium">
        <color auto="1"/>
      </top>
      <bottom/>
      <diagonal style="thin">
        <color auto="1"/>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diagonalUp="1" diagonalDown="1">
      <left style="thin">
        <color auto="1"/>
      </left>
      <right/>
      <top/>
      <bottom/>
      <diagonal style="thin">
        <color auto="1"/>
      </diagonal>
    </border>
    <border diagonalUp="1" diagonalDown="1">
      <left/>
      <right style="medium">
        <color auto="1"/>
      </right>
      <top/>
      <bottom/>
      <diagonal style="thin">
        <color auto="1"/>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diagonalUp="1">
      <left style="thin">
        <color auto="1"/>
      </left>
      <right style="thin">
        <color auto="1"/>
      </right>
      <top/>
      <bottom style="thin">
        <color auto="1"/>
      </bottom>
      <diagonal style="thin">
        <color auto="1"/>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medium">
        <color auto="1"/>
      </left>
      <right/>
      <top/>
      <bottom style="thin">
        <color auto="1"/>
      </bottom>
      <diagonal/>
    </border>
    <border>
      <left style="thin">
        <color indexed="64"/>
      </left>
      <right style="thin">
        <color indexed="64"/>
      </right>
      <top/>
      <bottom style="thin">
        <color indexed="64"/>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bottom style="thin">
        <color auto="1"/>
      </bottom>
      <diagonal/>
    </border>
    <border>
      <left style="hair">
        <color auto="1"/>
      </left>
      <right style="thin">
        <color auto="1"/>
      </right>
      <top style="hair">
        <color auto="1"/>
      </top>
      <bottom style="thin">
        <color auto="1"/>
      </bottom>
      <diagonal/>
    </border>
    <border>
      <left style="thin">
        <color indexed="64"/>
      </left>
      <right/>
      <top/>
      <bottom style="thin">
        <color indexed="64"/>
      </bottom>
      <diagonal/>
    </border>
    <border diagonalUp="1" diagonalDown="1">
      <left style="thin">
        <color auto="1"/>
      </left>
      <right/>
      <top/>
      <bottom style="thin">
        <color auto="1"/>
      </bottom>
      <diagonal style="thin">
        <color auto="1"/>
      </diagonal>
    </border>
    <border diagonalUp="1" diagonalDown="1">
      <left/>
      <right style="medium">
        <color auto="1"/>
      </right>
      <top/>
      <bottom style="thin">
        <color auto="1"/>
      </bottom>
      <diagonal style="thin">
        <color auto="1"/>
      </diagonal>
    </border>
    <border>
      <left style="hair">
        <color auto="1"/>
      </left>
      <right/>
      <top style="thin">
        <color auto="1"/>
      </top>
      <bottom style="hair">
        <color auto="1"/>
      </bottom>
      <diagonal/>
    </border>
    <border diagonalUp="1">
      <left style="thin">
        <color auto="1"/>
      </left>
      <right style="thin">
        <color auto="1"/>
      </right>
      <top style="thin">
        <color auto="1"/>
      </top>
      <bottom style="thin">
        <color auto="1"/>
      </bottom>
      <diagonal style="hair">
        <color auto="1"/>
      </diagonal>
    </border>
    <border>
      <left style="thin">
        <color indexed="64"/>
      </left>
      <right style="medium">
        <color indexed="64"/>
      </right>
      <top style="thin">
        <color indexed="64"/>
      </top>
      <bottom/>
      <diagonal/>
    </border>
    <border diagonalUp="1">
      <left style="thin">
        <color auto="1"/>
      </left>
      <right style="thin">
        <color auto="1"/>
      </right>
      <top style="thin">
        <color auto="1"/>
      </top>
      <bottom style="thin">
        <color auto="1"/>
      </bottom>
      <diagonal style="thin">
        <color auto="1"/>
      </diagonal>
    </border>
    <border>
      <left style="hair">
        <color indexed="64"/>
      </left>
      <right style="hair">
        <color indexed="64"/>
      </right>
      <top style="thin">
        <color indexed="64"/>
      </top>
      <bottom style="thin">
        <color indexed="64"/>
      </bottom>
      <diagonal/>
    </border>
    <border>
      <left style="thin">
        <color auto="1"/>
      </left>
      <right style="medium">
        <color indexed="64"/>
      </right>
      <top/>
      <bottom style="thin">
        <color auto="1"/>
      </bottom>
      <diagonal/>
    </border>
    <border>
      <left style="hair">
        <color auto="1"/>
      </left>
      <right/>
      <top style="hair">
        <color auto="1"/>
      </top>
      <bottom style="thin">
        <color auto="1"/>
      </bottom>
      <diagonal/>
    </border>
    <border>
      <left style="hair">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thin">
        <color auto="1"/>
      </right>
      <top style="thin">
        <color auto="1"/>
      </top>
      <bottom style="medium">
        <color auto="1"/>
      </bottom>
      <diagonal/>
    </border>
    <border>
      <left style="hair">
        <color auto="1"/>
      </left>
      <right style="thin">
        <color auto="1"/>
      </right>
      <top style="hair">
        <color auto="1"/>
      </top>
      <bottom style="medium">
        <color auto="1"/>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right/>
      <top style="thin">
        <color indexed="64"/>
      </top>
      <bottom/>
      <diagonal/>
    </border>
    <border>
      <left style="thin">
        <color indexed="64"/>
      </left>
      <right style="thin">
        <color auto="1"/>
      </right>
      <top/>
      <bottom/>
      <diagonal/>
    </border>
    <border>
      <left/>
      <right style="thin">
        <color auto="1"/>
      </right>
      <top/>
      <bottom/>
      <diagonal/>
    </border>
    <border>
      <left/>
      <right style="thin">
        <color auto="1"/>
      </right>
      <top style="thin">
        <color indexed="64"/>
      </top>
      <bottom/>
      <diagonal/>
    </border>
    <border>
      <left style="thin">
        <color auto="1"/>
      </left>
      <right/>
      <top/>
      <bottom/>
      <diagonal/>
    </border>
    <border>
      <left style="thin">
        <color auto="1"/>
      </left>
      <right style="thin">
        <color auto="1"/>
      </right>
      <top/>
      <bottom/>
      <diagonal/>
    </border>
    <border>
      <left style="thin">
        <color auto="1"/>
      </left>
      <right style="thin">
        <color auto="1"/>
      </right>
      <top style="thin">
        <color indexed="64"/>
      </top>
      <bottom/>
      <diagonal/>
    </border>
    <border>
      <left style="thin">
        <color auto="1"/>
      </left>
      <right/>
      <top style="thin">
        <color indexed="64"/>
      </top>
      <bottom/>
      <diagonal/>
    </border>
    <border>
      <left/>
      <right/>
      <top/>
      <bottom style="thin">
        <color auto="1"/>
      </bottom>
      <diagonal/>
    </border>
    <border>
      <left style="thin">
        <color indexed="64"/>
      </left>
      <right style="thin">
        <color auto="1"/>
      </right>
      <top/>
      <bottom style="thin">
        <color auto="1"/>
      </bottom>
      <diagonal/>
    </border>
    <border>
      <left/>
      <right style="thin">
        <color auto="1"/>
      </right>
      <top/>
      <bottom style="thin">
        <color auto="1"/>
      </bottom>
      <diagonal/>
    </border>
    <border>
      <left style="thin">
        <color auto="1"/>
      </left>
      <right/>
      <top/>
      <bottom style="thin">
        <color indexed="64"/>
      </bottom>
      <diagonal/>
    </border>
    <border>
      <left style="thin">
        <color auto="1"/>
      </left>
      <right style="thin">
        <color auto="1"/>
      </right>
      <top/>
      <bottom style="thin">
        <color indexed="64"/>
      </bottom>
      <diagonal/>
    </border>
    <border>
      <left/>
      <right style="thin">
        <color auto="1"/>
      </right>
      <top/>
      <bottom style="thin">
        <color indexed="64"/>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theme="0"/>
      </left>
      <right/>
      <top style="thin">
        <color indexed="64"/>
      </top>
      <bottom style="thin">
        <color theme="0"/>
      </bottom>
      <diagonal/>
    </border>
    <border>
      <left/>
      <right/>
      <top style="thin">
        <color indexed="64"/>
      </top>
      <bottom style="thin">
        <color theme="0"/>
      </bottom>
      <diagonal/>
    </border>
    <border>
      <left/>
      <right style="thin">
        <color theme="0"/>
      </right>
      <top style="thin">
        <color indexed="64"/>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s>
  <cellStyleXfs count="66">
    <xf numFmtId="0" fontId="0" fillId="0" borderId="0"/>
    <xf numFmtId="176" fontId="16" fillId="0" borderId="0" applyFont="0" applyFill="0" applyBorder="0" applyAlignment="0" applyProtection="0">
      <alignment vertical="center"/>
    </xf>
    <xf numFmtId="0" fontId="4" fillId="0" borderId="0">
      <alignment vertical="center"/>
    </xf>
    <xf numFmtId="176" fontId="4" fillId="0" borderId="0" applyFont="0" applyFill="0" applyBorder="0" applyAlignment="0" applyProtection="0">
      <alignment vertical="center"/>
    </xf>
    <xf numFmtId="0" fontId="3" fillId="0" borderId="0">
      <alignment vertical="center"/>
    </xf>
    <xf numFmtId="0" fontId="40" fillId="0" borderId="0">
      <alignment horizontal="right" vertical="center"/>
    </xf>
    <xf numFmtId="0" fontId="41" fillId="0" borderId="0">
      <alignment horizontal="center" vertical="center"/>
    </xf>
    <xf numFmtId="0" fontId="42" fillId="0" borderId="0">
      <alignment horizontal="center" vertical="center"/>
    </xf>
    <xf numFmtId="0" fontId="43" fillId="0" borderId="0">
      <alignment horizontal="center" vertical="center"/>
    </xf>
    <xf numFmtId="0" fontId="43" fillId="0" borderId="0">
      <alignment horizontal="left" vertical="center"/>
    </xf>
    <xf numFmtId="0" fontId="40" fillId="0" borderId="0">
      <alignment horizontal="center" vertical="center"/>
    </xf>
    <xf numFmtId="0" fontId="44" fillId="0" borderId="0">
      <alignment horizontal="center" vertical="center"/>
    </xf>
    <xf numFmtId="0" fontId="45" fillId="0" borderId="0">
      <alignment horizontal="center" vertical="center"/>
    </xf>
    <xf numFmtId="0" fontId="46" fillId="0" borderId="0">
      <alignment horizontal="center" vertical="center"/>
    </xf>
    <xf numFmtId="0" fontId="44" fillId="0" borderId="0">
      <alignment horizontal="center" vertical="center"/>
    </xf>
    <xf numFmtId="0" fontId="44" fillId="0" borderId="0">
      <alignment horizontal="left" vertical="center"/>
    </xf>
    <xf numFmtId="0" fontId="47" fillId="0" borderId="0">
      <alignment horizontal="left" vertical="center"/>
    </xf>
    <xf numFmtId="0" fontId="44" fillId="0" borderId="0">
      <alignment horizontal="left" vertical="center"/>
    </xf>
    <xf numFmtId="0" fontId="44" fillId="0" borderId="0">
      <alignment horizontal="center" vertical="center"/>
    </xf>
    <xf numFmtId="0" fontId="44" fillId="0" borderId="0">
      <alignment horizontal="center" vertical="center"/>
    </xf>
    <xf numFmtId="0" fontId="48" fillId="0" borderId="0">
      <alignment horizontal="right" vertical="center"/>
    </xf>
    <xf numFmtId="0" fontId="44" fillId="0" borderId="0">
      <alignment horizontal="right" vertical="center"/>
    </xf>
    <xf numFmtId="0" fontId="44" fillId="0" borderId="0">
      <alignment horizontal="right" vertical="center"/>
    </xf>
    <xf numFmtId="0" fontId="49" fillId="0" borderId="0">
      <alignment horizontal="left" vertical="center"/>
    </xf>
    <xf numFmtId="0" fontId="42" fillId="0" borderId="0">
      <alignment horizontal="center" vertical="center"/>
    </xf>
    <xf numFmtId="0" fontId="44" fillId="0" borderId="0">
      <alignment horizontal="right" vertical="center"/>
    </xf>
    <xf numFmtId="0" fontId="44" fillId="0" borderId="0">
      <alignment horizontal="right" vertical="center"/>
    </xf>
    <xf numFmtId="0" fontId="44" fillId="0" borderId="0">
      <alignment horizontal="left" vertical="center"/>
    </xf>
    <xf numFmtId="0" fontId="44" fillId="0" borderId="0">
      <alignment horizontal="center" vertical="center"/>
    </xf>
    <xf numFmtId="0" fontId="44" fillId="0" borderId="0">
      <alignment horizontal="center" vertical="center"/>
    </xf>
    <xf numFmtId="0" fontId="49" fillId="0" borderId="0">
      <alignment horizontal="center" vertical="center"/>
    </xf>
    <xf numFmtId="0" fontId="49" fillId="0" borderId="0">
      <alignment horizontal="left" vertical="center"/>
    </xf>
    <xf numFmtId="0" fontId="50" fillId="0" borderId="0">
      <alignment horizontal="left" vertical="top"/>
    </xf>
    <xf numFmtId="0" fontId="50" fillId="0" borderId="0">
      <alignment horizontal="center" vertical="center"/>
    </xf>
    <xf numFmtId="0" fontId="48" fillId="0" borderId="0">
      <alignment horizontal="right" vertical="center"/>
    </xf>
    <xf numFmtId="0" fontId="44" fillId="0" borderId="0">
      <alignment horizontal="right" vertical="center"/>
    </xf>
    <xf numFmtId="0" fontId="44" fillId="0" borderId="0">
      <alignment horizontal="right" vertical="center"/>
    </xf>
    <xf numFmtId="0" fontId="49" fillId="0" borderId="0">
      <alignment horizontal="right" vertical="center"/>
    </xf>
    <xf numFmtId="0" fontId="42" fillId="0" borderId="0">
      <alignment horizontal="left" vertical="center"/>
    </xf>
    <xf numFmtId="0" fontId="43" fillId="0" borderId="0">
      <alignment horizontal="right" vertical="top"/>
    </xf>
    <xf numFmtId="0" fontId="40" fillId="0" borderId="0">
      <alignment horizontal="right" vertical="center"/>
    </xf>
    <xf numFmtId="0" fontId="50" fillId="0" borderId="0">
      <alignment horizontal="left" vertical="top"/>
    </xf>
    <xf numFmtId="0" fontId="50" fillId="0" borderId="0">
      <alignment horizontal="left" vertical="top"/>
    </xf>
    <xf numFmtId="0" fontId="2" fillId="0" borderId="0">
      <alignment vertical="center"/>
    </xf>
    <xf numFmtId="176" fontId="2" fillId="0" borderId="0" applyFont="0" applyFill="0" applyBorder="0" applyAlignment="0" applyProtection="0">
      <alignment vertical="center"/>
    </xf>
    <xf numFmtId="0" fontId="44" fillId="0" borderId="0">
      <alignment horizontal="right" vertical="center"/>
    </xf>
    <xf numFmtId="0" fontId="49" fillId="0" borderId="0">
      <alignment horizontal="left" vertical="center"/>
    </xf>
    <xf numFmtId="0" fontId="42" fillId="0" borderId="0">
      <alignment horizontal="center" vertical="center"/>
    </xf>
    <xf numFmtId="0" fontId="44" fillId="0" borderId="0">
      <alignment horizontal="right" vertical="center"/>
    </xf>
    <xf numFmtId="0" fontId="44" fillId="0" borderId="0">
      <alignment horizontal="left" vertical="center"/>
    </xf>
    <xf numFmtId="0" fontId="44" fillId="0" borderId="0">
      <alignment horizontal="center" vertical="center"/>
    </xf>
    <xf numFmtId="0" fontId="49" fillId="0" borderId="0">
      <alignment horizontal="center" vertical="center"/>
    </xf>
    <xf numFmtId="0" fontId="49" fillId="0" borderId="0">
      <alignment horizontal="left" vertical="center"/>
    </xf>
    <xf numFmtId="0" fontId="50" fillId="0" borderId="0">
      <alignment horizontal="left" vertical="top"/>
    </xf>
    <xf numFmtId="0" fontId="50" fillId="0" borderId="0">
      <alignment horizontal="center" vertical="center"/>
    </xf>
    <xf numFmtId="0" fontId="48" fillId="0" borderId="0">
      <alignment horizontal="right" vertical="center"/>
    </xf>
    <xf numFmtId="0" fontId="44" fillId="0" borderId="0">
      <alignment horizontal="right" vertical="center"/>
    </xf>
    <xf numFmtId="0" fontId="1" fillId="0" borderId="0">
      <alignment vertical="center"/>
    </xf>
    <xf numFmtId="0" fontId="44" fillId="0" borderId="0">
      <alignment horizontal="left" vertical="center"/>
    </xf>
    <xf numFmtId="0" fontId="44" fillId="0" borderId="0">
      <alignment horizontal="center" vertical="center"/>
    </xf>
    <xf numFmtId="0" fontId="48" fillId="0" borderId="0">
      <alignment horizontal="right" vertical="center"/>
    </xf>
    <xf numFmtId="0" fontId="44" fillId="0" borderId="0">
      <alignment horizontal="right" vertical="center"/>
    </xf>
    <xf numFmtId="0" fontId="42" fillId="0" borderId="0">
      <alignment horizontal="left" vertical="center"/>
    </xf>
    <xf numFmtId="0" fontId="43" fillId="0" borderId="0">
      <alignment horizontal="right" vertical="top"/>
    </xf>
    <xf numFmtId="0" fontId="40" fillId="0" borderId="0">
      <alignment horizontal="right" vertical="center"/>
    </xf>
    <xf numFmtId="0" fontId="50" fillId="0" borderId="0">
      <alignment horizontal="left" vertical="top"/>
    </xf>
  </cellStyleXfs>
  <cellXfs count="307">
    <xf numFmtId="0" fontId="0" fillId="0" borderId="0" xfId="0" applyAlignment="1">
      <alignment vertical="center"/>
    </xf>
    <xf numFmtId="0" fontId="8" fillId="0" borderId="14" xfId="0" applyFont="1" applyBorder="1" applyAlignment="1">
      <alignment horizontal="center" vertical="center" shrinkToFit="1"/>
    </xf>
    <xf numFmtId="0" fontId="10" fillId="0" borderId="0" xfId="0" applyFont="1" applyAlignment="1">
      <alignment horizontal="left" vertical="center"/>
    </xf>
    <xf numFmtId="0" fontId="11" fillId="0" borderId="0" xfId="0" applyFont="1" applyAlignment="1">
      <alignment horizontal="center" vertical="center"/>
    </xf>
    <xf numFmtId="178" fontId="11" fillId="0" borderId="0" xfId="0" applyNumberFormat="1" applyFont="1" applyAlignment="1">
      <alignment vertical="center"/>
    </xf>
    <xf numFmtId="0" fontId="12" fillId="0" borderId="8" xfId="0" applyFont="1" applyBorder="1" applyAlignment="1">
      <alignment horizontal="left" vertical="center"/>
    </xf>
    <xf numFmtId="0" fontId="12" fillId="0" borderId="0" xfId="0" applyFont="1" applyAlignment="1">
      <alignment horizontal="right" vertical="center"/>
    </xf>
    <xf numFmtId="0" fontId="5" fillId="4" borderId="24" xfId="0" applyFont="1" applyFill="1" applyBorder="1" applyAlignment="1">
      <alignment horizontal="center" vertical="center"/>
    </xf>
    <xf numFmtId="0" fontId="5" fillId="4" borderId="25" xfId="0" applyFont="1" applyFill="1" applyBorder="1" applyAlignment="1">
      <alignment horizontal="center" vertical="center"/>
    </xf>
    <xf numFmtId="0" fontId="14" fillId="0" borderId="0" xfId="0" applyFont="1" applyAlignment="1">
      <alignment vertical="center"/>
    </xf>
    <xf numFmtId="0" fontId="5" fillId="4" borderId="18" xfId="0" applyFont="1" applyFill="1" applyBorder="1" applyAlignment="1">
      <alignment horizontal="center" vertical="center"/>
    </xf>
    <xf numFmtId="0" fontId="8" fillId="0" borderId="11" xfId="0" applyFont="1" applyBorder="1" applyAlignment="1">
      <alignment horizontal="center" vertical="center" shrinkToFit="1"/>
    </xf>
    <xf numFmtId="180" fontId="7" fillId="0" borderId="11" xfId="0" applyNumberFormat="1" applyFont="1" applyBorder="1" applyAlignment="1">
      <alignment horizontal="center" vertical="center"/>
    </xf>
    <xf numFmtId="0" fontId="8" fillId="0" borderId="7" xfId="0" applyFont="1" applyBorder="1" applyAlignment="1">
      <alignment horizontal="center" vertical="center" shrinkToFit="1"/>
    </xf>
    <xf numFmtId="178" fontId="8" fillId="0" borderId="7" xfId="0" applyNumberFormat="1" applyFont="1" applyBorder="1" applyAlignment="1">
      <alignment horizontal="center" vertical="center" shrinkToFit="1"/>
    </xf>
    <xf numFmtId="178" fontId="8" fillId="0" borderId="24" xfId="0" applyNumberFormat="1" applyFont="1" applyBorder="1" applyAlignment="1">
      <alignment horizontal="center" vertical="center" shrinkToFit="1"/>
    </xf>
    <xf numFmtId="0" fontId="7" fillId="0" borderId="0" xfId="0" applyFont="1" applyAlignment="1">
      <alignment vertical="center"/>
    </xf>
    <xf numFmtId="0" fontId="7" fillId="0" borderId="11" xfId="0" applyFont="1" applyBorder="1" applyAlignment="1">
      <alignment horizontal="center" vertical="center" shrinkToFit="1"/>
    </xf>
    <xf numFmtId="178" fontId="8" fillId="5" borderId="17" xfId="0" applyNumberFormat="1" applyFont="1" applyFill="1" applyBorder="1" applyAlignment="1">
      <alignment horizontal="center" vertical="center" shrinkToFit="1"/>
    </xf>
    <xf numFmtId="178" fontId="8" fillId="0" borderId="11" xfId="0" applyNumberFormat="1" applyFont="1" applyBorder="1" applyAlignment="1">
      <alignment horizontal="center" vertical="center"/>
    </xf>
    <xf numFmtId="0" fontId="8" fillId="0" borderId="13" xfId="0" applyFont="1" applyBorder="1" applyAlignment="1">
      <alignment horizontal="center" vertical="center"/>
    </xf>
    <xf numFmtId="0" fontId="8" fillId="0" borderId="27" xfId="0" applyFont="1" applyBorder="1" applyAlignment="1">
      <alignment horizontal="center" vertical="center" shrinkToFit="1"/>
    </xf>
    <xf numFmtId="178" fontId="8" fillId="0" borderId="11" xfId="0" applyNumberFormat="1" applyFont="1" applyBorder="1" applyAlignment="1">
      <alignment horizontal="center" vertical="center" shrinkToFit="1"/>
    </xf>
    <xf numFmtId="0" fontId="7" fillId="0" borderId="6" xfId="0" applyFont="1" applyBorder="1" applyAlignment="1">
      <alignment horizontal="center" vertical="center" shrinkToFit="1"/>
    </xf>
    <xf numFmtId="0" fontId="7" fillId="2" borderId="11" xfId="0" applyFont="1" applyFill="1" applyBorder="1" applyAlignment="1">
      <alignment horizontal="center" vertical="center"/>
    </xf>
    <xf numFmtId="0" fontId="7" fillId="2" borderId="28" xfId="0" applyFont="1" applyFill="1" applyBorder="1" applyAlignment="1">
      <alignment horizontal="center" vertical="center"/>
    </xf>
    <xf numFmtId="0" fontId="7" fillId="0" borderId="0" xfId="0" applyFont="1" applyAlignment="1">
      <alignment horizontal="center" vertical="center"/>
    </xf>
    <xf numFmtId="178" fontId="7" fillId="0" borderId="0" xfId="0" applyNumberFormat="1" applyFont="1" applyAlignment="1">
      <alignment horizontal="center" vertical="center"/>
    </xf>
    <xf numFmtId="0" fontId="8" fillId="0" borderId="0" xfId="0" applyFont="1" applyAlignment="1">
      <alignment horizontal="left" vertical="center"/>
    </xf>
    <xf numFmtId="0" fontId="14" fillId="0" borderId="0" xfId="0" applyFont="1" applyAlignment="1">
      <alignment horizontal="center" vertical="center"/>
    </xf>
    <xf numFmtId="178" fontId="14" fillId="0" borderId="0" xfId="0" applyNumberFormat="1" applyFont="1" applyAlignment="1">
      <alignment horizontal="center" vertical="center"/>
    </xf>
    <xf numFmtId="178" fontId="14" fillId="0" borderId="0" xfId="0" applyNumberFormat="1" applyFont="1" applyAlignment="1">
      <alignment vertical="center"/>
    </xf>
    <xf numFmtId="0" fontId="11" fillId="0" borderId="0" xfId="0" applyFont="1" applyAlignment="1">
      <alignment vertical="center"/>
    </xf>
    <xf numFmtId="0" fontId="8" fillId="0" borderId="5" xfId="0" applyFont="1" applyBorder="1" applyAlignment="1">
      <alignment horizontal="center" vertical="center" shrinkToFit="1"/>
    </xf>
    <xf numFmtId="179" fontId="8" fillId="0" borderId="7" xfId="0" applyNumberFormat="1" applyFont="1" applyBorder="1" applyAlignment="1">
      <alignment horizontal="center" vertical="center" shrinkToFit="1"/>
    </xf>
    <xf numFmtId="180" fontId="7" fillId="0" borderId="7" xfId="0" applyNumberFormat="1" applyFont="1" applyBorder="1" applyAlignment="1">
      <alignment horizontal="center" vertical="center"/>
    </xf>
    <xf numFmtId="178" fontId="8" fillId="3" borderId="17" xfId="0" applyNumberFormat="1" applyFont="1" applyFill="1" applyBorder="1" applyAlignment="1">
      <alignment horizontal="center" vertical="center" shrinkToFit="1"/>
    </xf>
    <xf numFmtId="0" fontId="9" fillId="0" borderId="13" xfId="0" applyFont="1" applyBorder="1" applyAlignment="1">
      <alignment horizontal="center" vertical="center"/>
    </xf>
    <xf numFmtId="179" fontId="8" fillId="0" borderId="11" xfId="0" applyNumberFormat="1" applyFont="1" applyBorder="1" applyAlignment="1">
      <alignment horizontal="center" vertical="center" shrinkToFit="1"/>
    </xf>
    <xf numFmtId="0" fontId="8" fillId="0" borderId="15" xfId="0" applyFont="1" applyBorder="1" applyAlignment="1">
      <alignment horizontal="center" vertical="center" shrinkToFit="1"/>
    </xf>
    <xf numFmtId="0" fontId="8" fillId="0" borderId="6" xfId="0" applyFont="1" applyBorder="1" applyAlignment="1">
      <alignment horizontal="center" vertical="center" shrinkToFit="1"/>
    </xf>
    <xf numFmtId="0" fontId="8" fillId="0" borderId="11" xfId="0" applyFont="1" applyBorder="1" applyAlignment="1">
      <alignment horizontal="left" vertical="center" shrinkToFit="1"/>
    </xf>
    <xf numFmtId="0" fontId="4" fillId="0" borderId="31" xfId="2" applyBorder="1">
      <alignment vertical="center"/>
    </xf>
    <xf numFmtId="0" fontId="19" fillId="0" borderId="30" xfId="2" applyFont="1" applyBorder="1" applyAlignment="1">
      <alignment horizontal="center" vertical="center"/>
    </xf>
    <xf numFmtId="0" fontId="19" fillId="0" borderId="30" xfId="2" applyFont="1" applyBorder="1">
      <alignment vertical="center"/>
    </xf>
    <xf numFmtId="0" fontId="20" fillId="7" borderId="33" xfId="2" applyFont="1" applyFill="1" applyBorder="1">
      <alignment vertical="center"/>
    </xf>
    <xf numFmtId="0" fontId="4" fillId="0" borderId="0" xfId="2">
      <alignment vertical="center"/>
    </xf>
    <xf numFmtId="0" fontId="4" fillId="0" borderId="0" xfId="2" applyAlignment="1"/>
    <xf numFmtId="0" fontId="17" fillId="0" borderId="37" xfId="2" applyFont="1" applyBorder="1" applyAlignment="1">
      <alignment horizontal="center" vertical="center"/>
    </xf>
    <xf numFmtId="0" fontId="19" fillId="0" borderId="37" xfId="2" applyFont="1" applyBorder="1" applyAlignment="1">
      <alignment horizontal="center" vertical="center"/>
    </xf>
    <xf numFmtId="0" fontId="19" fillId="0" borderId="37" xfId="2" applyFont="1" applyBorder="1">
      <alignment vertical="center"/>
    </xf>
    <xf numFmtId="0" fontId="20" fillId="7" borderId="43" xfId="2" applyFont="1" applyFill="1" applyBorder="1">
      <alignment vertical="center"/>
    </xf>
    <xf numFmtId="181" fontId="24" fillId="0" borderId="50" xfId="2" applyNumberFormat="1" applyFont="1" applyBorder="1" applyAlignment="1">
      <alignment horizontal="center" vertical="center"/>
    </xf>
    <xf numFmtId="181" fontId="24" fillId="0" borderId="51" xfId="2" applyNumberFormat="1" applyFont="1" applyBorder="1" applyAlignment="1">
      <alignment horizontal="center" vertical="center"/>
    </xf>
    <xf numFmtId="181" fontId="24" fillId="0" borderId="52" xfId="2" applyNumberFormat="1" applyFont="1" applyBorder="1" applyAlignment="1">
      <alignment horizontal="center" vertical="center"/>
    </xf>
    <xf numFmtId="181" fontId="24" fillId="0" borderId="53" xfId="2" applyNumberFormat="1" applyFont="1" applyBorder="1" applyAlignment="1">
      <alignment horizontal="center" vertical="center"/>
    </xf>
    <xf numFmtId="176" fontId="25" fillId="0" borderId="54" xfId="3" applyFont="1" applyBorder="1" applyAlignment="1">
      <alignment vertical="center"/>
    </xf>
    <xf numFmtId="176" fontId="25" fillId="0" borderId="55" xfId="3" applyFont="1" applyBorder="1" applyAlignment="1">
      <alignment vertical="center"/>
    </xf>
    <xf numFmtId="176" fontId="25" fillId="0" borderId="56" xfId="3" applyFont="1" applyBorder="1" applyAlignment="1">
      <alignment vertical="center"/>
    </xf>
    <xf numFmtId="176" fontId="19" fillId="0" borderId="37" xfId="3" applyFont="1" applyBorder="1" applyAlignment="1">
      <alignment vertical="center"/>
    </xf>
    <xf numFmtId="181" fontId="24" fillId="0" borderId="59" xfId="2" applyNumberFormat="1" applyFont="1" applyBorder="1" applyAlignment="1">
      <alignment horizontal="center" vertical="center"/>
    </xf>
    <xf numFmtId="181" fontId="24" fillId="0" borderId="60" xfId="2" applyNumberFormat="1" applyFont="1" applyBorder="1" applyAlignment="1">
      <alignment horizontal="center" vertical="center"/>
    </xf>
    <xf numFmtId="181" fontId="24" fillId="0" borderId="61" xfId="2" applyNumberFormat="1" applyFont="1" applyBorder="1" applyAlignment="1">
      <alignment horizontal="center" vertical="center"/>
    </xf>
    <xf numFmtId="176" fontId="25" fillId="0" borderId="59" xfId="3" applyFont="1" applyBorder="1" applyAlignment="1">
      <alignment vertical="center"/>
    </xf>
    <xf numFmtId="176" fontId="25" fillId="0" borderId="60" xfId="3" applyFont="1" applyBorder="1" applyAlignment="1">
      <alignment vertical="center"/>
    </xf>
    <xf numFmtId="176" fontId="25" fillId="0" borderId="62" xfId="3" applyFont="1" applyBorder="1" applyAlignment="1">
      <alignment vertical="center"/>
    </xf>
    <xf numFmtId="176" fontId="19" fillId="6" borderId="37" xfId="3" applyFont="1" applyFill="1" applyBorder="1" applyAlignment="1">
      <alignment vertical="center"/>
    </xf>
    <xf numFmtId="0" fontId="20" fillId="7" borderId="63" xfId="2" applyFont="1" applyFill="1" applyBorder="1">
      <alignment vertical="center"/>
    </xf>
    <xf numFmtId="182" fontId="26" fillId="9" borderId="54" xfId="2" applyNumberFormat="1" applyFont="1" applyFill="1" applyBorder="1" applyAlignment="1">
      <alignment horizontal="center" vertical="center"/>
    </xf>
    <xf numFmtId="182" fontId="26" fillId="9" borderId="55" xfId="2" applyNumberFormat="1" applyFont="1" applyFill="1" applyBorder="1" applyAlignment="1">
      <alignment horizontal="center" vertical="center"/>
    </xf>
    <xf numFmtId="182" fontId="26" fillId="9" borderId="66" xfId="2" applyNumberFormat="1" applyFont="1" applyFill="1" applyBorder="1" applyAlignment="1">
      <alignment horizontal="center" vertical="center"/>
    </xf>
    <xf numFmtId="0" fontId="26" fillId="9" borderId="67" xfId="2" applyFont="1" applyFill="1" applyBorder="1" applyAlignment="1">
      <alignment horizontal="center" vertical="center"/>
    </xf>
    <xf numFmtId="0" fontId="17" fillId="8" borderId="54" xfId="2" applyFont="1" applyFill="1" applyBorder="1" applyAlignment="1">
      <alignment horizontal="center" vertical="center"/>
    </xf>
    <xf numFmtId="0" fontId="17" fillId="8" borderId="55" xfId="2" applyFont="1" applyFill="1" applyBorder="1" applyAlignment="1">
      <alignment horizontal="center" vertical="center"/>
    </xf>
    <xf numFmtId="0" fontId="17" fillId="8" borderId="56" xfId="2" applyFont="1" applyFill="1" applyBorder="1" applyAlignment="1">
      <alignment horizontal="center" vertical="center"/>
    </xf>
    <xf numFmtId="0" fontId="26" fillId="0" borderId="54" xfId="2" applyFont="1" applyBorder="1">
      <alignment vertical="center"/>
    </xf>
    <xf numFmtId="0" fontId="26" fillId="0" borderId="55" xfId="2" applyFont="1" applyBorder="1">
      <alignment vertical="center"/>
    </xf>
    <xf numFmtId="0" fontId="26" fillId="0" borderId="56" xfId="2" applyFont="1" applyBorder="1">
      <alignment vertical="center"/>
    </xf>
    <xf numFmtId="0" fontId="26" fillId="0" borderId="69" xfId="2" applyFont="1" applyBorder="1">
      <alignment vertical="center"/>
    </xf>
    <xf numFmtId="182" fontId="26" fillId="9" borderId="59" xfId="2" applyNumberFormat="1" applyFont="1" applyFill="1" applyBorder="1" applyAlignment="1">
      <alignment horizontal="center" vertical="center"/>
    </xf>
    <xf numFmtId="182" fontId="26" fillId="9" borderId="60" xfId="2" applyNumberFormat="1" applyFont="1" applyFill="1" applyBorder="1" applyAlignment="1">
      <alignment horizontal="center" vertical="center"/>
    </xf>
    <xf numFmtId="182" fontId="26" fillId="9" borderId="70" xfId="2" applyNumberFormat="1" applyFont="1" applyFill="1" applyBorder="1" applyAlignment="1">
      <alignment horizontal="center" vertical="center"/>
    </xf>
    <xf numFmtId="0" fontId="17" fillId="8" borderId="59" xfId="2" applyFont="1" applyFill="1" applyBorder="1" applyAlignment="1">
      <alignment horizontal="center" vertical="center"/>
    </xf>
    <xf numFmtId="0" fontId="17" fillId="8" borderId="60" xfId="2" applyFont="1" applyFill="1" applyBorder="1" applyAlignment="1">
      <alignment horizontal="center" vertical="center"/>
    </xf>
    <xf numFmtId="0" fontId="17" fillId="8" borderId="62" xfId="2" applyFont="1" applyFill="1" applyBorder="1" applyAlignment="1">
      <alignment horizontal="center" vertical="center"/>
    </xf>
    <xf numFmtId="0" fontId="26" fillId="0" borderId="59" xfId="2" applyFont="1" applyBorder="1">
      <alignment vertical="center"/>
    </xf>
    <xf numFmtId="0" fontId="26" fillId="0" borderId="60" xfId="2" applyFont="1" applyBorder="1">
      <alignment vertical="center"/>
    </xf>
    <xf numFmtId="0" fontId="26" fillId="0" borderId="72" xfId="2" applyFont="1" applyBorder="1">
      <alignment vertical="center"/>
    </xf>
    <xf numFmtId="0" fontId="26" fillId="0" borderId="73" xfId="2" applyFont="1" applyBorder="1">
      <alignment vertical="center"/>
    </xf>
    <xf numFmtId="181" fontId="28" fillId="0" borderId="54" xfId="2" applyNumberFormat="1" applyFont="1" applyBorder="1" applyAlignment="1">
      <alignment horizontal="center" vertical="center"/>
    </xf>
    <xf numFmtId="181" fontId="28" fillId="0" borderId="55" xfId="2" applyNumberFormat="1" applyFont="1" applyBorder="1" applyAlignment="1">
      <alignment horizontal="center" vertical="center"/>
    </xf>
    <xf numFmtId="181" fontId="28" fillId="0" borderId="55" xfId="2" applyNumberFormat="1" applyFont="1" applyBorder="1" applyAlignment="1" applyProtection="1">
      <alignment horizontal="center" vertical="center" shrinkToFit="1"/>
      <protection locked="0"/>
    </xf>
    <xf numFmtId="181" fontId="28" fillId="0" borderId="66" xfId="2" applyNumberFormat="1" applyFont="1" applyBorder="1" applyAlignment="1">
      <alignment horizontal="center" vertical="center"/>
    </xf>
    <xf numFmtId="181" fontId="28" fillId="0" borderId="67" xfId="2" applyNumberFormat="1" applyFont="1" applyBorder="1" applyAlignment="1">
      <alignment horizontal="center" vertical="center"/>
    </xf>
    <xf numFmtId="176" fontId="26" fillId="0" borderId="54" xfId="3" applyFont="1" applyBorder="1" applyAlignment="1">
      <alignment horizontal="center" vertical="center"/>
    </xf>
    <xf numFmtId="176" fontId="26" fillId="0" borderId="55" xfId="3" applyFont="1" applyBorder="1" applyAlignment="1">
      <alignment horizontal="center" vertical="center"/>
    </xf>
    <xf numFmtId="176" fontId="26" fillId="0" borderId="56" xfId="3" applyFont="1" applyBorder="1" applyAlignment="1">
      <alignment horizontal="center" vertical="center"/>
    </xf>
    <xf numFmtId="176" fontId="26" fillId="0" borderId="54" xfId="3" applyFont="1" applyBorder="1" applyAlignment="1">
      <alignment vertical="center"/>
    </xf>
    <xf numFmtId="176" fontId="26" fillId="0" borderId="55" xfId="3" applyFont="1" applyBorder="1" applyAlignment="1">
      <alignment vertical="center"/>
    </xf>
    <xf numFmtId="176" fontId="26" fillId="0" borderId="66" xfId="3" applyFont="1" applyBorder="1" applyAlignment="1">
      <alignment vertical="center"/>
    </xf>
    <xf numFmtId="176" fontId="26" fillId="0" borderId="69" xfId="3" applyFont="1" applyBorder="1" applyAlignment="1">
      <alignment vertical="center"/>
    </xf>
    <xf numFmtId="181" fontId="28" fillId="11" borderId="59" xfId="2" applyNumberFormat="1" applyFont="1" applyFill="1" applyBorder="1" applyAlignment="1" applyProtection="1">
      <alignment horizontal="center" vertical="center" shrinkToFit="1"/>
      <protection locked="0"/>
    </xf>
    <xf numFmtId="181" fontId="28" fillId="11" borderId="60" xfId="2" applyNumberFormat="1" applyFont="1" applyFill="1" applyBorder="1" applyAlignment="1" applyProtection="1">
      <alignment horizontal="center" vertical="center" shrinkToFit="1"/>
      <protection locked="0"/>
    </xf>
    <xf numFmtId="181" fontId="28" fillId="11" borderId="73" xfId="2" applyNumberFormat="1" applyFont="1" applyFill="1" applyBorder="1" applyAlignment="1" applyProtection="1">
      <alignment horizontal="center" vertical="center" shrinkToFit="1"/>
      <protection locked="0"/>
    </xf>
    <xf numFmtId="176" fontId="26" fillId="0" borderId="59" xfId="3" applyFont="1" applyBorder="1" applyAlignment="1">
      <alignment horizontal="center" vertical="center"/>
    </xf>
    <xf numFmtId="176" fontId="26" fillId="0" borderId="60" xfId="3" applyFont="1" applyBorder="1" applyAlignment="1">
      <alignment horizontal="center" vertical="center"/>
    </xf>
    <xf numFmtId="176" fontId="26" fillId="0" borderId="62" xfId="3" applyFont="1" applyBorder="1" applyAlignment="1">
      <alignment horizontal="center" vertical="center"/>
    </xf>
    <xf numFmtId="176" fontId="26" fillId="0" borderId="59" xfId="3" applyFont="1" applyBorder="1" applyAlignment="1">
      <alignment vertical="center"/>
    </xf>
    <xf numFmtId="176" fontId="26" fillId="0" borderId="60" xfId="3" applyFont="1" applyBorder="1" applyAlignment="1">
      <alignment vertical="center"/>
    </xf>
    <xf numFmtId="176" fontId="26" fillId="0" borderId="61" xfId="3" applyFont="1" applyBorder="1" applyAlignment="1">
      <alignment vertical="center"/>
    </xf>
    <xf numFmtId="181" fontId="28" fillId="11" borderId="76" xfId="2" applyNumberFormat="1" applyFont="1" applyFill="1" applyBorder="1" applyAlignment="1" applyProtection="1">
      <alignment horizontal="center" vertical="center" shrinkToFit="1"/>
      <protection locked="0"/>
    </xf>
    <xf numFmtId="181" fontId="28" fillId="11" borderId="77" xfId="2" applyNumberFormat="1" applyFont="1" applyFill="1" applyBorder="1" applyAlignment="1" applyProtection="1">
      <alignment horizontal="center" vertical="center" shrinkToFit="1"/>
      <protection locked="0"/>
    </xf>
    <xf numFmtId="181" fontId="28" fillId="11" borderId="78" xfId="2" applyNumberFormat="1" applyFont="1" applyFill="1" applyBorder="1" applyAlignment="1" applyProtection="1">
      <alignment horizontal="center" vertical="center" shrinkToFit="1"/>
      <protection locked="0"/>
    </xf>
    <xf numFmtId="176" fontId="26" fillId="0" borderId="76" xfId="3" applyFont="1" applyBorder="1" applyAlignment="1">
      <alignment horizontal="center" vertical="center"/>
    </xf>
    <xf numFmtId="176" fontId="26" fillId="0" borderId="77" xfId="3" applyFont="1" applyBorder="1" applyAlignment="1">
      <alignment horizontal="center" vertical="center"/>
    </xf>
    <xf numFmtId="176" fontId="26" fillId="0" borderId="79" xfId="3" applyFont="1" applyBorder="1" applyAlignment="1">
      <alignment horizontal="center" vertical="center"/>
    </xf>
    <xf numFmtId="0" fontId="23" fillId="0" borderId="0" xfId="2" applyFont="1" applyAlignment="1">
      <alignment horizontal="center" vertical="center"/>
    </xf>
    <xf numFmtId="0" fontId="33" fillId="13" borderId="86" xfId="2" applyFont="1" applyFill="1" applyBorder="1" applyAlignment="1">
      <alignment horizontal="center" vertical="center"/>
    </xf>
    <xf numFmtId="0" fontId="34" fillId="13" borderId="86" xfId="2" applyFont="1" applyFill="1" applyBorder="1" applyAlignment="1">
      <alignment horizontal="center" vertical="center"/>
    </xf>
    <xf numFmtId="0" fontId="30" fillId="0" borderId="0" xfId="2" applyFont="1" applyAlignment="1">
      <alignment horizontal="right" indent="1"/>
    </xf>
    <xf numFmtId="184" fontId="4" fillId="0" borderId="0" xfId="2" applyNumberFormat="1" applyAlignment="1"/>
    <xf numFmtId="185" fontId="4" fillId="0" borderId="0" xfId="2" applyNumberFormat="1" applyAlignment="1">
      <alignment horizontal="left" indent="1"/>
    </xf>
    <xf numFmtId="0" fontId="29" fillId="0" borderId="0" xfId="2" applyFont="1" applyAlignment="1"/>
    <xf numFmtId="186" fontId="4" fillId="0" borderId="0" xfId="2" applyNumberFormat="1" applyAlignment="1"/>
    <xf numFmtId="176" fontId="26" fillId="0" borderId="54" xfId="3" applyFont="1" applyFill="1" applyBorder="1" applyAlignment="1">
      <alignment horizontal="center" vertical="center"/>
    </xf>
    <xf numFmtId="176" fontId="26" fillId="0" borderId="55" xfId="3" applyFont="1" applyFill="1" applyBorder="1" applyAlignment="1">
      <alignment horizontal="center" vertical="center"/>
    </xf>
    <xf numFmtId="176" fontId="26" fillId="0" borderId="56" xfId="3" applyFont="1" applyFill="1" applyBorder="1" applyAlignment="1">
      <alignment horizontal="center" vertical="center"/>
    </xf>
    <xf numFmtId="176" fontId="26" fillId="0" borderId="54" xfId="3" applyFont="1" applyFill="1" applyBorder="1" applyAlignment="1">
      <alignment vertical="center"/>
    </xf>
    <xf numFmtId="176" fontId="26" fillId="0" borderId="55" xfId="3" applyFont="1" applyFill="1" applyBorder="1" applyAlignment="1">
      <alignment vertical="center"/>
    </xf>
    <xf numFmtId="176" fontId="26" fillId="0" borderId="66" xfId="3" applyFont="1" applyFill="1" applyBorder="1" applyAlignment="1">
      <alignment vertical="center"/>
    </xf>
    <xf numFmtId="176" fontId="26" fillId="0" borderId="69" xfId="3" applyFont="1" applyFill="1" applyBorder="1" applyAlignment="1">
      <alignment vertical="center"/>
    </xf>
    <xf numFmtId="176" fontId="26" fillId="0" borderId="59" xfId="3" applyFont="1" applyFill="1" applyBorder="1" applyAlignment="1">
      <alignment horizontal="center" vertical="center"/>
    </xf>
    <xf numFmtId="176" fontId="26" fillId="0" borderId="60" xfId="3" applyFont="1" applyFill="1" applyBorder="1" applyAlignment="1">
      <alignment horizontal="center" vertical="center"/>
    </xf>
    <xf numFmtId="176" fontId="26" fillId="0" borderId="62" xfId="3" applyFont="1" applyFill="1" applyBorder="1" applyAlignment="1">
      <alignment horizontal="center" vertical="center"/>
    </xf>
    <xf numFmtId="176" fontId="26" fillId="0" borderId="59" xfId="3" applyFont="1" applyFill="1" applyBorder="1" applyAlignment="1">
      <alignment vertical="center"/>
    </xf>
    <xf numFmtId="176" fontId="26" fillId="0" borderId="60" xfId="3" applyFont="1" applyFill="1" applyBorder="1" applyAlignment="1">
      <alignment vertical="center"/>
    </xf>
    <xf numFmtId="176" fontId="26" fillId="0" borderId="61" xfId="3" applyFont="1" applyFill="1" applyBorder="1" applyAlignment="1">
      <alignment vertical="center"/>
    </xf>
    <xf numFmtId="0" fontId="38" fillId="0" borderId="0" xfId="2" applyFont="1" applyAlignment="1"/>
    <xf numFmtId="177" fontId="4" fillId="0" borderId="0" xfId="2" applyNumberFormat="1" applyAlignment="1"/>
    <xf numFmtId="0" fontId="44" fillId="0" borderId="100" xfId="19" applyBorder="1" applyAlignment="1">
      <alignment horizontal="center" vertical="center" wrapText="1"/>
    </xf>
    <xf numFmtId="0" fontId="44" fillId="0" borderId="99" xfId="19" applyBorder="1" applyAlignment="1">
      <alignment horizontal="center" vertical="center" wrapText="1"/>
    </xf>
    <xf numFmtId="0" fontId="44" fillId="0" borderId="38" xfId="19" applyBorder="1" applyAlignment="1">
      <alignment horizontal="center" vertical="center" wrapText="1"/>
    </xf>
    <xf numFmtId="0" fontId="44" fillId="0" borderId="96" xfId="19" applyBorder="1" applyAlignment="1">
      <alignment horizontal="center" vertical="center" wrapText="1"/>
    </xf>
    <xf numFmtId="0" fontId="44" fillId="0" borderId="94" xfId="18" applyBorder="1" applyAlignment="1">
      <alignment horizontal="center" vertical="center" wrapText="1"/>
    </xf>
    <xf numFmtId="0" fontId="44" fillId="0" borderId="88" xfId="18" applyBorder="1" applyAlignment="1">
      <alignment horizontal="center" vertical="center" wrapText="1"/>
    </xf>
    <xf numFmtId="0" fontId="44" fillId="0" borderId="93" xfId="18" applyBorder="1" applyAlignment="1">
      <alignment horizontal="center" vertical="center" wrapText="1"/>
    </xf>
    <xf numFmtId="0" fontId="44" fillId="0" borderId="103" xfId="19" applyBorder="1" applyAlignment="1">
      <alignment horizontal="center" vertical="center" wrapText="1"/>
    </xf>
    <xf numFmtId="0" fontId="44" fillId="0" borderId="102" xfId="19" applyBorder="1" applyAlignment="1">
      <alignment horizontal="center" vertical="center" wrapText="1"/>
    </xf>
    <xf numFmtId="0" fontId="44" fillId="0" borderId="0" xfId="18" applyAlignment="1">
      <alignment horizontal="center" vertical="center" wrapText="1"/>
    </xf>
    <xf numFmtId="0" fontId="44" fillId="0" borderId="97" xfId="19" applyBorder="1" applyAlignment="1">
      <alignment horizontal="center" vertical="center" wrapText="1"/>
    </xf>
    <xf numFmtId="0" fontId="44" fillId="0" borderId="92" xfId="18" applyBorder="1" applyAlignment="1">
      <alignment horizontal="center" vertical="center" wrapText="1"/>
    </xf>
    <xf numFmtId="0" fontId="44" fillId="0" borderId="98" xfId="19" applyBorder="1" applyAlignment="1">
      <alignment horizontal="center" vertical="center" wrapText="1"/>
    </xf>
    <xf numFmtId="0" fontId="44" fillId="0" borderId="93" xfId="19" applyBorder="1" applyAlignment="1">
      <alignment horizontal="center" vertical="center" wrapText="1"/>
    </xf>
    <xf numFmtId="0" fontId="44" fillId="0" borderId="90" xfId="19" applyBorder="1" applyAlignment="1">
      <alignment horizontal="center" vertical="center" wrapText="1"/>
    </xf>
    <xf numFmtId="0" fontId="44" fillId="0" borderId="89" xfId="19" applyBorder="1" applyAlignment="1">
      <alignment horizontal="center" vertical="center" wrapText="1"/>
    </xf>
    <xf numFmtId="0" fontId="44" fillId="0" borderId="101" xfId="19" applyBorder="1" applyAlignment="1">
      <alignment horizontal="center" vertical="center" wrapText="1"/>
    </xf>
    <xf numFmtId="0" fontId="44" fillId="0" borderId="95" xfId="18" applyBorder="1" applyAlignment="1">
      <alignment horizontal="center" vertical="center" wrapText="1"/>
    </xf>
    <xf numFmtId="0" fontId="44" fillId="0" borderId="41" xfId="18" applyBorder="1" applyAlignment="1">
      <alignment horizontal="center" vertical="center" wrapText="1"/>
    </xf>
    <xf numFmtId="0" fontId="44" fillId="0" borderId="91" xfId="18" applyBorder="1" applyAlignment="1">
      <alignment horizontal="center" vertical="center" wrapText="1"/>
    </xf>
    <xf numFmtId="0" fontId="18" fillId="0" borderId="31" xfId="2" applyFont="1" applyBorder="1" applyAlignment="1">
      <alignment horizontal="center" vertical="center"/>
    </xf>
    <xf numFmtId="0" fontId="18" fillId="0" borderId="0" xfId="2" applyFont="1" applyAlignment="1">
      <alignment horizontal="center" vertical="center"/>
    </xf>
    <xf numFmtId="0" fontId="17" fillId="0" borderId="30" xfId="2" applyFont="1" applyBorder="1" applyAlignment="1">
      <alignment horizontal="center" vertical="center" wrapText="1"/>
    </xf>
    <xf numFmtId="0" fontId="17" fillId="0" borderId="40" xfId="2" applyFont="1" applyBorder="1" applyAlignment="1">
      <alignment horizontal="center" vertical="center"/>
    </xf>
    <xf numFmtId="14" fontId="17" fillId="0" borderId="30" xfId="2" applyNumberFormat="1" applyFont="1" applyBorder="1" applyAlignment="1">
      <alignment horizontal="center" vertical="center"/>
    </xf>
    <xf numFmtId="14" fontId="17" fillId="0" borderId="32" xfId="2" applyNumberFormat="1" applyFont="1" applyBorder="1" applyAlignment="1">
      <alignment horizontal="center" vertical="center"/>
    </xf>
    <xf numFmtId="0" fontId="21" fillId="0" borderId="34" xfId="2" applyFont="1" applyBorder="1" applyAlignment="1">
      <alignment horizontal="center" vertical="center"/>
    </xf>
    <xf numFmtId="0" fontId="21" fillId="0" borderId="35" xfId="2" applyFont="1" applyBorder="1" applyAlignment="1">
      <alignment horizontal="center" vertical="center"/>
    </xf>
    <xf numFmtId="0" fontId="21" fillId="0" borderId="44" xfId="2" applyFont="1" applyBorder="1" applyAlignment="1">
      <alignment horizontal="center" vertical="center"/>
    </xf>
    <xf numFmtId="0" fontId="21" fillId="0" borderId="45" xfId="2" applyFont="1" applyBorder="1" applyAlignment="1">
      <alignment horizontal="center" vertical="center"/>
    </xf>
    <xf numFmtId="0" fontId="21" fillId="0" borderId="64" xfId="2" applyFont="1" applyBorder="1" applyAlignment="1">
      <alignment horizontal="center" vertical="center"/>
    </xf>
    <xf numFmtId="0" fontId="21" fillId="0" borderId="65" xfId="2" applyFont="1" applyBorder="1" applyAlignment="1">
      <alignment horizontal="center" vertical="center"/>
    </xf>
    <xf numFmtId="0" fontId="32" fillId="12" borderId="0" xfId="2" applyFont="1" applyFill="1" applyAlignment="1">
      <alignment horizontal="center" vertical="center"/>
    </xf>
    <xf numFmtId="0" fontId="17" fillId="0" borderId="36" xfId="2" applyFont="1" applyBorder="1" applyAlignment="1">
      <alignment horizontal="center" vertical="center"/>
    </xf>
    <xf numFmtId="0" fontId="17" fillId="0" borderId="37" xfId="2" applyFont="1" applyBorder="1" applyAlignment="1">
      <alignment horizontal="center" vertical="center"/>
    </xf>
    <xf numFmtId="0" fontId="37" fillId="0" borderId="37" xfId="2" applyFont="1" applyBorder="1" applyAlignment="1">
      <alignment horizontal="center" vertical="center"/>
    </xf>
    <xf numFmtId="0" fontId="22" fillId="0" borderId="38" xfId="2" applyFont="1" applyBorder="1" applyAlignment="1">
      <alignment horizontal="center" vertical="center"/>
    </xf>
    <xf numFmtId="0" fontId="22" fillId="0" borderId="39" xfId="2" applyFont="1" applyBorder="1" applyAlignment="1">
      <alignment horizontal="center" vertical="center"/>
    </xf>
    <xf numFmtId="14" fontId="17" fillId="0" borderId="40" xfId="2" applyNumberFormat="1" applyFont="1" applyBorder="1" applyAlignment="1">
      <alignment horizontal="center" vertical="center"/>
    </xf>
    <xf numFmtId="14" fontId="17" fillId="0" borderId="41" xfId="2" applyNumberFormat="1" applyFont="1" applyBorder="1" applyAlignment="1">
      <alignment horizontal="center" vertical="center"/>
    </xf>
    <xf numFmtId="0" fontId="20" fillId="7" borderId="37" xfId="2" applyFont="1" applyFill="1" applyBorder="1" applyAlignment="1">
      <alignment horizontal="center" vertical="center" wrapText="1"/>
    </xf>
    <xf numFmtId="0" fontId="20" fillId="7" borderId="42" xfId="2" applyFont="1" applyFill="1" applyBorder="1" applyAlignment="1">
      <alignment horizontal="center" vertical="center" wrapText="1"/>
    </xf>
    <xf numFmtId="0" fontId="17" fillId="0" borderId="29" xfId="2" applyFont="1" applyBorder="1" applyAlignment="1">
      <alignment horizontal="center" vertical="center"/>
    </xf>
    <xf numFmtId="0" fontId="17" fillId="0" borderId="30" xfId="2" applyFont="1" applyBorder="1" applyAlignment="1">
      <alignment horizontal="center" vertical="center"/>
    </xf>
    <xf numFmtId="0" fontId="37" fillId="0" borderId="30" xfId="2" applyFont="1" applyBorder="1" applyAlignment="1">
      <alignment horizontal="center" vertical="center"/>
    </xf>
    <xf numFmtId="176" fontId="25" fillId="7" borderId="37" xfId="3" applyFont="1" applyFill="1" applyBorder="1" applyAlignment="1">
      <alignment horizontal="center" vertical="center"/>
    </xf>
    <xf numFmtId="176" fontId="25" fillId="0" borderId="37" xfId="3" applyFont="1" applyBorder="1" applyAlignment="1">
      <alignment horizontal="center" vertical="center"/>
    </xf>
    <xf numFmtId="176" fontId="16" fillId="14" borderId="38" xfId="3" applyFont="1" applyFill="1" applyBorder="1" applyAlignment="1">
      <alignment horizontal="center" vertical="center"/>
    </xf>
    <xf numFmtId="176" fontId="16" fillId="14" borderId="47" xfId="3" applyFont="1" applyFill="1" applyBorder="1" applyAlignment="1">
      <alignment horizontal="center" vertical="center"/>
    </xf>
    <xf numFmtId="0" fontId="30" fillId="14" borderId="0" xfId="2" applyFont="1" applyFill="1" applyAlignment="1">
      <alignment horizontal="center" vertical="center"/>
    </xf>
    <xf numFmtId="0" fontId="30" fillId="14" borderId="38" xfId="2" applyFont="1" applyFill="1" applyBorder="1" applyAlignment="1">
      <alignment horizontal="center" vertical="center"/>
    </xf>
    <xf numFmtId="0" fontId="17" fillId="8" borderId="37" xfId="2" applyFont="1" applyFill="1" applyBorder="1" applyAlignment="1">
      <alignment horizontal="center" vertical="center"/>
    </xf>
    <xf numFmtId="0" fontId="34" fillId="13" borderId="104" xfId="2" applyFont="1" applyFill="1" applyBorder="1" applyAlignment="1">
      <alignment horizontal="center" vertical="center"/>
    </xf>
    <xf numFmtId="0" fontId="34" fillId="13" borderId="105" xfId="2" applyFont="1" applyFill="1" applyBorder="1" applyAlignment="1">
      <alignment horizontal="center" vertical="center"/>
    </xf>
    <xf numFmtId="0" fontId="34" fillId="13" borderId="106" xfId="2" applyFont="1" applyFill="1" applyBorder="1" applyAlignment="1">
      <alignment horizontal="center" vertical="center"/>
    </xf>
    <xf numFmtId="0" fontId="17" fillId="8" borderId="37" xfId="2" applyFont="1" applyFill="1" applyBorder="1" applyAlignment="1">
      <alignment horizontal="center" vertical="center" wrapText="1"/>
    </xf>
    <xf numFmtId="0" fontId="17" fillId="9" borderId="37" xfId="2" applyFont="1" applyFill="1" applyBorder="1" applyAlignment="1">
      <alignment horizontal="center" vertical="center"/>
    </xf>
    <xf numFmtId="0" fontId="17" fillId="10" borderId="37" xfId="2" applyFont="1" applyFill="1" applyBorder="1" applyAlignment="1">
      <alignment horizontal="center" vertical="center"/>
    </xf>
    <xf numFmtId="0" fontId="4" fillId="0" borderId="37" xfId="2" applyBorder="1" applyAlignment="1">
      <alignment horizontal="center" vertical="center"/>
    </xf>
    <xf numFmtId="0" fontId="20" fillId="7" borderId="46" xfId="2" applyFont="1" applyFill="1" applyBorder="1" applyAlignment="1">
      <alignment horizontal="center" vertical="center"/>
    </xf>
    <xf numFmtId="0" fontId="20" fillId="7" borderId="47" xfId="2" applyFont="1" applyFill="1" applyBorder="1" applyAlignment="1">
      <alignment horizontal="center" vertical="center"/>
    </xf>
    <xf numFmtId="0" fontId="20" fillId="7" borderId="48" xfId="2" applyFont="1" applyFill="1" applyBorder="1" applyAlignment="1">
      <alignment horizontal="center" vertical="center"/>
    </xf>
    <xf numFmtId="0" fontId="19" fillId="7" borderId="49" xfId="2" applyFont="1" applyFill="1" applyBorder="1" applyAlignment="1">
      <alignment horizontal="center" vertical="center"/>
    </xf>
    <xf numFmtId="0" fontId="19" fillId="7" borderId="0" xfId="2" applyFont="1" applyFill="1" applyAlignment="1">
      <alignment horizontal="center" vertical="center"/>
    </xf>
    <xf numFmtId="0" fontId="19" fillId="7" borderId="57" xfId="2" applyFont="1" applyFill="1" applyBorder="1" applyAlignment="1">
      <alignment horizontal="center" vertical="center"/>
    </xf>
    <xf numFmtId="0" fontId="19" fillId="7" borderId="38" xfId="2" applyFont="1" applyFill="1" applyBorder="1" applyAlignment="1">
      <alignment horizontal="center" vertical="center"/>
    </xf>
    <xf numFmtId="0" fontId="20" fillId="7" borderId="40" xfId="2" applyFont="1" applyFill="1" applyBorder="1" applyAlignment="1">
      <alignment horizontal="left" vertical="center" wrapText="1" indent="1"/>
    </xf>
    <xf numFmtId="0" fontId="20" fillId="7" borderId="40" xfId="2" applyFont="1" applyFill="1" applyBorder="1" applyAlignment="1">
      <alignment horizontal="left" vertical="center" indent="1"/>
    </xf>
    <xf numFmtId="0" fontId="20" fillId="7" borderId="58" xfId="2" applyFont="1" applyFill="1" applyBorder="1" applyAlignment="1">
      <alignment horizontal="left" vertical="center" indent="1"/>
    </xf>
    <xf numFmtId="0" fontId="23" fillId="0" borderId="40" xfId="2" applyFont="1" applyBorder="1" applyAlignment="1">
      <alignment horizontal="center" vertical="center"/>
    </xf>
    <xf numFmtId="0" fontId="21" fillId="0" borderId="58" xfId="2" applyFont="1" applyBorder="1" applyAlignment="1">
      <alignment horizontal="center" vertical="center"/>
    </xf>
    <xf numFmtId="181" fontId="25" fillId="7" borderId="37" xfId="2" applyNumberFormat="1" applyFont="1" applyFill="1" applyBorder="1" applyAlignment="1">
      <alignment horizontal="center" vertical="center"/>
    </xf>
    <xf numFmtId="0" fontId="25" fillId="7" borderId="37" xfId="2" applyFont="1" applyFill="1" applyBorder="1" applyAlignment="1">
      <alignment horizontal="center" vertical="center"/>
    </xf>
    <xf numFmtId="0" fontId="31" fillId="0" borderId="37" xfId="2" applyFont="1" applyBorder="1" applyAlignment="1">
      <alignment horizontal="center" vertical="center" wrapText="1"/>
    </xf>
    <xf numFmtId="0" fontId="26" fillId="0" borderId="37" xfId="2" applyFont="1" applyBorder="1" applyAlignment="1">
      <alignment horizontal="center" vertical="center" wrapText="1"/>
    </xf>
    <xf numFmtId="176" fontId="26" fillId="0" borderId="37" xfId="3" applyFont="1" applyFill="1" applyBorder="1" applyAlignment="1">
      <alignment horizontal="center" vertical="center"/>
    </xf>
    <xf numFmtId="181" fontId="26" fillId="0" borderId="40" xfId="2" applyNumberFormat="1" applyFont="1" applyBorder="1" applyAlignment="1">
      <alignment horizontal="center" vertical="center"/>
    </xf>
    <xf numFmtId="181" fontId="26" fillId="0" borderId="58" xfId="2" applyNumberFormat="1" applyFont="1" applyBorder="1" applyAlignment="1">
      <alignment horizontal="center" vertical="center"/>
    </xf>
    <xf numFmtId="0" fontId="26" fillId="0" borderId="40" xfId="2" applyFont="1" applyBorder="1" applyAlignment="1">
      <alignment horizontal="center" vertical="center"/>
    </xf>
    <xf numFmtId="0" fontId="26" fillId="0" borderId="58" xfId="2" applyFont="1" applyBorder="1" applyAlignment="1">
      <alignment horizontal="center" vertical="center"/>
    </xf>
    <xf numFmtId="176" fontId="26" fillId="0" borderId="40" xfId="3" applyFont="1" applyFill="1" applyBorder="1" applyAlignment="1">
      <alignment horizontal="center" vertical="center"/>
    </xf>
    <xf numFmtId="176" fontId="26" fillId="0" borderId="58" xfId="3" applyFont="1" applyFill="1" applyBorder="1" applyAlignment="1">
      <alignment horizontal="center" vertical="center"/>
    </xf>
    <xf numFmtId="0" fontId="26" fillId="0" borderId="36" xfId="2" applyFont="1" applyBorder="1" applyAlignment="1">
      <alignment horizontal="center" vertical="center"/>
    </xf>
    <xf numFmtId="0" fontId="26" fillId="0" borderId="37" xfId="2" applyFont="1" applyBorder="1" applyAlignment="1">
      <alignment horizontal="center" vertical="center"/>
    </xf>
    <xf numFmtId="0" fontId="39" fillId="15" borderId="40" xfId="2" applyFont="1" applyFill="1" applyBorder="1" applyAlignment="1">
      <alignment horizontal="center" vertical="center"/>
    </xf>
    <xf numFmtId="0" fontId="27" fillId="15" borderId="58" xfId="2" applyFont="1" applyFill="1" applyBorder="1" applyAlignment="1">
      <alignment horizontal="center" vertical="center" wrapText="1"/>
    </xf>
    <xf numFmtId="179" fontId="26" fillId="0" borderId="37" xfId="2" applyNumberFormat="1" applyFont="1" applyBorder="1" applyAlignment="1">
      <alignment horizontal="center" vertical="center"/>
    </xf>
    <xf numFmtId="0" fontId="31" fillId="0" borderId="37" xfId="2" applyFont="1" applyBorder="1" applyAlignment="1">
      <alignment horizontal="center" vertical="center"/>
    </xf>
    <xf numFmtId="0" fontId="34" fillId="13" borderId="83" xfId="2" applyFont="1" applyFill="1" applyBorder="1" applyAlignment="1">
      <alignment horizontal="center" vertical="center"/>
    </xf>
    <xf numFmtId="0" fontId="33" fillId="13" borderId="86" xfId="2" applyFont="1" applyFill="1" applyBorder="1" applyAlignment="1">
      <alignment horizontal="center" vertical="center"/>
    </xf>
    <xf numFmtId="0" fontId="34" fillId="13" borderId="84" xfId="2" applyFont="1" applyFill="1" applyBorder="1" applyAlignment="1">
      <alignment horizontal="center" vertical="center"/>
    </xf>
    <xf numFmtId="0" fontId="33" fillId="13" borderId="87" xfId="2" applyFont="1" applyFill="1" applyBorder="1" applyAlignment="1">
      <alignment horizontal="center" vertical="center"/>
    </xf>
    <xf numFmtId="0" fontId="17" fillId="10" borderId="68" xfId="2" applyFont="1" applyFill="1" applyBorder="1" applyAlignment="1">
      <alignment horizontal="center" vertical="center"/>
    </xf>
    <xf numFmtId="0" fontId="17" fillId="10" borderId="71" xfId="2" applyFont="1" applyFill="1" applyBorder="1" applyAlignment="1">
      <alignment horizontal="center" vertical="center"/>
    </xf>
    <xf numFmtId="0" fontId="22" fillId="0" borderId="48" xfId="2" applyFont="1" applyBorder="1" applyAlignment="1">
      <alignment horizontal="center" vertical="center"/>
    </xf>
    <xf numFmtId="0" fontId="22" fillId="0" borderId="37" xfId="2" applyFont="1" applyBorder="1" applyAlignment="1">
      <alignment horizontal="center" vertical="center"/>
    </xf>
    <xf numFmtId="0" fontId="33" fillId="13" borderId="82" xfId="2" applyFont="1" applyFill="1" applyBorder="1" applyAlignment="1">
      <alignment horizontal="center" vertical="center"/>
    </xf>
    <xf numFmtId="0" fontId="33" fillId="13" borderId="85" xfId="2" applyFont="1" applyFill="1" applyBorder="1" applyAlignment="1">
      <alignment horizontal="center" vertical="center"/>
    </xf>
    <xf numFmtId="0" fontId="17" fillId="10" borderId="46" xfId="2" applyFont="1" applyFill="1" applyBorder="1" applyAlignment="1">
      <alignment horizontal="center" vertical="center"/>
    </xf>
    <xf numFmtId="0" fontId="17" fillId="10" borderId="40" xfId="2" applyFont="1" applyFill="1" applyBorder="1" applyAlignment="1">
      <alignment horizontal="center" vertical="center"/>
    </xf>
    <xf numFmtId="0" fontId="17" fillId="10" borderId="58" xfId="2" applyFont="1" applyFill="1" applyBorder="1" applyAlignment="1">
      <alignment horizontal="center" vertical="center"/>
    </xf>
    <xf numFmtId="176" fontId="26" fillId="0" borderId="37" xfId="2" applyNumberFormat="1" applyFont="1" applyBorder="1" applyAlignment="1">
      <alignment horizontal="center" vertical="center"/>
    </xf>
    <xf numFmtId="0" fontId="31" fillId="15" borderId="37" xfId="2" applyFont="1" applyFill="1" applyBorder="1" applyAlignment="1">
      <alignment horizontal="center" vertical="center"/>
    </xf>
    <xf numFmtId="0" fontId="26" fillId="15" borderId="37" xfId="2" applyFont="1" applyFill="1" applyBorder="1" applyAlignment="1">
      <alignment horizontal="center" vertical="center"/>
    </xf>
    <xf numFmtId="183" fontId="26" fillId="0" borderId="37" xfId="1" applyNumberFormat="1" applyFont="1" applyFill="1" applyBorder="1" applyAlignment="1">
      <alignment horizontal="center" vertical="center"/>
    </xf>
    <xf numFmtId="176" fontId="26" fillId="0" borderId="37" xfId="1" applyFont="1" applyFill="1" applyBorder="1" applyAlignment="1">
      <alignment horizontal="center" vertical="center"/>
    </xf>
    <xf numFmtId="0" fontId="35" fillId="0" borderId="40" xfId="2" applyFont="1" applyBorder="1" applyAlignment="1">
      <alignment horizontal="center" vertical="center"/>
    </xf>
    <xf numFmtId="0" fontId="35" fillId="0" borderId="58" xfId="2" applyFont="1" applyBorder="1" applyAlignment="1">
      <alignment horizontal="center" vertical="center"/>
    </xf>
    <xf numFmtId="0" fontId="34" fillId="0" borderId="37" xfId="2" applyFont="1" applyBorder="1" applyAlignment="1">
      <alignment horizontal="center" vertical="center"/>
    </xf>
    <xf numFmtId="0" fontId="33" fillId="0" borderId="37" xfId="2" applyFont="1" applyBorder="1" applyAlignment="1">
      <alignment horizontal="center" vertical="center"/>
    </xf>
    <xf numFmtId="176" fontId="26" fillId="0" borderId="37" xfId="1" applyFont="1" applyBorder="1" applyAlignment="1">
      <alignment horizontal="center" vertical="center"/>
    </xf>
    <xf numFmtId="0" fontId="26" fillId="0" borderId="46" xfId="2" applyFont="1" applyBorder="1" applyAlignment="1">
      <alignment horizontal="center" vertical="center"/>
    </xf>
    <xf numFmtId="0" fontId="26" fillId="0" borderId="42" xfId="2" applyFont="1" applyBorder="1" applyAlignment="1">
      <alignment horizontal="center" vertical="center"/>
    </xf>
    <xf numFmtId="0" fontId="26" fillId="0" borderId="48" xfId="2" applyFont="1" applyBorder="1" applyAlignment="1">
      <alignment horizontal="center" vertical="center"/>
    </xf>
    <xf numFmtId="0" fontId="26" fillId="0" borderId="108" xfId="2" applyFont="1" applyBorder="1" applyAlignment="1">
      <alignment horizontal="center" vertical="center"/>
    </xf>
    <xf numFmtId="0" fontId="26" fillId="0" borderId="107" xfId="2" applyFont="1" applyBorder="1" applyAlignment="1">
      <alignment horizontal="center" vertical="center"/>
    </xf>
    <xf numFmtId="0" fontId="36" fillId="0" borderId="37" xfId="2" applyFont="1" applyBorder="1" applyAlignment="1">
      <alignment horizontal="center" vertical="center"/>
    </xf>
    <xf numFmtId="176" fontId="26" fillId="0" borderId="40" xfId="1" applyFont="1" applyFill="1" applyBorder="1" applyAlignment="1">
      <alignment horizontal="center" vertical="center"/>
    </xf>
    <xf numFmtId="176" fontId="26" fillId="0" borderId="58" xfId="1" applyFont="1" applyFill="1" applyBorder="1" applyAlignment="1">
      <alignment horizontal="center" vertical="center"/>
    </xf>
    <xf numFmtId="0" fontId="31" fillId="0" borderId="40" xfId="2" applyFont="1" applyBorder="1" applyAlignment="1">
      <alignment horizontal="center" vertical="center"/>
    </xf>
    <xf numFmtId="183" fontId="26" fillId="0" borderId="40" xfId="1" applyNumberFormat="1" applyFont="1" applyFill="1" applyBorder="1" applyAlignment="1">
      <alignment horizontal="center" vertical="center"/>
    </xf>
    <xf numFmtId="183" fontId="26" fillId="0" borderId="58" xfId="1" applyNumberFormat="1" applyFont="1" applyFill="1" applyBorder="1" applyAlignment="1">
      <alignment horizontal="center" vertical="center"/>
    </xf>
    <xf numFmtId="0" fontId="39" fillId="15" borderId="40" xfId="2" applyFont="1" applyFill="1" applyBorder="1" applyAlignment="1">
      <alignment horizontal="center" vertical="center" wrapText="1"/>
    </xf>
    <xf numFmtId="0" fontId="39" fillId="0" borderId="40" xfId="2" applyFont="1" applyBorder="1" applyAlignment="1">
      <alignment horizontal="center" vertical="center"/>
    </xf>
    <xf numFmtId="0" fontId="27" fillId="0" borderId="58" xfId="2" applyFont="1" applyBorder="1" applyAlignment="1">
      <alignment horizontal="center" vertical="center" wrapText="1"/>
    </xf>
    <xf numFmtId="181" fontId="26" fillId="0" borderId="37" xfId="2" applyNumberFormat="1" applyFont="1" applyBorder="1" applyAlignment="1">
      <alignment horizontal="center" vertical="center"/>
    </xf>
    <xf numFmtId="183" fontId="26" fillId="0" borderId="37" xfId="1" applyNumberFormat="1" applyFont="1" applyBorder="1" applyAlignment="1">
      <alignment horizontal="center" vertical="center"/>
    </xf>
    <xf numFmtId="176" fontId="26" fillId="0" borderId="37" xfId="3" applyFont="1" applyBorder="1" applyAlignment="1">
      <alignment horizontal="center" vertical="center"/>
    </xf>
    <xf numFmtId="0" fontId="33" fillId="7" borderId="40" xfId="2" applyFont="1" applyFill="1" applyBorder="1" applyAlignment="1">
      <alignment horizontal="center" vertical="center"/>
    </xf>
    <xf numFmtId="0" fontId="33" fillId="7" borderId="58" xfId="2" applyFont="1" applyFill="1" applyBorder="1" applyAlignment="1">
      <alignment horizontal="center" vertical="center"/>
    </xf>
    <xf numFmtId="0" fontId="33" fillId="7" borderId="37" xfId="2" applyFont="1" applyFill="1" applyBorder="1" applyAlignment="1">
      <alignment horizontal="center" vertical="center"/>
    </xf>
    <xf numFmtId="0" fontId="34" fillId="7" borderId="37" xfId="2" applyFont="1" applyFill="1" applyBorder="1" applyAlignment="1">
      <alignment horizontal="center" vertical="center"/>
    </xf>
    <xf numFmtId="0" fontId="36" fillId="7" borderId="37" xfId="2" applyFont="1" applyFill="1" applyBorder="1" applyAlignment="1">
      <alignment horizontal="center" vertical="center"/>
    </xf>
    <xf numFmtId="0" fontId="26" fillId="0" borderId="75" xfId="2" applyFont="1" applyBorder="1" applyAlignment="1">
      <alignment horizontal="center" vertical="center"/>
    </xf>
    <xf numFmtId="176" fontId="26" fillId="0" borderId="75" xfId="3" applyFont="1" applyBorder="1" applyAlignment="1">
      <alignment horizontal="center" vertical="center"/>
    </xf>
    <xf numFmtId="0" fontId="26" fillId="0" borderId="74" xfId="2" applyFont="1" applyBorder="1" applyAlignment="1">
      <alignment horizontal="center" vertical="center"/>
    </xf>
    <xf numFmtId="179" fontId="26" fillId="0" borderId="75" xfId="2" applyNumberFormat="1" applyFont="1" applyBorder="1" applyAlignment="1">
      <alignment horizontal="center" vertical="center"/>
    </xf>
    <xf numFmtId="181" fontId="26" fillId="0" borderId="75" xfId="2" applyNumberFormat="1" applyFont="1" applyBorder="1" applyAlignment="1">
      <alignment horizontal="center" vertical="center"/>
    </xf>
    <xf numFmtId="0" fontId="26" fillId="0" borderId="80" xfId="2" applyFont="1" applyBorder="1" applyAlignment="1">
      <alignment horizontal="center" vertical="center"/>
    </xf>
    <xf numFmtId="0" fontId="26" fillId="0" borderId="81" xfId="2" applyFont="1" applyBorder="1" applyAlignment="1">
      <alignment horizontal="center" vertical="center"/>
    </xf>
    <xf numFmtId="0" fontId="7" fillId="2" borderId="14" xfId="0" applyFont="1" applyFill="1" applyBorder="1" applyAlignment="1">
      <alignment horizontal="center" vertical="center"/>
    </xf>
    <xf numFmtId="0" fontId="6" fillId="0" borderId="26" xfId="0" applyFont="1" applyBorder="1" applyAlignment="1">
      <alignment vertical="center"/>
    </xf>
    <xf numFmtId="178" fontId="8" fillId="2" borderId="12" xfId="0" applyNumberFormat="1" applyFont="1" applyFill="1" applyBorder="1" applyAlignment="1">
      <alignment horizontal="center" vertical="center"/>
    </xf>
    <xf numFmtId="0" fontId="6" fillId="0" borderId="19" xfId="0" applyFont="1" applyBorder="1" applyAlignment="1">
      <alignment vertical="center"/>
    </xf>
    <xf numFmtId="0" fontId="8" fillId="2" borderId="16" xfId="0" applyFont="1" applyFill="1" applyBorder="1" applyAlignment="1">
      <alignment horizontal="center" vertical="center" shrinkToFit="1"/>
    </xf>
    <xf numFmtId="0" fontId="6" fillId="0" borderId="20" xfId="0" applyFont="1" applyBorder="1" applyAlignment="1">
      <alignment vertical="center"/>
    </xf>
    <xf numFmtId="178" fontId="7" fillId="0" borderId="0" xfId="0" applyNumberFormat="1" applyFont="1" applyAlignment="1">
      <alignment horizontal="right" vertical="center"/>
    </xf>
    <xf numFmtId="0" fontId="0" fillId="0" borderId="0" xfId="0" applyAlignment="1">
      <alignment vertical="center"/>
    </xf>
    <xf numFmtId="178" fontId="8" fillId="5" borderId="12" xfId="0" applyNumberFormat="1" applyFont="1" applyFill="1" applyBorder="1" applyAlignment="1">
      <alignment horizontal="center" vertical="center"/>
    </xf>
    <xf numFmtId="0" fontId="6" fillId="0" borderId="10" xfId="0" applyFont="1" applyBorder="1" applyAlignment="1">
      <alignment vertical="center"/>
    </xf>
    <xf numFmtId="0" fontId="6" fillId="0" borderId="7" xfId="0" applyFont="1" applyBorder="1" applyAlignment="1">
      <alignment vertical="center"/>
    </xf>
    <xf numFmtId="178" fontId="8" fillId="5" borderId="16" xfId="0" applyNumberFormat="1" applyFont="1" applyFill="1" applyBorder="1" applyAlignment="1">
      <alignment horizontal="center" vertical="center"/>
    </xf>
    <xf numFmtId="0" fontId="6" fillId="0" borderId="13" xfId="0" applyFont="1" applyBorder="1" applyAlignment="1">
      <alignment vertical="center"/>
    </xf>
    <xf numFmtId="0" fontId="5" fillId="4" borderId="9" xfId="0" applyFont="1" applyFill="1" applyBorder="1" applyAlignment="1">
      <alignment horizontal="center" vertical="center"/>
    </xf>
    <xf numFmtId="178" fontId="8" fillId="5" borderId="9" xfId="0" applyNumberFormat="1" applyFont="1" applyFill="1" applyBorder="1" applyAlignment="1">
      <alignment horizontal="center" vertical="center"/>
    </xf>
    <xf numFmtId="178" fontId="8" fillId="2" borderId="12" xfId="0" applyNumberFormat="1" applyFont="1" applyFill="1" applyBorder="1" applyAlignment="1">
      <alignment vertical="center"/>
    </xf>
    <xf numFmtId="0" fontId="12" fillId="0" borderId="8" xfId="0" applyFont="1" applyBorder="1" applyAlignment="1">
      <alignment horizontal="left" vertical="center"/>
    </xf>
    <xf numFmtId="0" fontId="6" fillId="0" borderId="8" xfId="0" applyFont="1" applyBorder="1" applyAlignment="1">
      <alignment vertical="center"/>
    </xf>
    <xf numFmtId="0" fontId="13" fillId="0" borderId="21" xfId="0" applyFont="1" applyBorder="1" applyAlignment="1">
      <alignment horizontal="center" vertical="center"/>
    </xf>
    <xf numFmtId="0" fontId="6" fillId="0" borderId="22" xfId="0" applyFont="1" applyBorder="1" applyAlignment="1">
      <alignment vertical="center"/>
    </xf>
    <xf numFmtId="0" fontId="6" fillId="0" borderId="23" xfId="0" applyFont="1" applyBorder="1" applyAlignment="1">
      <alignment vertical="center"/>
    </xf>
    <xf numFmtId="0" fontId="5" fillId="4" borderId="1" xfId="0" applyFont="1" applyFill="1" applyBorder="1" applyAlignment="1">
      <alignment horizontal="center" vertical="center"/>
    </xf>
    <xf numFmtId="0" fontId="5" fillId="4" borderId="3" xfId="0" applyFont="1" applyFill="1" applyBorder="1" applyAlignment="1">
      <alignment horizontal="center" vertical="center"/>
    </xf>
    <xf numFmtId="0" fontId="6" fillId="0" borderId="4" xfId="0" applyFont="1" applyBorder="1" applyAlignment="1">
      <alignment vertical="center"/>
    </xf>
    <xf numFmtId="178" fontId="5" fillId="4" borderId="2" xfId="0" applyNumberFormat="1" applyFont="1" applyFill="1" applyBorder="1" applyAlignment="1">
      <alignment horizontal="center" vertical="center"/>
    </xf>
    <xf numFmtId="0" fontId="9" fillId="0" borderId="16" xfId="0" applyFont="1" applyBorder="1" applyAlignment="1">
      <alignment horizontal="center" vertical="center"/>
    </xf>
    <xf numFmtId="0" fontId="11" fillId="0" borderId="8" xfId="0" applyFont="1" applyBorder="1" applyAlignment="1">
      <alignment horizontal="center" vertical="center"/>
    </xf>
    <xf numFmtId="0" fontId="5" fillId="4" borderId="2" xfId="0" applyFont="1" applyFill="1" applyBorder="1" applyAlignment="1">
      <alignment horizontal="center" vertical="center"/>
    </xf>
  </cellXfs>
  <cellStyles count="66">
    <cellStyle name="쉼표 [0]" xfId="1" builtinId="6"/>
    <cellStyle name="쉼표 [0] 2" xfId="3" xr:uid="{C47D9DEF-2163-4926-ACC2-2F283FB8C302}"/>
    <cellStyle name="쉼표 [0] 2 2" xfId="44" xr:uid="{A41CACC4-D2A4-4E08-B4C4-D6D1654AEB65}"/>
    <cellStyle name="표준" xfId="0" builtinId="0"/>
    <cellStyle name="표준 2" xfId="2" xr:uid="{54B0506A-8FA3-4BAF-991D-9BA318FEE935}"/>
    <cellStyle name="표준 2 2" xfId="43" xr:uid="{2396B7C3-AE1F-4B35-AC3D-7E5FBA94627A}"/>
    <cellStyle name="표준 3" xfId="4" xr:uid="{5892E2B3-7143-406A-BAD5-7079C624E998}"/>
    <cellStyle name="표준 4" xfId="57" xr:uid="{A6E01BA8-9CE0-4FA0-B88A-5154AED93A35}"/>
    <cellStyle name="S0" xfId="5" xr:uid="{9A1789AC-9BBF-4930-ADB3-2371942875B1}"/>
    <cellStyle name="S1" xfId="6" xr:uid="{E8906269-2102-45C0-8449-B2E69F7E16F3}"/>
    <cellStyle name="S10" xfId="15" xr:uid="{780CEE2A-038F-4FC9-8926-E17ABABFCD04}"/>
    <cellStyle name="S11" xfId="16" xr:uid="{DC265352-DF2C-4BC5-9D0A-91CA9DA7E1E2}"/>
    <cellStyle name="S11 2" xfId="58" xr:uid="{84E12473-56FB-4DB1-ABAF-CD50166C27C0}"/>
    <cellStyle name="S12" xfId="17" xr:uid="{72278252-67B8-401A-9ED7-A39E7E053ADF}"/>
    <cellStyle name="S12 2" xfId="59" xr:uid="{CB4DD249-FC0E-4383-9E22-90015EDB9CCE}"/>
    <cellStyle name="S13" xfId="18" xr:uid="{0E94AE59-5F65-48A3-992E-B00A1F6ECE2F}"/>
    <cellStyle name="S14" xfId="19" xr:uid="{CA810DDE-3B39-4205-AB1C-08D008828940}"/>
    <cellStyle name="S14 2" xfId="60" xr:uid="{3528FE9B-7E2B-41E7-869C-1BA4ED6961C6}"/>
    <cellStyle name="S15" xfId="20" xr:uid="{C67F1B4D-CEB5-4B55-90FC-F3436291B5FB}"/>
    <cellStyle name="S15 2" xfId="61" xr:uid="{05685A6B-06D1-4EEF-94E1-8724324F650E}"/>
    <cellStyle name="S16" xfId="21" xr:uid="{28AA21A2-B470-42EA-97F8-6B6A19A78A85}"/>
    <cellStyle name="S17" xfId="22" xr:uid="{95BDD001-B2E0-4D06-BE28-A7933F9BF5C8}"/>
    <cellStyle name="S18" xfId="23" xr:uid="{E8F646FA-F563-47DD-A87E-CF45B7D87068}"/>
    <cellStyle name="S18 2" xfId="45" xr:uid="{BD68F2CF-729E-4FB4-B58F-9F878EAA056B}"/>
    <cellStyle name="S19" xfId="24" xr:uid="{C2FDD75D-B115-4E92-B039-BCA86D658DA0}"/>
    <cellStyle name="S19 2" xfId="46" xr:uid="{857A132C-2E2D-400A-A4F9-3D29CCB52A8D}"/>
    <cellStyle name="S2" xfId="7" xr:uid="{D4A59131-AB42-431B-9CAD-D89628C052C8}"/>
    <cellStyle name="S20" xfId="25" xr:uid="{6FBFFFBC-5237-45D4-BB59-6FDEE98A543D}"/>
    <cellStyle name="S20 2" xfId="47" xr:uid="{ABB63CE1-98AA-4F86-823C-D23BF0D8F9DE}"/>
    <cellStyle name="S21" xfId="26" xr:uid="{5D7A09FF-978C-43DE-BCBC-969B46D60C51}"/>
    <cellStyle name="S22" xfId="27" xr:uid="{33529A09-413C-4D92-B594-F35EA0A063C5}"/>
    <cellStyle name="S22 2" xfId="48" xr:uid="{2E82CC9C-55CE-4EB2-AFE0-B44D1AE677B3}"/>
    <cellStyle name="S23" xfId="28" xr:uid="{A056EC4B-8EAE-4F2E-A43C-DFED290D8C90}"/>
    <cellStyle name="S23 2" xfId="49" xr:uid="{980FA287-7B0B-4BDA-BFC7-49A869AB2D3D}"/>
    <cellStyle name="S24" xfId="29" xr:uid="{47DC9699-FEC0-4FA6-9D98-0AAD6168E22F}"/>
    <cellStyle name="S25" xfId="30" xr:uid="{EFEF12AA-B262-4FF7-848D-C46C3E846F5B}"/>
    <cellStyle name="S25 2" xfId="50" xr:uid="{B6BF176F-47CB-4857-838C-0D3E5438F5B4}"/>
    <cellStyle name="S26" xfId="31" xr:uid="{D509855C-5313-422F-A699-C7BAE1720ACB}"/>
    <cellStyle name="S26 2" xfId="51" xr:uid="{B52C2794-F1BB-4EE0-8F0A-1EEEA46E2EB1}"/>
    <cellStyle name="S27" xfId="32" xr:uid="{A4DB79F8-7B82-4341-AB52-52FC7E842039}"/>
    <cellStyle name="S27 2" xfId="52" xr:uid="{23964F47-1A18-466E-84F4-506AC13A0B37}"/>
    <cellStyle name="S28" xfId="33" xr:uid="{BBAA1BCA-AB01-4F12-B90A-7AAE1B66A34E}"/>
    <cellStyle name="S28 2" xfId="53" xr:uid="{170D576C-9CBD-43B8-8B19-C2EBA2F89A14}"/>
    <cellStyle name="S29" xfId="34" xr:uid="{02D2E28D-C0DE-493F-9307-F52747E2796D}"/>
    <cellStyle name="S29 2" xfId="54" xr:uid="{3261D6D2-74B7-4036-B0B2-BCB9A0613E29}"/>
    <cellStyle name="S3" xfId="8" xr:uid="{C7446F3F-742D-4BDD-91DC-48FC8F3F2ED2}"/>
    <cellStyle name="S30" xfId="35" xr:uid="{DADF6465-BAC4-460C-8651-ED0BF5D06772}"/>
    <cellStyle name="S30 2" xfId="55" xr:uid="{8CB25B44-7985-409A-ADA9-E790B8895DFC}"/>
    <cellStyle name="S31" xfId="36" xr:uid="{4EFF1E17-0DB4-408F-B4CB-3DF2E9984521}"/>
    <cellStyle name="S32" xfId="37" xr:uid="{E50EAB06-E3A7-4500-AC5F-9AEC485CA095}"/>
    <cellStyle name="S32 2" xfId="56" xr:uid="{0A8763F4-E1F1-4FEE-A96E-441C8DABF935}"/>
    <cellStyle name="S32 3" xfId="62" xr:uid="{FCB64AFB-9F7D-402B-A565-E9BD34B08D19}"/>
    <cellStyle name="S33" xfId="38" xr:uid="{82FD1A71-147B-4219-8025-3C6B73001908}"/>
    <cellStyle name="S33 2" xfId="63" xr:uid="{BDB204E2-4940-4CA3-9E58-0206C1A03868}"/>
    <cellStyle name="S34" xfId="39" xr:uid="{3F96D414-7F6D-4AD3-87C4-66639786E5A3}"/>
    <cellStyle name="S34 2" xfId="64" xr:uid="{F8FE8B1D-52B0-413E-A471-9706680AC194}"/>
    <cellStyle name="S35" xfId="40" xr:uid="{3BC194EA-651F-4B7B-B6E8-CBD011492945}"/>
    <cellStyle name="S35 2" xfId="65" xr:uid="{0D701B04-53B9-4EF9-ADF2-872E8F38E9B5}"/>
    <cellStyle name="S36" xfId="41" xr:uid="{BE1EE835-EBC1-47D2-B8FD-6E2BD47FDFB8}"/>
    <cellStyle name="S37" xfId="42" xr:uid="{193DDAD6-F307-4178-A5C4-7D2EC9F96B0F}"/>
    <cellStyle name="S4" xfId="9" xr:uid="{68A570FF-C205-452E-A0D3-FC65F1406497}"/>
    <cellStyle name="S5" xfId="10" xr:uid="{BD2DE8C3-3646-4B8D-B870-D733D2B3423E}"/>
    <cellStyle name="S6" xfId="11" xr:uid="{40642434-C1E0-4BDB-A097-6F6E956B11CC}"/>
    <cellStyle name="S7" xfId="12" xr:uid="{BD6DADFA-C2A8-4C01-B591-86AE6269EB53}"/>
    <cellStyle name="S8" xfId="13" xr:uid="{267F989F-B24D-4F32-AC35-4BDAAF9FDC4F}"/>
    <cellStyle name="S9" xfId="14" xr:uid="{14F2BE7F-B1E6-43D8-8D22-EED1E2A92CB6}"/>
  </cellStyles>
  <dxfs count="1">
    <dxf>
      <font>
        <b/>
        <i val="0"/>
        <color rgb="FFFF0000"/>
      </font>
    </dxf>
  </dxfs>
  <tableStyles count="0" defaultTableStyle="TableStyleMedium2" defaultPivotStyle="PivotStyleLight16"/>
  <colors>
    <mruColors>
      <color rgb="FFCCFF99"/>
      <color rgb="FFFFFFCC"/>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Spin" dx="22" fmlaLink="$I$1" max="3000" min="2000" page="10" val="2026"/>
</file>

<file path=xl/ctrlProps/ctrlProp2.xml><?xml version="1.0" encoding="utf-8"?>
<formControlPr xmlns="http://schemas.microsoft.com/office/spreadsheetml/2009/9/main" objectType="Spin" dx="22" fmlaLink="$O$1" max="12" min="1" page="10" val="2"/>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11</xdr:col>
          <xdr:colOff>177800</xdr:colOff>
          <xdr:row>0</xdr:row>
          <xdr:rowOff>25400</xdr:rowOff>
        </xdr:from>
        <xdr:to>
          <xdr:col>12</xdr:col>
          <xdr:colOff>114300</xdr:colOff>
          <xdr:row>1</xdr:row>
          <xdr:rowOff>177800</xdr:rowOff>
        </xdr:to>
        <xdr:sp macro="" textlink="">
          <xdr:nvSpPr>
            <xdr:cNvPr id="7169" name="Spinner 1" hidden="1">
              <a:extLst>
                <a:ext uri="{63B3BB69-23CF-44E3-9099-C40C66FF867C}">
                  <a14:compatExt spid="_x0000_s7169"/>
                </a:ext>
                <a:ext uri="{FF2B5EF4-FFF2-40B4-BE49-F238E27FC236}">
                  <a16:creationId xmlns:a16="http://schemas.microsoft.com/office/drawing/2014/main" id="{00000000-0008-0000-0000-0000011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15</xdr:col>
          <xdr:colOff>177800</xdr:colOff>
          <xdr:row>0</xdr:row>
          <xdr:rowOff>25400</xdr:rowOff>
        </xdr:from>
        <xdr:to>
          <xdr:col>16</xdr:col>
          <xdr:colOff>114300</xdr:colOff>
          <xdr:row>1</xdr:row>
          <xdr:rowOff>177800</xdr:rowOff>
        </xdr:to>
        <xdr:sp macro="" textlink="">
          <xdr:nvSpPr>
            <xdr:cNvPr id="7170" name="Spinner 2" hidden="1">
              <a:extLst>
                <a:ext uri="{63B3BB69-23CF-44E3-9099-C40C66FF867C}">
                  <a14:compatExt spid="_x0000_s7170"/>
                </a:ext>
                <a:ext uri="{FF2B5EF4-FFF2-40B4-BE49-F238E27FC236}">
                  <a16:creationId xmlns:a16="http://schemas.microsoft.com/office/drawing/2014/main" id="{00000000-0008-0000-0000-0000021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7B088-A4B3-4619-BD8B-A9DD788207BE}">
  <dimension ref="A1:CA204"/>
  <sheetViews>
    <sheetView tabSelected="1" view="pageBreakPreview" zoomScale="150" zoomScaleNormal="87" zoomScaleSheetLayoutView="150" workbookViewId="0">
      <pane xSplit="8" ySplit="7" topLeftCell="AT8" activePane="bottomRight" state="frozen"/>
      <selection activeCell="AH10" sqref="AH10:AH11"/>
      <selection pane="topRight" activeCell="AH10" sqref="AH10:AH11"/>
      <selection pane="bottomLeft" activeCell="AH10" sqref="AH10:AH11"/>
      <selection pane="bottomRight" activeCell="BT10" sqref="BT10:BT11"/>
    </sheetView>
  </sheetViews>
  <sheetFormatPr baseColWidth="10" defaultColWidth="9.83203125" defaultRowHeight="15" outlineLevelRow="1" outlineLevelCol="1"/>
  <cols>
    <col min="1" max="2" width="5.1640625" style="47" bestFit="1" customWidth="1"/>
    <col min="3" max="3" width="12.1640625" style="47" customWidth="1"/>
    <col min="4" max="4" width="17" style="47" customWidth="1"/>
    <col min="5" max="6" width="9.5" style="47" customWidth="1"/>
    <col min="7" max="7" width="47.1640625" style="47" customWidth="1"/>
    <col min="8" max="8" width="10.5" style="47" customWidth="1"/>
    <col min="9" max="24" width="4.1640625" style="47" customWidth="1"/>
    <col min="25" max="26" width="5.1640625" style="47" customWidth="1"/>
    <col min="27" max="27" width="11.5" style="47" customWidth="1"/>
    <col min="28" max="30" width="9.83203125" style="47"/>
    <col min="31" max="31" width="10.5" style="47" customWidth="1"/>
    <col min="32" max="32" width="11.5" style="47" customWidth="1"/>
    <col min="33" max="33" width="13.6640625" style="47" customWidth="1"/>
    <col min="34" max="34" width="10.5" style="47" customWidth="1"/>
    <col min="35" max="35" width="17.6640625" style="47" customWidth="1"/>
    <col min="36" max="36" width="10.5" style="47" customWidth="1"/>
    <col min="37" max="37" width="36.33203125" style="47" customWidth="1" outlineLevel="1"/>
    <col min="38" max="38" width="30.5" style="47" customWidth="1" outlineLevel="1"/>
    <col min="39" max="39" width="10.5" style="47" customWidth="1" outlineLevel="1"/>
    <col min="40" max="57" width="9.83203125" style="47" customWidth="1"/>
    <col min="58" max="58" width="0.83203125" style="47" customWidth="1"/>
    <col min="59" max="60" width="16.1640625" style="47" bestFit="1" customWidth="1"/>
    <col min="61" max="61" width="9.83203125" style="47"/>
    <col min="62" max="62" width="13.83203125" style="47" hidden="1" customWidth="1" outlineLevel="1"/>
    <col min="63" max="63" width="9.83203125" style="47" collapsed="1"/>
    <col min="64" max="64" width="9.83203125" style="47"/>
    <col min="65" max="65" width="10.83203125" style="47" bestFit="1" customWidth="1"/>
    <col min="66" max="67" width="9.83203125" style="47" hidden="1" customWidth="1" outlineLevel="1"/>
    <col min="68" max="68" width="10.83203125" style="47" hidden="1" customWidth="1" outlineLevel="1"/>
    <col min="69" max="69" width="9.83203125" style="47" hidden="1" customWidth="1" outlineLevel="1"/>
    <col min="70" max="70" width="9.83203125" style="47" collapsed="1"/>
    <col min="71" max="71" width="9.83203125" style="47" customWidth="1" outlineLevel="1"/>
    <col min="72" max="73" width="10.83203125" style="47" bestFit="1" customWidth="1"/>
    <col min="74" max="74" width="12.1640625" style="47" bestFit="1" customWidth="1"/>
    <col min="75" max="75" width="18.5" style="47" customWidth="1"/>
    <col min="76" max="16384" width="9.83203125" style="47"/>
  </cols>
  <sheetData>
    <row r="1" spans="1:77" ht="14.5" customHeight="1">
      <c r="A1" s="181" t="s">
        <v>61</v>
      </c>
      <c r="B1" s="182"/>
      <c r="C1" s="182"/>
      <c r="D1" s="182"/>
      <c r="E1" s="183"/>
      <c r="F1" s="182"/>
      <c r="G1" s="182"/>
      <c r="H1" s="42"/>
      <c r="I1" s="159">
        <v>2026</v>
      </c>
      <c r="J1" s="159"/>
      <c r="K1" s="159"/>
      <c r="L1" s="159"/>
      <c r="M1" s="159" t="s">
        <v>62</v>
      </c>
      <c r="N1" s="159"/>
      <c r="O1" s="159">
        <v>2</v>
      </c>
      <c r="P1" s="159"/>
      <c r="Q1" s="159" t="s">
        <v>63</v>
      </c>
      <c r="R1" s="159"/>
      <c r="S1" s="159" t="s">
        <v>64</v>
      </c>
      <c r="T1" s="159"/>
      <c r="U1" s="159"/>
      <c r="V1" s="159"/>
      <c r="W1" s="159"/>
      <c r="X1" s="159"/>
      <c r="Y1" s="42"/>
      <c r="Z1" s="42"/>
      <c r="AA1" s="42"/>
      <c r="AB1" s="42"/>
      <c r="AC1" s="42"/>
      <c r="AD1" s="161" t="s">
        <v>65</v>
      </c>
      <c r="AE1" s="163">
        <f>DATE($I$1,$O$1,1)</f>
        <v>46054</v>
      </c>
      <c r="AF1" s="164"/>
      <c r="AG1" s="43" t="s">
        <v>66</v>
      </c>
      <c r="AH1" s="44">
        <v>0.9</v>
      </c>
      <c r="AI1" s="43" t="s">
        <v>67</v>
      </c>
      <c r="AJ1" s="44">
        <v>8</v>
      </c>
      <c r="AK1" s="45" t="s">
        <v>68</v>
      </c>
      <c r="AL1" s="165"/>
      <c r="AM1" s="166"/>
      <c r="AN1" s="46"/>
      <c r="AO1" s="46"/>
      <c r="AP1" s="46"/>
      <c r="AQ1" s="46"/>
      <c r="AR1" s="46"/>
      <c r="AS1" s="46"/>
      <c r="AT1" s="46"/>
      <c r="AU1" s="46"/>
      <c r="AV1" s="46"/>
      <c r="AW1" s="46"/>
      <c r="AX1" s="46"/>
      <c r="AY1" s="46"/>
      <c r="AZ1" s="46"/>
      <c r="BA1" s="46"/>
      <c r="BB1" s="46"/>
      <c r="BC1" s="46"/>
      <c r="BD1" s="46"/>
      <c r="BE1" s="46"/>
      <c r="BG1" s="171" t="s">
        <v>127</v>
      </c>
      <c r="BH1" s="171"/>
      <c r="BI1" s="171"/>
      <c r="BJ1" s="171"/>
      <c r="BK1" s="171"/>
      <c r="BL1" s="171"/>
      <c r="BM1" s="171"/>
      <c r="BN1" s="171"/>
      <c r="BO1" s="171"/>
      <c r="BP1" s="171"/>
      <c r="BQ1" s="171"/>
      <c r="BR1" s="171"/>
      <c r="BS1" s="171"/>
      <c r="BT1" s="171"/>
      <c r="BU1" s="171"/>
      <c r="BV1" s="171"/>
      <c r="BW1" s="171"/>
    </row>
    <row r="2" spans="1:77" ht="16.5" customHeight="1">
      <c r="A2" s="172" t="s">
        <v>69</v>
      </c>
      <c r="B2" s="173"/>
      <c r="C2" s="173"/>
      <c r="D2" s="173"/>
      <c r="E2" s="174"/>
      <c r="F2" s="173"/>
      <c r="G2" s="173"/>
      <c r="H2" s="46"/>
      <c r="I2" s="160"/>
      <c r="J2" s="160"/>
      <c r="K2" s="160"/>
      <c r="L2" s="160"/>
      <c r="M2" s="160"/>
      <c r="N2" s="160"/>
      <c r="O2" s="160"/>
      <c r="P2" s="160"/>
      <c r="Q2" s="160"/>
      <c r="R2" s="160"/>
      <c r="S2" s="160"/>
      <c r="T2" s="160"/>
      <c r="U2" s="160"/>
      <c r="V2" s="160"/>
      <c r="W2" s="160"/>
      <c r="X2" s="160"/>
      <c r="Y2" s="46"/>
      <c r="Z2" s="46"/>
      <c r="AA2" s="46"/>
      <c r="AB2" s="175"/>
      <c r="AC2" s="176"/>
      <c r="AD2" s="162"/>
      <c r="AE2" s="177">
        <f>DATE($I$1,$O$1+1,0)</f>
        <v>46081</v>
      </c>
      <c r="AF2" s="178"/>
      <c r="AG2" s="49" t="s">
        <v>70</v>
      </c>
      <c r="AH2" s="50">
        <v>3.5449999999999999</v>
      </c>
      <c r="AI2" s="179" t="s">
        <v>71</v>
      </c>
      <c r="AJ2" s="180"/>
      <c r="AK2" s="51" t="s">
        <v>72</v>
      </c>
      <c r="AL2" s="167"/>
      <c r="AM2" s="168"/>
      <c r="AN2" s="46"/>
      <c r="AO2" s="46"/>
      <c r="AP2" s="46"/>
      <c r="AQ2" s="46"/>
      <c r="AR2" s="46"/>
      <c r="AS2" s="46"/>
      <c r="AT2" s="46"/>
      <c r="AU2" s="46"/>
      <c r="AV2" s="46"/>
      <c r="AW2" s="46"/>
      <c r="AX2" s="46"/>
      <c r="AY2" s="46"/>
      <c r="AZ2" s="46"/>
      <c r="BA2" s="46"/>
      <c r="BB2" s="46"/>
      <c r="BC2" s="46"/>
      <c r="BD2" s="46"/>
      <c r="BE2" s="46"/>
      <c r="BG2" s="171"/>
      <c r="BH2" s="171"/>
      <c r="BI2" s="171"/>
      <c r="BJ2" s="171"/>
      <c r="BK2" s="171"/>
      <c r="BL2" s="171"/>
      <c r="BM2" s="171"/>
      <c r="BN2" s="171"/>
      <c r="BO2" s="171"/>
      <c r="BP2" s="171"/>
      <c r="BQ2" s="171"/>
      <c r="BR2" s="171"/>
      <c r="BS2" s="171"/>
      <c r="BT2" s="171"/>
      <c r="BU2" s="171"/>
      <c r="BV2" s="171"/>
      <c r="BW2" s="171"/>
      <c r="BY2" s="137" t="s">
        <v>130</v>
      </c>
    </row>
    <row r="3" spans="1:77" ht="17">
      <c r="A3" s="172" t="s">
        <v>73</v>
      </c>
      <c r="B3" s="173"/>
      <c r="C3" s="173"/>
      <c r="D3" s="173"/>
      <c r="E3" s="174"/>
      <c r="F3" s="173"/>
      <c r="G3" s="173"/>
      <c r="H3" s="48" t="s">
        <v>74</v>
      </c>
      <c r="I3" s="197"/>
      <c r="J3" s="197"/>
      <c r="K3" s="197"/>
      <c r="L3" s="197"/>
      <c r="M3" s="197"/>
      <c r="N3" s="197"/>
      <c r="O3" s="197"/>
      <c r="P3" s="197"/>
      <c r="Q3" s="197"/>
      <c r="R3" s="197"/>
      <c r="S3" s="197"/>
      <c r="T3" s="197"/>
      <c r="U3" s="197"/>
      <c r="V3" s="197"/>
      <c r="W3" s="197"/>
      <c r="X3" s="197"/>
      <c r="Y3" s="198" t="s">
        <v>75</v>
      </c>
      <c r="Z3" s="199"/>
      <c r="AA3" s="199"/>
      <c r="AB3" s="199"/>
      <c r="AC3" s="199"/>
      <c r="AD3" s="199"/>
      <c r="AE3" s="199"/>
      <c r="AF3" s="200"/>
      <c r="AG3" s="49" t="s">
        <v>76</v>
      </c>
      <c r="AH3" s="50">
        <v>0.91820000000000002</v>
      </c>
      <c r="AI3" s="179"/>
      <c r="AJ3" s="180"/>
      <c r="AK3" s="51" t="s">
        <v>77</v>
      </c>
      <c r="AL3" s="167"/>
      <c r="AM3" s="168"/>
      <c r="AN3" s="46"/>
      <c r="AO3" s="46"/>
      <c r="AP3" s="46"/>
      <c r="AQ3" s="46"/>
      <c r="AR3" s="46"/>
      <c r="AS3" s="46"/>
      <c r="AT3" s="46"/>
      <c r="AU3" s="46"/>
      <c r="AV3" s="46"/>
      <c r="AW3" s="46"/>
      <c r="AX3" s="46"/>
      <c r="AY3" s="46"/>
      <c r="AZ3" s="46"/>
      <c r="BA3" s="46"/>
      <c r="BB3" s="46"/>
      <c r="BC3" s="46"/>
      <c r="BD3" s="46"/>
      <c r="BE3" s="46"/>
      <c r="BV3" s="120">
        <f>I1</f>
        <v>2026</v>
      </c>
      <c r="BW3" s="121">
        <f>O1</f>
        <v>2</v>
      </c>
      <c r="BY3" s="137" t="s">
        <v>128</v>
      </c>
    </row>
    <row r="4" spans="1:77" ht="17">
      <c r="A4" s="201" t="s">
        <v>78</v>
      </c>
      <c r="B4" s="202"/>
      <c r="C4" s="202">
        <f>COUNTA(C8:C1001)</f>
        <v>0</v>
      </c>
      <c r="D4" s="205" t="s">
        <v>79</v>
      </c>
      <c r="E4" s="206"/>
      <c r="F4" s="206"/>
      <c r="G4" s="206"/>
      <c r="H4" s="208" t="s">
        <v>80</v>
      </c>
      <c r="I4" s="52">
        <f t="shared" ref="I4:W4" si="0">SUMPRODUCT((MOD(ROW(I$8:I$1001),2)=0)*I$8:I$1001)</f>
        <v>0</v>
      </c>
      <c r="J4" s="53">
        <f t="shared" si="0"/>
        <v>4</v>
      </c>
      <c r="K4" s="53">
        <f t="shared" si="0"/>
        <v>4</v>
      </c>
      <c r="L4" s="53">
        <f t="shared" si="0"/>
        <v>1</v>
      </c>
      <c r="M4" s="53">
        <f t="shared" si="0"/>
        <v>1</v>
      </c>
      <c r="N4" s="53">
        <f t="shared" si="0"/>
        <v>0</v>
      </c>
      <c r="O4" s="53">
        <f t="shared" si="0"/>
        <v>2</v>
      </c>
      <c r="P4" s="53">
        <f t="shared" si="0"/>
        <v>0</v>
      </c>
      <c r="Q4" s="53">
        <f t="shared" si="0"/>
        <v>1</v>
      </c>
      <c r="R4" s="53">
        <f t="shared" si="0"/>
        <v>2</v>
      </c>
      <c r="S4" s="53">
        <f t="shared" si="0"/>
        <v>3</v>
      </c>
      <c r="T4" s="53">
        <f t="shared" si="0"/>
        <v>2</v>
      </c>
      <c r="U4" s="53">
        <f t="shared" si="0"/>
        <v>2</v>
      </c>
      <c r="V4" s="53">
        <f t="shared" si="0"/>
        <v>0</v>
      </c>
      <c r="W4" s="54">
        <f t="shared" si="0"/>
        <v>0</v>
      </c>
      <c r="X4" s="55"/>
      <c r="Y4" s="210">
        <f>SUM(Y8:Y1001)</f>
        <v>52</v>
      </c>
      <c r="Z4" s="211">
        <f>SUM(Z8:Z1001)</f>
        <v>50</v>
      </c>
      <c r="AA4" s="184">
        <f>SUM(AA8:AA1001)</f>
        <v>0</v>
      </c>
      <c r="AB4" s="56">
        <f>SUMPRODUCT((MOD(ROW(AB$8:AB$1001),2)=0)*AB$8:AB$1001)</f>
        <v>0</v>
      </c>
      <c r="AC4" s="57">
        <f ca="1">SUMPRODUCT((MOD(ROW(AC$8:AC$1001),2)=0)*AC$8:AC$1001)</f>
        <v>0</v>
      </c>
      <c r="AD4" s="58">
        <f>SUMPRODUCT((MOD(ROW(AD$8:AD$1001),2)=0)*AD$8:AD$1001)</f>
        <v>0</v>
      </c>
      <c r="AE4" s="185">
        <f ca="1">SUM(AE8:AE1001)</f>
        <v>0</v>
      </c>
      <c r="AF4" s="185">
        <f ca="1">SUM(AF8:AF1001)</f>
        <v>0</v>
      </c>
      <c r="AG4" s="49" t="s">
        <v>81</v>
      </c>
      <c r="AH4" s="50">
        <v>4.5</v>
      </c>
      <c r="AI4" s="49" t="s">
        <v>82</v>
      </c>
      <c r="AJ4" s="59">
        <v>2200000</v>
      </c>
      <c r="AK4" s="51" t="s">
        <v>83</v>
      </c>
      <c r="AL4" s="167"/>
      <c r="AM4" s="168"/>
      <c r="AN4" s="46"/>
      <c r="AO4" s="46"/>
      <c r="AP4" s="46"/>
      <c r="AQ4" s="46"/>
      <c r="AR4" s="46"/>
      <c r="AS4" s="46"/>
      <c r="AT4" s="46"/>
      <c r="AU4" s="46"/>
      <c r="AV4" s="46"/>
      <c r="AW4" s="46"/>
      <c r="AX4" s="46"/>
      <c r="AY4" s="46"/>
      <c r="AZ4" s="46"/>
      <c r="BA4" s="46"/>
      <c r="BB4" s="46"/>
      <c r="BC4" s="46"/>
      <c r="BD4" s="46"/>
      <c r="BE4" s="46"/>
      <c r="BG4" s="119" t="s">
        <v>126</v>
      </c>
      <c r="BU4" s="188" t="s">
        <v>80</v>
      </c>
      <c r="BV4" s="186">
        <f>SUM(BV8:BV33)</f>
        <v>0</v>
      </c>
      <c r="BY4" s="137" t="s">
        <v>129</v>
      </c>
    </row>
    <row r="5" spans="1:77" ht="17">
      <c r="A5" s="203"/>
      <c r="B5" s="204"/>
      <c r="C5" s="204"/>
      <c r="D5" s="207"/>
      <c r="E5" s="207"/>
      <c r="F5" s="207"/>
      <c r="G5" s="207"/>
      <c r="H5" s="209"/>
      <c r="I5" s="60">
        <f t="shared" ref="I5:X5" si="1">SUMPRODUCT((MOD(ROW(I$8:I$1001),2)=1)*I$8:I$1001)</f>
        <v>0</v>
      </c>
      <c r="J5" s="61">
        <f t="shared" si="1"/>
        <v>0</v>
      </c>
      <c r="K5" s="61">
        <f t="shared" si="1"/>
        <v>0</v>
      </c>
      <c r="L5" s="61">
        <f t="shared" si="1"/>
        <v>0</v>
      </c>
      <c r="M5" s="61">
        <f t="shared" si="1"/>
        <v>2</v>
      </c>
      <c r="N5" s="61">
        <f t="shared" si="1"/>
        <v>4</v>
      </c>
      <c r="O5" s="61">
        <f t="shared" si="1"/>
        <v>0</v>
      </c>
      <c r="P5" s="61">
        <f t="shared" si="1"/>
        <v>3</v>
      </c>
      <c r="Q5" s="61">
        <f t="shared" si="1"/>
        <v>4</v>
      </c>
      <c r="R5" s="61">
        <f t="shared" si="1"/>
        <v>4</v>
      </c>
      <c r="S5" s="61">
        <f t="shared" si="1"/>
        <v>5</v>
      </c>
      <c r="T5" s="61">
        <f t="shared" si="1"/>
        <v>4</v>
      </c>
      <c r="U5" s="61">
        <f t="shared" si="1"/>
        <v>4</v>
      </c>
      <c r="V5" s="61">
        <f t="shared" si="1"/>
        <v>0</v>
      </c>
      <c r="W5" s="61">
        <f t="shared" si="1"/>
        <v>0</v>
      </c>
      <c r="X5" s="62">
        <f t="shared" si="1"/>
        <v>0</v>
      </c>
      <c r="Y5" s="210"/>
      <c r="Z5" s="211"/>
      <c r="AA5" s="184"/>
      <c r="AB5" s="63">
        <f>SUMPRODUCT((MOD(ROW(AB$8:AB$1001),2)=1)*AB$8:AB$1001)</f>
        <v>0</v>
      </c>
      <c r="AC5" s="64">
        <f ca="1">SUMPRODUCT((MOD(ROW(AC$8:AC$1001),2)=1)*AC$8:AC$1001)</f>
        <v>0</v>
      </c>
      <c r="AD5" s="65">
        <f>SUMPRODUCT((MOD(ROW(AD$8:AD$1001),2)=1)*AD$8:AD$1001)</f>
        <v>0</v>
      </c>
      <c r="AE5" s="185"/>
      <c r="AF5" s="185"/>
      <c r="AG5" s="49" t="s">
        <v>84</v>
      </c>
      <c r="AH5" s="66">
        <v>6170000</v>
      </c>
      <c r="AI5" s="49" t="s">
        <v>85</v>
      </c>
      <c r="AJ5" s="59">
        <f>AH5*AH4%</f>
        <v>277650</v>
      </c>
      <c r="AK5" s="67" t="s">
        <v>86</v>
      </c>
      <c r="AL5" s="169"/>
      <c r="AM5" s="170"/>
      <c r="AN5" s="46"/>
      <c r="AO5" s="46"/>
      <c r="AP5" s="46"/>
      <c r="AQ5" s="46"/>
      <c r="AR5" s="46"/>
      <c r="AS5" s="46"/>
      <c r="AT5" s="46"/>
      <c r="AU5" s="46"/>
      <c r="AV5" s="46"/>
      <c r="AW5" s="46"/>
      <c r="AX5" s="46"/>
      <c r="AY5" s="46"/>
      <c r="AZ5" s="46"/>
      <c r="BA5" s="46"/>
      <c r="BB5" s="46"/>
      <c r="BC5" s="46"/>
      <c r="BD5" s="46"/>
      <c r="BE5" s="46"/>
      <c r="BU5" s="189"/>
      <c r="BV5" s="187">
        <f>SUM(BV8:BV33)</f>
        <v>0</v>
      </c>
      <c r="BY5" s="137" t="s">
        <v>131</v>
      </c>
    </row>
    <row r="6" spans="1:77" ht="14.5" customHeight="1">
      <c r="A6" s="172" t="s">
        <v>87</v>
      </c>
      <c r="B6" s="194" t="s">
        <v>88</v>
      </c>
      <c r="C6" s="195" t="s">
        <v>89</v>
      </c>
      <c r="D6" s="195" t="s">
        <v>90</v>
      </c>
      <c r="E6" s="196" t="s">
        <v>91</v>
      </c>
      <c r="F6" s="196" t="s">
        <v>92</v>
      </c>
      <c r="G6" s="196" t="s">
        <v>93</v>
      </c>
      <c r="H6" s="195" t="s">
        <v>94</v>
      </c>
      <c r="I6" s="68">
        <f>AE1</f>
        <v>46054</v>
      </c>
      <c r="J6" s="69">
        <f t="shared" ref="J6:W7" si="2">I6+1</f>
        <v>46055</v>
      </c>
      <c r="K6" s="69">
        <f t="shared" si="2"/>
        <v>46056</v>
      </c>
      <c r="L6" s="69">
        <f t="shared" si="2"/>
        <v>46057</v>
      </c>
      <c r="M6" s="69">
        <f t="shared" si="2"/>
        <v>46058</v>
      </c>
      <c r="N6" s="69">
        <f t="shared" si="2"/>
        <v>46059</v>
      </c>
      <c r="O6" s="69">
        <f t="shared" si="2"/>
        <v>46060</v>
      </c>
      <c r="P6" s="69">
        <f t="shared" si="2"/>
        <v>46061</v>
      </c>
      <c r="Q6" s="69">
        <f t="shared" si="2"/>
        <v>46062</v>
      </c>
      <c r="R6" s="69">
        <f t="shared" si="2"/>
        <v>46063</v>
      </c>
      <c r="S6" s="69">
        <f t="shared" si="2"/>
        <v>46064</v>
      </c>
      <c r="T6" s="69">
        <f t="shared" si="2"/>
        <v>46065</v>
      </c>
      <c r="U6" s="69">
        <f t="shared" si="2"/>
        <v>46066</v>
      </c>
      <c r="V6" s="69">
        <f t="shared" si="2"/>
        <v>46067</v>
      </c>
      <c r="W6" s="70">
        <f t="shared" si="2"/>
        <v>46068</v>
      </c>
      <c r="X6" s="71"/>
      <c r="Y6" s="194" t="s">
        <v>95</v>
      </c>
      <c r="Z6" s="194" t="s">
        <v>96</v>
      </c>
      <c r="AA6" s="194" t="s">
        <v>97</v>
      </c>
      <c r="AB6" s="72" t="s">
        <v>98</v>
      </c>
      <c r="AC6" s="73" t="s">
        <v>66</v>
      </c>
      <c r="AD6" s="74" t="s">
        <v>70</v>
      </c>
      <c r="AE6" s="190" t="s">
        <v>99</v>
      </c>
      <c r="AF6" s="190" t="s">
        <v>100</v>
      </c>
      <c r="AG6" s="196" t="s">
        <v>101</v>
      </c>
      <c r="AH6" s="196" t="s">
        <v>102</v>
      </c>
      <c r="AI6" s="196" t="s">
        <v>103</v>
      </c>
      <c r="AJ6" s="196" t="s">
        <v>104</v>
      </c>
      <c r="AK6" s="237" t="s">
        <v>105</v>
      </c>
      <c r="AL6" s="238" t="s">
        <v>106</v>
      </c>
      <c r="AM6" s="231" t="s">
        <v>107</v>
      </c>
      <c r="AN6" s="233" t="s">
        <v>108</v>
      </c>
      <c r="AO6" s="234" t="s">
        <v>109</v>
      </c>
      <c r="AP6" s="75">
        <v>1</v>
      </c>
      <c r="AQ6" s="76">
        <v>2</v>
      </c>
      <c r="AR6" s="76">
        <v>3</v>
      </c>
      <c r="AS6" s="76">
        <v>4</v>
      </c>
      <c r="AT6" s="76">
        <v>5</v>
      </c>
      <c r="AU6" s="76">
        <v>6</v>
      </c>
      <c r="AV6" s="76">
        <v>7</v>
      </c>
      <c r="AW6" s="76">
        <v>8</v>
      </c>
      <c r="AX6" s="76">
        <v>9</v>
      </c>
      <c r="AY6" s="76">
        <v>10</v>
      </c>
      <c r="AZ6" s="76">
        <v>11</v>
      </c>
      <c r="BA6" s="76">
        <v>12</v>
      </c>
      <c r="BB6" s="76">
        <v>13</v>
      </c>
      <c r="BC6" s="76">
        <v>14</v>
      </c>
      <c r="BD6" s="77">
        <v>15</v>
      </c>
      <c r="BE6" s="78"/>
      <c r="BG6" s="235" t="s">
        <v>116</v>
      </c>
      <c r="BH6" s="227" t="s">
        <v>119</v>
      </c>
      <c r="BI6" s="227" t="s">
        <v>117</v>
      </c>
      <c r="BJ6" s="227" t="s">
        <v>124</v>
      </c>
      <c r="BK6" s="191" t="s">
        <v>133</v>
      </c>
      <c r="BL6" s="192"/>
      <c r="BM6" s="193"/>
      <c r="BN6" s="191" t="s">
        <v>134</v>
      </c>
      <c r="BO6" s="192"/>
      <c r="BP6" s="193"/>
      <c r="BQ6" s="227" t="s">
        <v>120</v>
      </c>
      <c r="BR6" s="227"/>
      <c r="BS6" s="227"/>
      <c r="BT6" s="227"/>
      <c r="BU6" s="227"/>
      <c r="BV6" s="227" t="s">
        <v>118</v>
      </c>
      <c r="BW6" s="229" t="s">
        <v>125</v>
      </c>
      <c r="BY6" s="137" t="s">
        <v>132</v>
      </c>
    </row>
    <row r="7" spans="1:77">
      <c r="A7" s="172"/>
      <c r="B7" s="190"/>
      <c r="C7" s="195"/>
      <c r="D7" s="195"/>
      <c r="E7" s="196"/>
      <c r="F7" s="196"/>
      <c r="G7" s="196"/>
      <c r="H7" s="195"/>
      <c r="I7" s="79">
        <f>W6+1</f>
        <v>46069</v>
      </c>
      <c r="J7" s="80">
        <f t="shared" si="2"/>
        <v>46070</v>
      </c>
      <c r="K7" s="80">
        <f t="shared" si="2"/>
        <v>46071</v>
      </c>
      <c r="L7" s="80">
        <f t="shared" si="2"/>
        <v>46072</v>
      </c>
      <c r="M7" s="80">
        <f t="shared" si="2"/>
        <v>46073</v>
      </c>
      <c r="N7" s="80">
        <f t="shared" si="2"/>
        <v>46074</v>
      </c>
      <c r="O7" s="80">
        <f t="shared" si="2"/>
        <v>46075</v>
      </c>
      <c r="P7" s="80">
        <f t="shared" si="2"/>
        <v>46076</v>
      </c>
      <c r="Q7" s="80">
        <f t="shared" si="2"/>
        <v>46077</v>
      </c>
      <c r="R7" s="80">
        <f t="shared" si="2"/>
        <v>46078</v>
      </c>
      <c r="S7" s="80">
        <f t="shared" si="2"/>
        <v>46079</v>
      </c>
      <c r="T7" s="80">
        <f t="shared" si="2"/>
        <v>46080</v>
      </c>
      <c r="U7" s="80">
        <f t="shared" si="2"/>
        <v>46081</v>
      </c>
      <c r="V7" s="80" t="str">
        <f>IFERROR(IF(DAY(DATE($I$1,$O$1+1,0))&lt;COLUMNS($I$7:V$7)+15,"",U7+1),"")</f>
        <v/>
      </c>
      <c r="W7" s="80" t="str">
        <f>IFERROR(IF(DAY(DATE($I$1,$O$1+1,0))&lt;COLUMNS($I$7:W$7)+15,"",V7+1),"")</f>
        <v/>
      </c>
      <c r="X7" s="81" t="str">
        <f>IFERROR(IF(DAY(DATE($I$1,$O$1+1,0))&lt;COLUMNS($I$7:X$7)+15,"",W7+1),"")</f>
        <v/>
      </c>
      <c r="Y7" s="190"/>
      <c r="Z7" s="190"/>
      <c r="AA7" s="190"/>
      <c r="AB7" s="82" t="s">
        <v>110</v>
      </c>
      <c r="AC7" s="83" t="s">
        <v>111</v>
      </c>
      <c r="AD7" s="84" t="s">
        <v>76</v>
      </c>
      <c r="AE7" s="190"/>
      <c r="AF7" s="190"/>
      <c r="AG7" s="196"/>
      <c r="AH7" s="196"/>
      <c r="AI7" s="196"/>
      <c r="AJ7" s="196"/>
      <c r="AK7" s="237"/>
      <c r="AL7" s="239"/>
      <c r="AM7" s="232"/>
      <c r="AN7" s="233"/>
      <c r="AO7" s="234"/>
      <c r="AP7" s="85">
        <v>16</v>
      </c>
      <c r="AQ7" s="86">
        <v>17</v>
      </c>
      <c r="AR7" s="86">
        <v>18</v>
      </c>
      <c r="AS7" s="86">
        <v>19</v>
      </c>
      <c r="AT7" s="86">
        <v>20</v>
      </c>
      <c r="AU7" s="86">
        <v>21</v>
      </c>
      <c r="AV7" s="86">
        <v>22</v>
      </c>
      <c r="AW7" s="86">
        <v>23</v>
      </c>
      <c r="AX7" s="86">
        <v>24</v>
      </c>
      <c r="AY7" s="86">
        <v>25</v>
      </c>
      <c r="AZ7" s="86">
        <v>26</v>
      </c>
      <c r="BA7" s="86">
        <v>27</v>
      </c>
      <c r="BB7" s="86">
        <v>28</v>
      </c>
      <c r="BC7" s="86">
        <v>29</v>
      </c>
      <c r="BD7" s="87">
        <v>30</v>
      </c>
      <c r="BE7" s="88">
        <v>31</v>
      </c>
      <c r="BG7" s="236"/>
      <c r="BH7" s="228"/>
      <c r="BI7" s="228" t="s">
        <v>112</v>
      </c>
      <c r="BJ7" s="228"/>
      <c r="BK7" s="117" t="s">
        <v>113</v>
      </c>
      <c r="BL7" s="118" t="s">
        <v>135</v>
      </c>
      <c r="BM7" s="118" t="s">
        <v>114</v>
      </c>
      <c r="BN7" s="117" t="s">
        <v>113</v>
      </c>
      <c r="BO7" s="118" t="s">
        <v>135</v>
      </c>
      <c r="BP7" s="118" t="s">
        <v>114</v>
      </c>
      <c r="BQ7" s="118" t="s">
        <v>123</v>
      </c>
      <c r="BR7" s="118" t="s">
        <v>121</v>
      </c>
      <c r="BS7" s="118" t="s">
        <v>122</v>
      </c>
      <c r="BT7" s="118" t="s">
        <v>137</v>
      </c>
      <c r="BU7" s="118" t="s">
        <v>136</v>
      </c>
      <c r="BV7" s="228" t="s">
        <v>114</v>
      </c>
      <c r="BW7" s="230" t="s">
        <v>115</v>
      </c>
    </row>
    <row r="8" spans="1:77" ht="14.5" customHeight="1">
      <c r="A8" s="221">
        <v>1</v>
      </c>
      <c r="B8" s="222"/>
      <c r="C8" s="223"/>
      <c r="D8" s="225"/>
      <c r="E8" s="226"/>
      <c r="F8" s="226"/>
      <c r="G8" s="212"/>
      <c r="H8" s="214"/>
      <c r="I8" s="145"/>
      <c r="J8" s="145">
        <v>1</v>
      </c>
      <c r="K8" s="145">
        <v>1</v>
      </c>
      <c r="L8" s="148"/>
      <c r="M8" s="145"/>
      <c r="N8" s="145"/>
      <c r="O8" s="145">
        <v>1</v>
      </c>
      <c r="P8" s="148"/>
      <c r="Q8" s="145"/>
      <c r="R8" s="145">
        <v>1</v>
      </c>
      <c r="S8" s="145">
        <v>1</v>
      </c>
      <c r="T8" s="148">
        <v>1</v>
      </c>
      <c r="U8" s="145">
        <v>1</v>
      </c>
      <c r="V8" s="145"/>
      <c r="W8" s="145"/>
      <c r="X8" s="93"/>
      <c r="Y8" s="215">
        <f>SUM(I8:X9)</f>
        <v>16</v>
      </c>
      <c r="Z8" s="217">
        <f>COUNTIF(I8:X9,"&gt;0")</f>
        <v>15</v>
      </c>
      <c r="AA8" s="219">
        <f>H8*Y8</f>
        <v>0</v>
      </c>
      <c r="AB8" s="124">
        <f>IF(AO8&lt;1000, 0, AO8)</f>
        <v>0</v>
      </c>
      <c r="AC8" s="125">
        <f ca="1">IF(IFERROR($AN8&lt;65,FALSE), IF(B8&lt;&gt;"외국인", ROUNDDOWN(AA8*$AH$1%,-1), IF(AND(AM8&lt;&gt;"", ISNUMBER(SEARCH(LEFT(SUBSTITUTE(AM8, "-",""),2), "F2_F5_F6"))), ROUNDDOWN(AA8*$AH$1%,-1), 0)),0)</f>
        <v>0</v>
      </c>
      <c r="AD8" s="126">
        <f>IF(Z8&gt;=$AJ$1,ROUNDDOWN(AA8*$AH$2%,-1),0)</f>
        <v>0</v>
      </c>
      <c r="AE8" s="214">
        <f ca="1">AB8+AC8+AB9+AC9+AD8+AD9</f>
        <v>0</v>
      </c>
      <c r="AF8" s="214">
        <f ca="1">AA8-AE8</f>
        <v>0</v>
      </c>
      <c r="AG8" s="222"/>
      <c r="AH8" s="226"/>
      <c r="AI8" s="222"/>
      <c r="AJ8" s="226"/>
      <c r="AK8" s="250"/>
      <c r="AL8" s="250"/>
      <c r="AM8" s="251"/>
      <c r="AN8" s="252" t="str">
        <f ca="1">IFERROR(DATEDIF(DATE(IF(ISNUMBER(FIND(MID( SUBSTITUTE(D8, "-",""), 7, 1), "3478")), 2000, 1900)+MID(D8,1,2), MID(D8,3,2), MID(D8,5,2)), TODAY(), "Y"),"")</f>
        <v/>
      </c>
      <c r="AO8" s="214">
        <f>ROUNDDOWN(SUM(AP8:BE9),-1)</f>
        <v>0</v>
      </c>
      <c r="AP8" s="127">
        <f t="shared" ref="AP8:BD8" si="3">IF($H8*I8&gt;150000,ROUNDDOWN(($H8*I8-150000)*6%*45%,0),0)</f>
        <v>0</v>
      </c>
      <c r="AQ8" s="128">
        <f t="shared" si="3"/>
        <v>0</v>
      </c>
      <c r="AR8" s="128">
        <f t="shared" si="3"/>
        <v>0</v>
      </c>
      <c r="AS8" s="128">
        <f t="shared" si="3"/>
        <v>0</v>
      </c>
      <c r="AT8" s="128">
        <f t="shared" si="3"/>
        <v>0</v>
      </c>
      <c r="AU8" s="128">
        <f t="shared" si="3"/>
        <v>0</v>
      </c>
      <c r="AV8" s="128">
        <f t="shared" si="3"/>
        <v>0</v>
      </c>
      <c r="AW8" s="128">
        <f t="shared" si="3"/>
        <v>0</v>
      </c>
      <c r="AX8" s="128">
        <f t="shared" si="3"/>
        <v>0</v>
      </c>
      <c r="AY8" s="128">
        <f t="shared" si="3"/>
        <v>0</v>
      </c>
      <c r="AZ8" s="128">
        <f t="shared" si="3"/>
        <v>0</v>
      </c>
      <c r="BA8" s="128">
        <f t="shared" si="3"/>
        <v>0</v>
      </c>
      <c r="BB8" s="128">
        <f t="shared" si="3"/>
        <v>0</v>
      </c>
      <c r="BC8" s="128">
        <f t="shared" si="3"/>
        <v>0</v>
      </c>
      <c r="BD8" s="129">
        <f t="shared" si="3"/>
        <v>0</v>
      </c>
      <c r="BE8" s="130"/>
      <c r="BG8" s="222">
        <f>C8</f>
        <v>0</v>
      </c>
      <c r="BH8" s="226"/>
      <c r="BI8" s="245"/>
      <c r="BJ8" s="247"/>
      <c r="BK8" s="244"/>
      <c r="BL8" s="249"/>
      <c r="BM8" s="249">
        <f>BK8*BL8</f>
        <v>0</v>
      </c>
      <c r="BN8" s="244"/>
      <c r="BO8" s="249"/>
      <c r="BP8" s="249">
        <f>BN8*BO8</f>
        <v>0</v>
      </c>
      <c r="BQ8" s="243"/>
      <c r="BR8" s="244"/>
      <c r="BS8" s="243"/>
      <c r="BT8" s="244"/>
      <c r="BU8" s="244">
        <f>SUM(BR8:BT9)</f>
        <v>0</v>
      </c>
      <c r="BV8" s="244">
        <f>BM8+BP8-BU8</f>
        <v>0</v>
      </c>
      <c r="BW8" s="240"/>
    </row>
    <row r="9" spans="1:77" ht="14.5" customHeight="1">
      <c r="A9" s="221"/>
      <c r="B9" s="222"/>
      <c r="C9" s="224"/>
      <c r="D9" s="225"/>
      <c r="E9" s="222"/>
      <c r="F9" s="222"/>
      <c r="G9" s="213"/>
      <c r="H9" s="214"/>
      <c r="I9" s="140"/>
      <c r="J9" s="147"/>
      <c r="K9" s="141"/>
      <c r="L9" s="147"/>
      <c r="M9" s="141">
        <v>1</v>
      </c>
      <c r="N9" s="147">
        <v>2</v>
      </c>
      <c r="O9" s="141"/>
      <c r="P9" s="147">
        <v>1</v>
      </c>
      <c r="Q9" s="155">
        <v>1</v>
      </c>
      <c r="R9" s="139">
        <v>1</v>
      </c>
      <c r="S9" s="139">
        <v>1</v>
      </c>
      <c r="T9" s="139">
        <v>1</v>
      </c>
      <c r="U9" s="139">
        <v>1</v>
      </c>
      <c r="V9" s="139"/>
      <c r="W9" s="139"/>
      <c r="X9" s="103"/>
      <c r="Y9" s="216"/>
      <c r="Z9" s="218"/>
      <c r="AA9" s="220"/>
      <c r="AB9" s="131">
        <f>ROUNDDOWN(AB8*10%,-1)</f>
        <v>0</v>
      </c>
      <c r="AC9" s="132">
        <f ca="1">IFERROR(IF(AND( OR(COUNTIF(I8:X9, "&gt;0")&gt;=$AJ$1, AA8&gt;=$AJ$4),AN8&lt;60,AA8&lt;=$AH$5),ROUNDDOWN(ROUNDDOWN(AA8,-3)*$AH$4%,-1),IF(AND(COUNTIF(I8:X9,"&gt;0")&gt;=$AJ$1,AN8&lt;60,AA8&gt;$AH$5),$AJ$5,0)),0)</f>
        <v>0</v>
      </c>
      <c r="AD9" s="133">
        <f>IF(Z8&gt;=$AJ$1,ROUNDDOWN(AD8*$AH$3%/($AH$2*2%),-1),0)</f>
        <v>0</v>
      </c>
      <c r="AE9" s="214"/>
      <c r="AF9" s="214"/>
      <c r="AG9" s="222"/>
      <c r="AH9" s="222"/>
      <c r="AI9" s="222"/>
      <c r="AJ9" s="222"/>
      <c r="AK9" s="250"/>
      <c r="AL9" s="250"/>
      <c r="AM9" s="251"/>
      <c r="AN9" s="252"/>
      <c r="AO9" s="214"/>
      <c r="AP9" s="134">
        <f t="shared" ref="AP9:BE9" si="4">IF($H8*I9&gt;150000,ROUNDDOWN(($H8*I9-150000)*6%*45%,0),0)</f>
        <v>0</v>
      </c>
      <c r="AQ9" s="135">
        <f t="shared" si="4"/>
        <v>0</v>
      </c>
      <c r="AR9" s="135">
        <f t="shared" si="4"/>
        <v>0</v>
      </c>
      <c r="AS9" s="135">
        <f t="shared" si="4"/>
        <v>0</v>
      </c>
      <c r="AT9" s="135">
        <f t="shared" si="4"/>
        <v>0</v>
      </c>
      <c r="AU9" s="135">
        <f t="shared" si="4"/>
        <v>0</v>
      </c>
      <c r="AV9" s="135">
        <f t="shared" si="4"/>
        <v>0</v>
      </c>
      <c r="AW9" s="135">
        <f t="shared" si="4"/>
        <v>0</v>
      </c>
      <c r="AX9" s="135">
        <f t="shared" si="4"/>
        <v>0</v>
      </c>
      <c r="AY9" s="135">
        <f t="shared" si="4"/>
        <v>0</v>
      </c>
      <c r="AZ9" s="135">
        <f t="shared" si="4"/>
        <v>0</v>
      </c>
      <c r="BA9" s="135">
        <f t="shared" si="4"/>
        <v>0</v>
      </c>
      <c r="BB9" s="135">
        <f t="shared" si="4"/>
        <v>0</v>
      </c>
      <c r="BC9" s="135">
        <f t="shared" si="4"/>
        <v>0</v>
      </c>
      <c r="BD9" s="135">
        <f t="shared" si="4"/>
        <v>0</v>
      </c>
      <c r="BE9" s="136">
        <f t="shared" si="4"/>
        <v>0</v>
      </c>
      <c r="BG9" s="222"/>
      <c r="BH9" s="222"/>
      <c r="BI9" s="246"/>
      <c r="BJ9" s="248"/>
      <c r="BK9" s="244"/>
      <c r="BL9" s="249"/>
      <c r="BM9" s="249"/>
      <c r="BN9" s="244"/>
      <c r="BO9" s="249"/>
      <c r="BP9" s="249"/>
      <c r="BQ9" s="243"/>
      <c r="BR9" s="244"/>
      <c r="BS9" s="243"/>
      <c r="BT9" s="244"/>
      <c r="BU9" s="244"/>
      <c r="BV9" s="244"/>
      <c r="BW9" s="222"/>
    </row>
    <row r="10" spans="1:77">
      <c r="A10" s="221">
        <v>2</v>
      </c>
      <c r="B10" s="222"/>
      <c r="C10" s="241"/>
      <c r="D10" s="225"/>
      <c r="E10" s="226"/>
      <c r="F10" s="226"/>
      <c r="G10" s="226"/>
      <c r="H10" s="214"/>
      <c r="I10" s="145"/>
      <c r="J10" s="145">
        <v>1</v>
      </c>
      <c r="K10" s="145">
        <v>1</v>
      </c>
      <c r="L10" s="150">
        <v>1</v>
      </c>
      <c r="M10" s="145">
        <v>1</v>
      </c>
      <c r="N10" s="145"/>
      <c r="O10" s="145">
        <v>1</v>
      </c>
      <c r="P10" s="150"/>
      <c r="Q10" s="145">
        <v>1</v>
      </c>
      <c r="R10" s="145"/>
      <c r="S10" s="145">
        <v>1</v>
      </c>
      <c r="T10" s="150">
        <v>1</v>
      </c>
      <c r="U10" s="145">
        <v>1</v>
      </c>
      <c r="V10" s="145"/>
      <c r="W10" s="145"/>
      <c r="X10" s="93"/>
      <c r="Y10" s="215">
        <f>SUM(I10:X11)</f>
        <v>18</v>
      </c>
      <c r="Z10" s="217">
        <f>COUNTIF(I10:X11,"&gt;0")</f>
        <v>17</v>
      </c>
      <c r="AA10" s="219">
        <f t="shared" ref="AA10" si="5">H10*Y10</f>
        <v>0</v>
      </c>
      <c r="AB10" s="124">
        <f>IF(AO10&lt;1000, 0, AO10)</f>
        <v>0</v>
      </c>
      <c r="AC10" s="125">
        <f ca="1">IF(IFERROR($AN10&lt;65,FALSE), IF(B10&lt;&gt;"외국인", ROUNDDOWN(AA10*$AH$1%,-1), IF(AND(AM10&lt;&gt;"", ISNUMBER(SEARCH(LEFT(SUBSTITUTE(AM10, "-",""),2), "F2_F5_F6"))), ROUNDDOWN(AA10*$AH$1%,-1), 0)),0)</f>
        <v>0</v>
      </c>
      <c r="AD10" s="126">
        <f>IF(Z10&gt;=$AJ$1,ROUNDDOWN(AA10*$AH$2%,-1),0)</f>
        <v>0</v>
      </c>
      <c r="AE10" s="214">
        <f ca="1">AB10+AC10+AB11+AC11+AD10+AD11</f>
        <v>0</v>
      </c>
      <c r="AF10" s="214">
        <f t="shared" ref="AF10" ca="1" si="6">AA10-AE10</f>
        <v>0</v>
      </c>
      <c r="AG10" s="253"/>
      <c r="AH10" s="253"/>
      <c r="AI10" s="222"/>
      <c r="AJ10" s="222"/>
      <c r="AK10" s="250"/>
      <c r="AL10" s="250"/>
      <c r="AM10" s="251"/>
      <c r="AN10" s="252" t="str">
        <f ca="1">IFERROR(DATEDIF(DATE(IF(ISNUMBER(FIND(MID( SUBSTITUTE(D10, "-",""), 7, 1), "3478")), 2000, 1900)+MID(D10,1,2), MID(D10,3,2), MID(D10,5,2)), TODAY(), "Y"),"")</f>
        <v/>
      </c>
      <c r="AO10" s="214">
        <f>ROUNDDOWN(SUM(AP10:BE11),-1)</f>
        <v>0</v>
      </c>
      <c r="AP10" s="127">
        <f t="shared" ref="AP10:BD10" si="7">IF($H10*I10&gt;150000,ROUNDDOWN(($H10*I10-150000)*6%*45%,0),0)</f>
        <v>0</v>
      </c>
      <c r="AQ10" s="128">
        <f t="shared" si="7"/>
        <v>0</v>
      </c>
      <c r="AR10" s="128">
        <f t="shared" si="7"/>
        <v>0</v>
      </c>
      <c r="AS10" s="128">
        <f t="shared" si="7"/>
        <v>0</v>
      </c>
      <c r="AT10" s="128">
        <f t="shared" si="7"/>
        <v>0</v>
      </c>
      <c r="AU10" s="128">
        <f t="shared" si="7"/>
        <v>0</v>
      </c>
      <c r="AV10" s="128">
        <f t="shared" si="7"/>
        <v>0</v>
      </c>
      <c r="AW10" s="128">
        <f t="shared" si="7"/>
        <v>0</v>
      </c>
      <c r="AX10" s="128">
        <f t="shared" si="7"/>
        <v>0</v>
      </c>
      <c r="AY10" s="128">
        <f t="shared" si="7"/>
        <v>0</v>
      </c>
      <c r="AZ10" s="128">
        <f t="shared" si="7"/>
        <v>0</v>
      </c>
      <c r="BA10" s="128">
        <f t="shared" si="7"/>
        <v>0</v>
      </c>
      <c r="BB10" s="128">
        <f t="shared" si="7"/>
        <v>0</v>
      </c>
      <c r="BC10" s="128">
        <f t="shared" si="7"/>
        <v>0</v>
      </c>
      <c r="BD10" s="129">
        <f t="shared" si="7"/>
        <v>0</v>
      </c>
      <c r="BE10" s="130"/>
      <c r="BG10" s="222">
        <f t="shared" ref="BG10" si="8">C10</f>
        <v>0</v>
      </c>
      <c r="BH10" s="226"/>
      <c r="BI10" s="245"/>
      <c r="BJ10" s="248"/>
      <c r="BK10" s="243"/>
      <c r="BL10" s="222"/>
      <c r="BM10" s="249">
        <f t="shared" ref="BM10" si="9">BK10*BL10</f>
        <v>0</v>
      </c>
      <c r="BN10" s="243"/>
      <c r="BO10" s="222"/>
      <c r="BP10" s="249">
        <f t="shared" ref="BP10" si="10">BN10*BO10</f>
        <v>0</v>
      </c>
      <c r="BQ10" s="243"/>
      <c r="BR10" s="244"/>
      <c r="BS10" s="243"/>
      <c r="BT10" s="244"/>
      <c r="BU10" s="244">
        <f t="shared" ref="BU10" si="11">SUM(BR10:BT11)</f>
        <v>0</v>
      </c>
      <c r="BV10" s="244">
        <f t="shared" ref="BV10" si="12">BM10+BP10-BU10</f>
        <v>0</v>
      </c>
      <c r="BW10" s="222"/>
    </row>
    <row r="11" spans="1:77">
      <c r="A11" s="221"/>
      <c r="B11" s="222"/>
      <c r="C11" s="242"/>
      <c r="D11" s="225"/>
      <c r="E11" s="222"/>
      <c r="F11" s="222"/>
      <c r="G11" s="222"/>
      <c r="H11" s="214"/>
      <c r="I11" s="152"/>
      <c r="J11" s="152"/>
      <c r="K11" s="152"/>
      <c r="L11" s="152"/>
      <c r="M11" s="152">
        <v>1</v>
      </c>
      <c r="N11" s="152">
        <v>2</v>
      </c>
      <c r="O11" s="152"/>
      <c r="P11" s="152">
        <v>1</v>
      </c>
      <c r="Q11" s="152">
        <v>1</v>
      </c>
      <c r="R11" s="152">
        <v>1</v>
      </c>
      <c r="S11" s="152">
        <v>1</v>
      </c>
      <c r="T11" s="152">
        <v>1</v>
      </c>
      <c r="U11" s="152">
        <v>1</v>
      </c>
      <c r="V11" s="153"/>
      <c r="W11" s="154"/>
      <c r="X11" s="103"/>
      <c r="Y11" s="216"/>
      <c r="Z11" s="218"/>
      <c r="AA11" s="220"/>
      <c r="AB11" s="131">
        <f>ROUNDDOWN(AB10*10%,-1)</f>
        <v>0</v>
      </c>
      <c r="AC11" s="132">
        <f ca="1">IFERROR(IF(AND( OR(COUNTIF(I10:X11, "&gt;0")&gt;=$AJ$1, AA10&gt;=$AJ$4),AN10&lt;60,AA10&lt;=$AH$5),ROUNDDOWN(ROUNDDOWN(AA10,-3)*$AH$4%,-1),IF(AND(COUNTIF(I10:X11,"&gt;0")&gt;=$AJ$1,AN10&lt;60,AA10&gt;$AH$5),$AJ$5,0)),0)</f>
        <v>0</v>
      </c>
      <c r="AD11" s="133">
        <f>IF(Z10&gt;=$AJ$1,ROUNDDOWN(AD10*$AH$3%/($AH$2*2%),-1),0)</f>
        <v>0</v>
      </c>
      <c r="AE11" s="214"/>
      <c r="AF11" s="214"/>
      <c r="AG11" s="254"/>
      <c r="AH11" s="254"/>
      <c r="AI11" s="222"/>
      <c r="AJ11" s="222"/>
      <c r="AK11" s="250"/>
      <c r="AL11" s="250"/>
      <c r="AM11" s="251"/>
      <c r="AN11" s="252"/>
      <c r="AO11" s="214"/>
      <c r="AP11" s="134">
        <f t="shared" ref="AP11:BE11" si="13">IF($H10*I11&gt;150000,ROUNDDOWN(($H10*I11-150000)*6%*45%,0),0)</f>
        <v>0</v>
      </c>
      <c r="AQ11" s="135">
        <f t="shared" si="13"/>
        <v>0</v>
      </c>
      <c r="AR11" s="135">
        <f t="shared" si="13"/>
        <v>0</v>
      </c>
      <c r="AS11" s="135">
        <f t="shared" si="13"/>
        <v>0</v>
      </c>
      <c r="AT11" s="135">
        <f t="shared" si="13"/>
        <v>0</v>
      </c>
      <c r="AU11" s="135">
        <f t="shared" si="13"/>
        <v>0</v>
      </c>
      <c r="AV11" s="135">
        <f t="shared" si="13"/>
        <v>0</v>
      </c>
      <c r="AW11" s="135">
        <f t="shared" si="13"/>
        <v>0</v>
      </c>
      <c r="AX11" s="135">
        <f t="shared" si="13"/>
        <v>0</v>
      </c>
      <c r="AY11" s="135">
        <f t="shared" si="13"/>
        <v>0</v>
      </c>
      <c r="AZ11" s="135">
        <f t="shared" si="13"/>
        <v>0</v>
      </c>
      <c r="BA11" s="135">
        <f t="shared" si="13"/>
        <v>0</v>
      </c>
      <c r="BB11" s="135">
        <f t="shared" si="13"/>
        <v>0</v>
      </c>
      <c r="BC11" s="135">
        <f t="shared" si="13"/>
        <v>0</v>
      </c>
      <c r="BD11" s="135">
        <f t="shared" si="13"/>
        <v>0</v>
      </c>
      <c r="BE11" s="136">
        <f t="shared" si="13"/>
        <v>0</v>
      </c>
      <c r="BG11" s="222"/>
      <c r="BH11" s="222"/>
      <c r="BI11" s="246"/>
      <c r="BJ11" s="248"/>
      <c r="BK11" s="243"/>
      <c r="BL11" s="222"/>
      <c r="BM11" s="249"/>
      <c r="BN11" s="243"/>
      <c r="BO11" s="222"/>
      <c r="BP11" s="249"/>
      <c r="BQ11" s="243"/>
      <c r="BR11" s="244"/>
      <c r="BS11" s="243"/>
      <c r="BT11" s="244"/>
      <c r="BU11" s="244"/>
      <c r="BV11" s="244"/>
      <c r="BW11" s="222"/>
    </row>
    <row r="12" spans="1:77" ht="14.5" customHeight="1">
      <c r="A12" s="221">
        <v>3</v>
      </c>
      <c r="B12" s="222"/>
      <c r="C12" s="223"/>
      <c r="D12" s="225"/>
      <c r="E12" s="226"/>
      <c r="F12" s="226"/>
      <c r="G12" s="222"/>
      <c r="H12" s="214"/>
      <c r="I12" s="143"/>
      <c r="J12" s="143">
        <v>1</v>
      </c>
      <c r="K12" s="143">
        <v>1</v>
      </c>
      <c r="L12" s="144"/>
      <c r="M12" s="143"/>
      <c r="N12" s="143"/>
      <c r="O12" s="143"/>
      <c r="P12" s="144"/>
      <c r="Q12" s="143"/>
      <c r="R12" s="143"/>
      <c r="S12" s="143"/>
      <c r="T12" s="144"/>
      <c r="U12" s="143"/>
      <c r="V12" s="143"/>
      <c r="W12" s="143"/>
      <c r="X12" s="93"/>
      <c r="Y12" s="215">
        <f>SUM(I12:X13)</f>
        <v>2</v>
      </c>
      <c r="Z12" s="217">
        <f>COUNTIF(I12:X13,"&gt;0")</f>
        <v>2</v>
      </c>
      <c r="AA12" s="219">
        <f t="shared" ref="AA12" si="14">H12*Y12</f>
        <v>0</v>
      </c>
      <c r="AB12" s="124">
        <f>IF(AO12&lt;1000, 0, AO12)</f>
        <v>0</v>
      </c>
      <c r="AC12" s="125">
        <f ca="1">IF(IFERROR($AN12&lt;65,FALSE), IF(B12&lt;&gt;"외국인", ROUNDDOWN(AA12*$AH$1%,-1), IF(AND(AM12&lt;&gt;"", ISNUMBER(SEARCH(LEFT(SUBSTITUTE(AM12, "-",""),2), "F2_F5_F6"))), ROUNDDOWN(AA12*$AH$1%,-1), 0)),0)</f>
        <v>0</v>
      </c>
      <c r="AD12" s="126">
        <f>IF(Z12&gt;=$AJ$1,ROUNDDOWN(AA12*$AH$2%,-1),0)</f>
        <v>0</v>
      </c>
      <c r="AE12" s="214">
        <f ca="1">AB12+AC12+AB13+AC13+AD12+AD13</f>
        <v>0</v>
      </c>
      <c r="AF12" s="214">
        <f t="shared" ref="AF12" ca="1" si="15">AA12-AE12</f>
        <v>0</v>
      </c>
      <c r="AG12" s="253"/>
      <c r="AH12" s="253"/>
      <c r="AI12" s="222"/>
      <c r="AJ12" s="222"/>
      <c r="AK12" s="250"/>
      <c r="AL12" s="250"/>
      <c r="AM12" s="251"/>
      <c r="AN12" s="252" t="str">
        <f ca="1">IFERROR(DATEDIF(DATE(IF(ISNUMBER(FIND(MID( SUBSTITUTE(D12, "-",""), 7, 1), "3478")), 2000, 1900)+MID(D12,1,2), MID(D12,3,2), MID(D12,5,2)), TODAY(), "Y"),"")</f>
        <v/>
      </c>
      <c r="AO12" s="214">
        <f>ROUNDDOWN(SUM(AP12:BE13),-1)</f>
        <v>0</v>
      </c>
      <c r="AP12" s="127">
        <f t="shared" ref="AP12:BD12" si="16">IF($H12*I12&gt;150000,ROUNDDOWN(($H12*I12-150000)*6%*45%,0),0)</f>
        <v>0</v>
      </c>
      <c r="AQ12" s="128">
        <f t="shared" si="16"/>
        <v>0</v>
      </c>
      <c r="AR12" s="128">
        <f t="shared" si="16"/>
        <v>0</v>
      </c>
      <c r="AS12" s="128">
        <f t="shared" si="16"/>
        <v>0</v>
      </c>
      <c r="AT12" s="128">
        <f t="shared" si="16"/>
        <v>0</v>
      </c>
      <c r="AU12" s="128">
        <f t="shared" si="16"/>
        <v>0</v>
      </c>
      <c r="AV12" s="128">
        <f t="shared" si="16"/>
        <v>0</v>
      </c>
      <c r="AW12" s="128">
        <f t="shared" si="16"/>
        <v>0</v>
      </c>
      <c r="AX12" s="128">
        <f t="shared" si="16"/>
        <v>0</v>
      </c>
      <c r="AY12" s="128">
        <f t="shared" si="16"/>
        <v>0</v>
      </c>
      <c r="AZ12" s="128">
        <f t="shared" si="16"/>
        <v>0</v>
      </c>
      <c r="BA12" s="128">
        <f t="shared" si="16"/>
        <v>0</v>
      </c>
      <c r="BB12" s="128">
        <f t="shared" si="16"/>
        <v>0</v>
      </c>
      <c r="BC12" s="128">
        <f t="shared" si="16"/>
        <v>0</v>
      </c>
      <c r="BD12" s="129">
        <f t="shared" si="16"/>
        <v>0</v>
      </c>
      <c r="BE12" s="130"/>
      <c r="BG12" s="222">
        <f t="shared" ref="BG12" si="17">C12</f>
        <v>0</v>
      </c>
      <c r="BH12" s="226"/>
      <c r="BI12" s="245"/>
      <c r="BJ12" s="255"/>
      <c r="BK12" s="243"/>
      <c r="BL12" s="222"/>
      <c r="BM12" s="249">
        <f t="shared" ref="BM12" si="18">BK12*BL12</f>
        <v>0</v>
      </c>
      <c r="BN12" s="243"/>
      <c r="BO12" s="222"/>
      <c r="BP12" s="249">
        <f t="shared" ref="BP12" si="19">BN12*BO12</f>
        <v>0</v>
      </c>
      <c r="BQ12" s="244"/>
      <c r="BR12" s="244"/>
      <c r="BS12" s="244"/>
      <c r="BT12" s="244"/>
      <c r="BU12" s="244">
        <f t="shared" ref="BU12" si="20">SUM(BR12:BT13)</f>
        <v>0</v>
      </c>
      <c r="BV12" s="244">
        <f t="shared" ref="BV12" si="21">BM12+BP12-BU12</f>
        <v>0</v>
      </c>
      <c r="BW12" s="226"/>
    </row>
    <row r="13" spans="1:77">
      <c r="A13" s="221"/>
      <c r="B13" s="222"/>
      <c r="C13" s="224"/>
      <c r="D13" s="225"/>
      <c r="E13" s="222"/>
      <c r="F13" s="222"/>
      <c r="G13" s="222"/>
      <c r="H13" s="214"/>
      <c r="I13" s="146"/>
      <c r="J13" s="139"/>
      <c r="K13" s="142"/>
      <c r="L13" s="139"/>
      <c r="M13" s="139"/>
      <c r="N13" s="139"/>
      <c r="O13" s="139"/>
      <c r="P13" s="139"/>
      <c r="Q13" s="139"/>
      <c r="R13" s="139"/>
      <c r="S13" s="139"/>
      <c r="T13" s="139"/>
      <c r="U13" s="139"/>
      <c r="V13" s="139"/>
      <c r="W13" s="139"/>
      <c r="X13" s="103"/>
      <c r="Y13" s="216"/>
      <c r="Z13" s="218"/>
      <c r="AA13" s="220"/>
      <c r="AB13" s="131">
        <f>ROUNDDOWN(AB12*10%,-1)</f>
        <v>0</v>
      </c>
      <c r="AC13" s="132">
        <f ca="1">IFERROR(IF(AND( OR(COUNTIF(I12:X13, "&gt;0")&gt;=$AJ$1, AA12&gt;=$AJ$4),AN12&lt;60,AA12&lt;=$AH$5),ROUNDDOWN(ROUNDDOWN(AA12,-3)*$AH$4%,-1),IF(AND(COUNTIF(I12:X13,"&gt;0")&gt;=$AJ$1,AN12&lt;60,AA12&gt;$AH$5),$AJ$5,0)),0)</f>
        <v>0</v>
      </c>
      <c r="AD13" s="244">
        <f>IF(Z12&gt;=$AJ$1,ROUNDDOWN(AD12*$AH$3%/($AH$2*2%),-1),0)</f>
        <v>0</v>
      </c>
      <c r="AE13" s="214"/>
      <c r="AF13" s="214"/>
      <c r="AG13" s="254"/>
      <c r="AH13" s="254"/>
      <c r="AI13" s="222"/>
      <c r="AJ13" s="222"/>
      <c r="AK13" s="250"/>
      <c r="AL13" s="250"/>
      <c r="AM13" s="251"/>
      <c r="AN13" s="252"/>
      <c r="AO13" s="214"/>
      <c r="AP13" s="134">
        <f t="shared" ref="AP13:BE13" si="22">IF($H12*I13&gt;150000,ROUNDDOWN(($H12*I13-150000)*6%*45%,0),0)</f>
        <v>0</v>
      </c>
      <c r="AQ13" s="135">
        <f t="shared" si="22"/>
        <v>0</v>
      </c>
      <c r="AR13" s="135">
        <f t="shared" si="22"/>
        <v>0</v>
      </c>
      <c r="AS13" s="135">
        <f t="shared" si="22"/>
        <v>0</v>
      </c>
      <c r="AT13" s="135">
        <f t="shared" si="22"/>
        <v>0</v>
      </c>
      <c r="AU13" s="135">
        <f t="shared" si="22"/>
        <v>0</v>
      </c>
      <c r="AV13" s="135">
        <f t="shared" si="22"/>
        <v>0</v>
      </c>
      <c r="AW13" s="135">
        <f t="shared" si="22"/>
        <v>0</v>
      </c>
      <c r="AX13" s="135">
        <f t="shared" si="22"/>
        <v>0</v>
      </c>
      <c r="AY13" s="135">
        <f t="shared" si="22"/>
        <v>0</v>
      </c>
      <c r="AZ13" s="135">
        <f t="shared" si="22"/>
        <v>0</v>
      </c>
      <c r="BA13" s="135">
        <f t="shared" si="22"/>
        <v>0</v>
      </c>
      <c r="BB13" s="135">
        <f t="shared" si="22"/>
        <v>0</v>
      </c>
      <c r="BC13" s="135">
        <f t="shared" si="22"/>
        <v>0</v>
      </c>
      <c r="BD13" s="135">
        <f t="shared" si="22"/>
        <v>0</v>
      </c>
      <c r="BE13" s="136">
        <f t="shared" si="22"/>
        <v>0</v>
      </c>
      <c r="BG13" s="222"/>
      <c r="BH13" s="222"/>
      <c r="BI13" s="246"/>
      <c r="BJ13" s="255"/>
      <c r="BK13" s="243"/>
      <c r="BL13" s="222"/>
      <c r="BM13" s="249"/>
      <c r="BN13" s="243"/>
      <c r="BO13" s="222"/>
      <c r="BP13" s="249"/>
      <c r="BQ13" s="244"/>
      <c r="BR13" s="244"/>
      <c r="BS13" s="244"/>
      <c r="BT13" s="244"/>
      <c r="BU13" s="244"/>
      <c r="BV13" s="244"/>
      <c r="BW13" s="222"/>
    </row>
    <row r="14" spans="1:77" ht="14.5" customHeight="1">
      <c r="A14" s="221">
        <v>4</v>
      </c>
      <c r="B14" s="222"/>
      <c r="C14" s="223"/>
      <c r="D14" s="225"/>
      <c r="E14" s="226"/>
      <c r="F14" s="226"/>
      <c r="G14" s="222"/>
      <c r="H14" s="214"/>
      <c r="I14" s="143"/>
      <c r="J14" s="143"/>
      <c r="K14" s="143"/>
      <c r="L14" s="144"/>
      <c r="M14" s="143"/>
      <c r="N14" s="143"/>
      <c r="O14" s="143"/>
      <c r="P14" s="144"/>
      <c r="Q14" s="143"/>
      <c r="R14" s="143"/>
      <c r="S14" s="143"/>
      <c r="T14" s="144"/>
      <c r="U14" s="143"/>
      <c r="V14" s="143"/>
      <c r="W14" s="143"/>
      <c r="X14" s="93"/>
      <c r="Y14" s="215">
        <f>SUM(I14:X15)</f>
        <v>3</v>
      </c>
      <c r="Z14" s="217">
        <f>COUNTIF(I14:X15,"&gt;0")</f>
        <v>3</v>
      </c>
      <c r="AA14" s="219">
        <f t="shared" ref="AA14" si="23">H14*Y14</f>
        <v>0</v>
      </c>
      <c r="AB14" s="124">
        <f>IF(AO14&lt;1000, 0, AO14)</f>
        <v>0</v>
      </c>
      <c r="AC14" s="125">
        <f ca="1">IF(IFERROR($AN14&lt;65,FALSE), IF(B14&lt;&gt;"외국인", ROUNDDOWN(AA14*$AH$1%,-1), IF(AND(AM14&lt;&gt;"", ISNUMBER(SEARCH(LEFT(SUBSTITUTE(AM14, "-",""),2), "F2_F5_F6"))), ROUNDDOWN(AA14*$AH$1%,-1), 0)),0)</f>
        <v>0</v>
      </c>
      <c r="AD14" s="244">
        <f>IF(Z14&gt;=$AJ$1,ROUNDDOWN(AA14*$AH$2%,-1),0)</f>
        <v>0</v>
      </c>
      <c r="AE14" s="214">
        <f ca="1">AB14+AC14+AB15+AC15+AD14+AD15</f>
        <v>0</v>
      </c>
      <c r="AF14" s="214">
        <f t="shared" ref="AF14" ca="1" si="24">AA14-AE14</f>
        <v>0</v>
      </c>
      <c r="AG14" s="253"/>
      <c r="AH14" s="253"/>
      <c r="AI14" s="222"/>
      <c r="AJ14" s="222"/>
      <c r="AK14" s="250"/>
      <c r="AL14" s="250"/>
      <c r="AM14" s="251"/>
      <c r="AN14" s="252" t="str">
        <f ca="1">IFERROR(DATEDIF(DATE(IF(ISNUMBER(FIND(MID( SUBSTITUTE(D14, "-",""), 7, 1), "3478")), 2000, 1900)+MID(D14,1,2), MID(D14,3,2), MID(D14,5,2)), TODAY(), "Y"),"")</f>
        <v/>
      </c>
      <c r="AO14" s="214">
        <f>ROUNDDOWN(SUM(AP14:BE15),-1)</f>
        <v>0</v>
      </c>
      <c r="AP14" s="127">
        <f t="shared" ref="AP14:BD14" si="25">IF($H14*I14&gt;150000,ROUNDDOWN(($H14*I14-150000)*6%*45%,0),0)</f>
        <v>0</v>
      </c>
      <c r="AQ14" s="128">
        <f t="shared" si="25"/>
        <v>0</v>
      </c>
      <c r="AR14" s="128">
        <f t="shared" si="25"/>
        <v>0</v>
      </c>
      <c r="AS14" s="128">
        <f t="shared" si="25"/>
        <v>0</v>
      </c>
      <c r="AT14" s="128">
        <f t="shared" si="25"/>
        <v>0</v>
      </c>
      <c r="AU14" s="128">
        <f t="shared" si="25"/>
        <v>0</v>
      </c>
      <c r="AV14" s="128">
        <f t="shared" si="25"/>
        <v>0</v>
      </c>
      <c r="AW14" s="128">
        <f t="shared" si="25"/>
        <v>0</v>
      </c>
      <c r="AX14" s="128">
        <f t="shared" si="25"/>
        <v>0</v>
      </c>
      <c r="AY14" s="128">
        <f t="shared" si="25"/>
        <v>0</v>
      </c>
      <c r="AZ14" s="128">
        <f t="shared" si="25"/>
        <v>0</v>
      </c>
      <c r="BA14" s="128">
        <f t="shared" si="25"/>
        <v>0</v>
      </c>
      <c r="BB14" s="128">
        <f t="shared" si="25"/>
        <v>0</v>
      </c>
      <c r="BC14" s="128">
        <f t="shared" si="25"/>
        <v>0</v>
      </c>
      <c r="BD14" s="129">
        <f t="shared" si="25"/>
        <v>0</v>
      </c>
      <c r="BE14" s="130"/>
      <c r="BG14" s="217">
        <f t="shared" ref="BG14" si="26">C14</f>
        <v>0</v>
      </c>
      <c r="BH14" s="226"/>
      <c r="BI14" s="245"/>
      <c r="BJ14" s="255"/>
      <c r="BK14" s="259"/>
      <c r="BL14" s="217"/>
      <c r="BM14" s="249">
        <f t="shared" ref="BM14" si="27">BK14*BL14</f>
        <v>0</v>
      </c>
      <c r="BN14" s="259"/>
      <c r="BO14" s="217"/>
      <c r="BP14" s="249">
        <f t="shared" ref="BP14" si="28">BN14*BO14</f>
        <v>0</v>
      </c>
      <c r="BQ14" s="256"/>
      <c r="BR14" s="256"/>
      <c r="BS14" s="256"/>
      <c r="BT14" s="256"/>
      <c r="BU14" s="244">
        <f t="shared" ref="BU14" si="29">SUM(BR14:BT15)</f>
        <v>0</v>
      </c>
      <c r="BV14" s="244">
        <f t="shared" ref="BV14" si="30">BM14+BP14-BU14</f>
        <v>0</v>
      </c>
      <c r="BW14" s="258"/>
      <c r="BY14" s="123"/>
    </row>
    <row r="15" spans="1:77">
      <c r="A15" s="221"/>
      <c r="B15" s="222"/>
      <c r="C15" s="224"/>
      <c r="D15" s="225"/>
      <c r="E15" s="222"/>
      <c r="F15" s="222"/>
      <c r="G15" s="222"/>
      <c r="H15" s="214"/>
      <c r="I15" s="146"/>
      <c r="J15" s="139"/>
      <c r="K15" s="142"/>
      <c r="L15" s="139"/>
      <c r="M15" s="139"/>
      <c r="N15" s="139"/>
      <c r="O15" s="139"/>
      <c r="P15" s="139"/>
      <c r="Q15" s="139"/>
      <c r="R15" s="139"/>
      <c r="S15" s="139">
        <v>1</v>
      </c>
      <c r="T15" s="139">
        <v>1</v>
      </c>
      <c r="U15" s="139">
        <v>1</v>
      </c>
      <c r="V15" s="139"/>
      <c r="W15" s="139"/>
      <c r="X15" s="103"/>
      <c r="Y15" s="216"/>
      <c r="Z15" s="218"/>
      <c r="AA15" s="220"/>
      <c r="AB15" s="131">
        <f>ROUNDDOWN(AB14*10%,-1)</f>
        <v>0</v>
      </c>
      <c r="AC15" s="132">
        <f ca="1">IFERROR(IF(AND( OR(COUNTIF(I14:X15, "&gt;0")&gt;=$AJ$1, AA14&gt;=$AJ$4),AN14&lt;60,AA14&lt;=$AH$5),ROUNDDOWN(ROUNDDOWN(AA14,-3)*$AH$4%,-1),IF(AND(COUNTIF(I14:X15,"&gt;0")&gt;=$AJ$1,AN14&lt;60,AA14&gt;$AH$5),$AJ$5,0)),0)</f>
        <v>0</v>
      </c>
      <c r="AD15" s="133">
        <f>IF(Z14&gt;=$AJ$1,ROUNDDOWN(AD14*$AH$3%/($AH$2*2%),-1),0)</f>
        <v>0</v>
      </c>
      <c r="AE15" s="214"/>
      <c r="AF15" s="214"/>
      <c r="AG15" s="254"/>
      <c r="AH15" s="254"/>
      <c r="AI15" s="222"/>
      <c r="AJ15" s="222"/>
      <c r="AK15" s="250"/>
      <c r="AL15" s="250"/>
      <c r="AM15" s="251"/>
      <c r="AN15" s="252"/>
      <c r="AO15" s="214"/>
      <c r="AP15" s="134">
        <f t="shared" ref="AP15:BE15" si="31">IF($H14*I15&gt;150000,ROUNDDOWN(($H14*I15-150000)*6%*45%,0),0)</f>
        <v>0</v>
      </c>
      <c r="AQ15" s="135">
        <f t="shared" si="31"/>
        <v>0</v>
      </c>
      <c r="AR15" s="135">
        <f t="shared" si="31"/>
        <v>0</v>
      </c>
      <c r="AS15" s="135">
        <f t="shared" si="31"/>
        <v>0</v>
      </c>
      <c r="AT15" s="135">
        <f t="shared" si="31"/>
        <v>0</v>
      </c>
      <c r="AU15" s="135">
        <f t="shared" si="31"/>
        <v>0</v>
      </c>
      <c r="AV15" s="135">
        <f t="shared" si="31"/>
        <v>0</v>
      </c>
      <c r="AW15" s="135">
        <f t="shared" si="31"/>
        <v>0</v>
      </c>
      <c r="AX15" s="135">
        <f t="shared" si="31"/>
        <v>0</v>
      </c>
      <c r="AY15" s="135">
        <f t="shared" si="31"/>
        <v>0</v>
      </c>
      <c r="AZ15" s="135">
        <f t="shared" si="31"/>
        <v>0</v>
      </c>
      <c r="BA15" s="135">
        <f t="shared" si="31"/>
        <v>0</v>
      </c>
      <c r="BB15" s="135">
        <f t="shared" si="31"/>
        <v>0</v>
      </c>
      <c r="BC15" s="135">
        <f t="shared" si="31"/>
        <v>0</v>
      </c>
      <c r="BD15" s="135">
        <f t="shared" si="31"/>
        <v>0</v>
      </c>
      <c r="BE15" s="136">
        <f t="shared" si="31"/>
        <v>0</v>
      </c>
      <c r="BG15" s="218"/>
      <c r="BH15" s="222"/>
      <c r="BI15" s="246"/>
      <c r="BJ15" s="255"/>
      <c r="BK15" s="260"/>
      <c r="BL15" s="218"/>
      <c r="BM15" s="249"/>
      <c r="BN15" s="260"/>
      <c r="BO15" s="218"/>
      <c r="BP15" s="249"/>
      <c r="BQ15" s="257"/>
      <c r="BR15" s="257"/>
      <c r="BS15" s="257"/>
      <c r="BT15" s="257"/>
      <c r="BU15" s="244"/>
      <c r="BV15" s="244"/>
      <c r="BW15" s="218"/>
      <c r="BY15" s="122"/>
    </row>
    <row r="16" spans="1:77" ht="14.5" customHeight="1">
      <c r="A16" s="221">
        <v>5</v>
      </c>
      <c r="B16" s="222"/>
      <c r="C16" s="223"/>
      <c r="D16" s="225"/>
      <c r="E16" s="226"/>
      <c r="F16" s="226"/>
      <c r="G16" s="222"/>
      <c r="H16" s="214"/>
      <c r="I16" s="145"/>
      <c r="J16" s="143"/>
      <c r="K16" s="145"/>
      <c r="L16" s="144"/>
      <c r="M16" s="143"/>
      <c r="N16" s="143"/>
      <c r="O16" s="143"/>
      <c r="P16" s="144"/>
      <c r="Q16" s="143"/>
      <c r="R16" s="143"/>
      <c r="S16" s="143"/>
      <c r="T16" s="144"/>
      <c r="U16" s="143"/>
      <c r="V16" s="143"/>
      <c r="W16" s="143"/>
      <c r="X16" s="93"/>
      <c r="Y16" s="215">
        <f>SUM(I16:X17)</f>
        <v>6</v>
      </c>
      <c r="Z16" s="217">
        <f>COUNTIF(I16:X17,"&gt;0")</f>
        <v>6</v>
      </c>
      <c r="AA16" s="219">
        <f t="shared" ref="AA16" si="32">H16*Y16</f>
        <v>0</v>
      </c>
      <c r="AB16" s="124">
        <f>IF(AO16&lt;1000, 0, AO16)</f>
        <v>0</v>
      </c>
      <c r="AC16" s="125">
        <f ca="1">IF(IFERROR($AN16&lt;65,FALSE), IF(B16&lt;&gt;"외국인", ROUNDDOWN(AA16*$AH$1%,-1), IF(AND(AM16&lt;&gt;"", ISNUMBER(SEARCH(LEFT(SUBSTITUTE(AM16, "-",""),2), "F2_F5_F6"))), ROUNDDOWN(AA16*$AH$1%,-1), 0)),0)</f>
        <v>0</v>
      </c>
      <c r="AD16" s="126">
        <f>IF(Z16&gt;=$AJ$1,ROUNDDOWN(AA16*$AH$2%,-1),0)</f>
        <v>0</v>
      </c>
      <c r="AE16" s="214">
        <f ca="1">AB16+AC16+AB17+AC17+AD16+AD17</f>
        <v>0</v>
      </c>
      <c r="AF16" s="214">
        <f t="shared" ref="AF16" ca="1" si="33">AA16-AE16</f>
        <v>0</v>
      </c>
      <c r="AG16" s="253"/>
      <c r="AH16" s="253"/>
      <c r="AI16" s="222"/>
      <c r="AJ16" s="222"/>
      <c r="AK16" s="250"/>
      <c r="AL16" s="250"/>
      <c r="AM16" s="251"/>
      <c r="AN16" s="252" t="str">
        <f ca="1">IFERROR(DATEDIF(DATE(IF(ISNUMBER(FIND(MID( SUBSTITUTE(D16, "-",""), 7, 1), "3478")), 2000, 1900)+MID(D16,1,2), MID(D16,3,2), MID(D16,5,2)), TODAY(), "Y"),"")</f>
        <v/>
      </c>
      <c r="AO16" s="214">
        <f>ROUNDDOWN(SUM(AP16:BE17),-1)</f>
        <v>0</v>
      </c>
      <c r="AP16" s="127">
        <f t="shared" ref="AP16:BD16" si="34">IF($H16*I16&gt;150000,ROUNDDOWN(($H16*I16-150000)*6%*45%,0),0)</f>
        <v>0</v>
      </c>
      <c r="AQ16" s="128">
        <f t="shared" si="34"/>
        <v>0</v>
      </c>
      <c r="AR16" s="128">
        <f t="shared" si="34"/>
        <v>0</v>
      </c>
      <c r="AS16" s="128">
        <f t="shared" si="34"/>
        <v>0</v>
      </c>
      <c r="AT16" s="128">
        <f t="shared" si="34"/>
        <v>0</v>
      </c>
      <c r="AU16" s="128">
        <f t="shared" si="34"/>
        <v>0</v>
      </c>
      <c r="AV16" s="128">
        <f t="shared" si="34"/>
        <v>0</v>
      </c>
      <c r="AW16" s="128">
        <f t="shared" si="34"/>
        <v>0</v>
      </c>
      <c r="AX16" s="128">
        <f t="shared" si="34"/>
        <v>0</v>
      </c>
      <c r="AY16" s="128">
        <f t="shared" si="34"/>
        <v>0</v>
      </c>
      <c r="AZ16" s="128">
        <f t="shared" si="34"/>
        <v>0</v>
      </c>
      <c r="BA16" s="128">
        <f t="shared" si="34"/>
        <v>0</v>
      </c>
      <c r="BB16" s="128">
        <f t="shared" si="34"/>
        <v>0</v>
      </c>
      <c r="BC16" s="128">
        <f t="shared" si="34"/>
        <v>0</v>
      </c>
      <c r="BD16" s="129">
        <f t="shared" si="34"/>
        <v>0</v>
      </c>
      <c r="BE16" s="130"/>
      <c r="BG16" s="217">
        <f t="shared" ref="BG16" si="35">C16</f>
        <v>0</v>
      </c>
      <c r="BH16" s="226"/>
      <c r="BI16" s="245"/>
      <c r="BJ16" s="255"/>
      <c r="BK16" s="259"/>
      <c r="BL16" s="217"/>
      <c r="BM16" s="249">
        <f t="shared" ref="BM16" si="36">BK16*BL16</f>
        <v>0</v>
      </c>
      <c r="BN16" s="259"/>
      <c r="BO16" s="217"/>
      <c r="BP16" s="249">
        <f t="shared" ref="BP16" si="37">BN16*BO16</f>
        <v>0</v>
      </c>
      <c r="BQ16" s="256"/>
      <c r="BR16" s="256"/>
      <c r="BS16" s="256"/>
      <c r="BT16" s="256"/>
      <c r="BU16" s="244">
        <f t="shared" ref="BU16" si="38">SUM(BR16:BT17)</f>
        <v>0</v>
      </c>
      <c r="BV16" s="244">
        <f t="shared" ref="BV16" si="39">BM16+BP16-BU16</f>
        <v>0</v>
      </c>
      <c r="BW16" s="258"/>
      <c r="BY16" s="122"/>
    </row>
    <row r="17" spans="1:79" ht="14.5" customHeight="1">
      <c r="A17" s="221"/>
      <c r="B17" s="222"/>
      <c r="C17" s="224"/>
      <c r="D17" s="225"/>
      <c r="E17" s="222"/>
      <c r="F17" s="222"/>
      <c r="G17" s="222"/>
      <c r="H17" s="214"/>
      <c r="I17" s="147"/>
      <c r="J17" s="147"/>
      <c r="K17" s="147"/>
      <c r="L17" s="147"/>
      <c r="M17" s="147"/>
      <c r="N17" s="147"/>
      <c r="O17" s="147"/>
      <c r="P17" s="147">
        <v>1</v>
      </c>
      <c r="Q17" s="147">
        <v>1</v>
      </c>
      <c r="R17" s="147">
        <v>1</v>
      </c>
      <c r="S17" s="147">
        <v>1</v>
      </c>
      <c r="T17" s="147">
        <v>1</v>
      </c>
      <c r="U17" s="147">
        <v>1</v>
      </c>
      <c r="V17" s="147"/>
      <c r="W17" s="147"/>
      <c r="X17" s="103"/>
      <c r="Y17" s="216"/>
      <c r="Z17" s="218"/>
      <c r="AA17" s="220"/>
      <c r="AB17" s="131">
        <f>ROUNDDOWN(AB16*10%,-1)</f>
        <v>0</v>
      </c>
      <c r="AC17" s="132">
        <f ca="1">IFERROR(IF(AND( OR(COUNTIF(I16:X17, "&gt;0")&gt;=$AJ$1, AA16&gt;=$AJ$4),AN16&lt;60,AA16&lt;=$AH$5),ROUNDDOWN(ROUNDDOWN(AA16,-3)*$AH$4%,-1),IF(AND(COUNTIF(I16:X17,"&gt;0")&gt;=$AJ$1,AN16&lt;60,AA16&gt;$AH$5),$AJ$5,0)),0)</f>
        <v>0</v>
      </c>
      <c r="AD17" s="133">
        <f>IF(Z16&gt;=$AJ$1,ROUNDDOWN(AD16*$AH$3%/($AH$2*2%),-1),0)</f>
        <v>0</v>
      </c>
      <c r="AE17" s="214"/>
      <c r="AF17" s="214"/>
      <c r="AG17" s="254"/>
      <c r="AH17" s="254"/>
      <c r="AI17" s="222"/>
      <c r="AJ17" s="222"/>
      <c r="AK17" s="250"/>
      <c r="AL17" s="250"/>
      <c r="AM17" s="251"/>
      <c r="AN17" s="252"/>
      <c r="AO17" s="214"/>
      <c r="AP17" s="134">
        <f t="shared" ref="AP17:BE17" si="40">IF($H16*I17&gt;150000,ROUNDDOWN(($H16*I17-150000)*6%*45%,0),0)</f>
        <v>0</v>
      </c>
      <c r="AQ17" s="135">
        <f t="shared" si="40"/>
        <v>0</v>
      </c>
      <c r="AR17" s="135">
        <f t="shared" si="40"/>
        <v>0</v>
      </c>
      <c r="AS17" s="135">
        <f t="shared" si="40"/>
        <v>0</v>
      </c>
      <c r="AT17" s="135">
        <f t="shared" si="40"/>
        <v>0</v>
      </c>
      <c r="AU17" s="135">
        <f t="shared" si="40"/>
        <v>0</v>
      </c>
      <c r="AV17" s="135">
        <f t="shared" si="40"/>
        <v>0</v>
      </c>
      <c r="AW17" s="135">
        <f t="shared" si="40"/>
        <v>0</v>
      </c>
      <c r="AX17" s="135">
        <f t="shared" si="40"/>
        <v>0</v>
      </c>
      <c r="AY17" s="135">
        <f t="shared" si="40"/>
        <v>0</v>
      </c>
      <c r="AZ17" s="135">
        <f t="shared" si="40"/>
        <v>0</v>
      </c>
      <c r="BA17" s="135">
        <f t="shared" si="40"/>
        <v>0</v>
      </c>
      <c r="BB17" s="135">
        <f t="shared" si="40"/>
        <v>0</v>
      </c>
      <c r="BC17" s="135">
        <f t="shared" si="40"/>
        <v>0</v>
      </c>
      <c r="BD17" s="135">
        <f t="shared" si="40"/>
        <v>0</v>
      </c>
      <c r="BE17" s="136">
        <f t="shared" si="40"/>
        <v>0</v>
      </c>
      <c r="BG17" s="218"/>
      <c r="BH17" s="222"/>
      <c r="BI17" s="246"/>
      <c r="BJ17" s="255"/>
      <c r="BK17" s="260"/>
      <c r="BL17" s="218"/>
      <c r="BM17" s="249"/>
      <c r="BN17" s="260"/>
      <c r="BO17" s="218"/>
      <c r="BP17" s="249"/>
      <c r="BQ17" s="257"/>
      <c r="BR17" s="257"/>
      <c r="BS17" s="257"/>
      <c r="BT17" s="257"/>
      <c r="BU17" s="244"/>
      <c r="BV17" s="244"/>
      <c r="BW17" s="218"/>
      <c r="BY17" s="122"/>
    </row>
    <row r="18" spans="1:79">
      <c r="A18" s="221">
        <v>8</v>
      </c>
      <c r="B18" s="222"/>
      <c r="C18" s="223"/>
      <c r="D18" s="225"/>
      <c r="E18" s="226"/>
      <c r="F18" s="226"/>
      <c r="G18" s="222"/>
      <c r="H18" s="214"/>
      <c r="I18" s="143"/>
      <c r="J18" s="143"/>
      <c r="K18" s="145"/>
      <c r="L18" s="156"/>
      <c r="M18" s="145"/>
      <c r="N18" s="143"/>
      <c r="O18" s="145"/>
      <c r="P18" s="156"/>
      <c r="Q18" s="145"/>
      <c r="R18" s="143">
        <v>1</v>
      </c>
      <c r="S18" s="145">
        <v>1</v>
      </c>
      <c r="T18" s="156"/>
      <c r="U18" s="145"/>
      <c r="V18" s="143"/>
      <c r="W18" s="143"/>
      <c r="X18" s="93"/>
      <c r="Y18" s="215">
        <f>SUM(I18:X19)</f>
        <v>2</v>
      </c>
      <c r="Z18" s="217">
        <f>COUNTIF(I18:X19,"&gt;0")</f>
        <v>2</v>
      </c>
      <c r="AA18" s="219">
        <f t="shared" ref="AA18" si="41">H18*Y18</f>
        <v>0</v>
      </c>
      <c r="AB18" s="124">
        <f>IF(AO18&lt;1000, 0, AO18)</f>
        <v>0</v>
      </c>
      <c r="AC18" s="125">
        <f ca="1">IF(IFERROR($AN18&lt;65,FALSE), IF(B18&lt;&gt;"외국인", ROUNDDOWN(AA18*$AH$1%,-1), IF(AND(AM18&lt;&gt;"", ISNUMBER(SEARCH(LEFT(SUBSTITUTE(AM18, "-",""),2), "F2_F5_F6"))), ROUNDDOWN(AA18*$AH$1%,-1), 0)),0)</f>
        <v>0</v>
      </c>
      <c r="AD18" s="126">
        <f>IF(Z18&gt;=$AJ$1,ROUNDDOWN(AA18*$AH$2%,-1),0)</f>
        <v>0</v>
      </c>
      <c r="AE18" s="214">
        <f ca="1">AB18+AC18+AB19+AC19+AD18+AD19</f>
        <v>0</v>
      </c>
      <c r="AF18" s="214">
        <f t="shared" ref="AF18" ca="1" si="42">AA18-AE18</f>
        <v>0</v>
      </c>
      <c r="AG18" s="253"/>
      <c r="AH18" s="253"/>
      <c r="AI18" s="222"/>
      <c r="AJ18" s="222"/>
      <c r="AK18" s="250"/>
      <c r="AL18" s="250"/>
      <c r="AM18" s="251"/>
      <c r="AN18" s="252" t="str">
        <f ca="1">IFERROR(DATEDIF(DATE(IF(ISNUMBER(FIND(MID( SUBSTITUTE(D18, "-",""), 7, 1), "3478")), 2000, 1900)+MID(D18,1,2), MID(D18,3,2), MID(D18,5,2)), TODAY(), "Y"),"")</f>
        <v/>
      </c>
      <c r="AO18" s="214">
        <f>ROUNDDOWN(SUM(AP18:BE19),-1)</f>
        <v>0</v>
      </c>
      <c r="AP18" s="127">
        <f t="shared" ref="AP18:BD18" si="43">IF($H18*I18&gt;150000,ROUNDDOWN(($H18*I18-150000)*6%*45%,0),0)</f>
        <v>0</v>
      </c>
      <c r="AQ18" s="128">
        <f t="shared" si="43"/>
        <v>0</v>
      </c>
      <c r="AR18" s="128">
        <f t="shared" si="43"/>
        <v>0</v>
      </c>
      <c r="AS18" s="128">
        <f t="shared" si="43"/>
        <v>0</v>
      </c>
      <c r="AT18" s="128">
        <f t="shared" si="43"/>
        <v>0</v>
      </c>
      <c r="AU18" s="128">
        <f t="shared" si="43"/>
        <v>0</v>
      </c>
      <c r="AV18" s="128">
        <f t="shared" si="43"/>
        <v>0</v>
      </c>
      <c r="AW18" s="128">
        <f t="shared" si="43"/>
        <v>0</v>
      </c>
      <c r="AX18" s="128">
        <f t="shared" si="43"/>
        <v>0</v>
      </c>
      <c r="AY18" s="128">
        <f t="shared" si="43"/>
        <v>0</v>
      </c>
      <c r="AZ18" s="128">
        <f t="shared" si="43"/>
        <v>0</v>
      </c>
      <c r="BA18" s="128">
        <f t="shared" si="43"/>
        <v>0</v>
      </c>
      <c r="BB18" s="128">
        <f t="shared" si="43"/>
        <v>0</v>
      </c>
      <c r="BC18" s="128">
        <f t="shared" si="43"/>
        <v>0</v>
      </c>
      <c r="BD18" s="129">
        <f t="shared" si="43"/>
        <v>0</v>
      </c>
      <c r="BE18" s="130"/>
      <c r="BG18" s="222">
        <f t="shared" ref="BG18" si="44">C18</f>
        <v>0</v>
      </c>
      <c r="BH18" s="226"/>
      <c r="BI18" s="245"/>
      <c r="BJ18" s="248"/>
      <c r="BK18" s="243"/>
      <c r="BL18" s="222"/>
      <c r="BM18" s="249">
        <f t="shared" ref="BM18" si="45">BK18*BL18</f>
        <v>0</v>
      </c>
      <c r="BN18" s="243"/>
      <c r="BO18" s="222"/>
      <c r="BP18" s="249">
        <f t="shared" ref="BP18" si="46">BN18*BO18</f>
        <v>0</v>
      </c>
      <c r="BQ18" s="243"/>
      <c r="BR18" s="243"/>
      <c r="BS18" s="243"/>
      <c r="BT18" s="244"/>
      <c r="BU18" s="244">
        <f t="shared" ref="BU18" si="47">SUM(BR18:BT19)</f>
        <v>0</v>
      </c>
      <c r="BV18" s="244">
        <f t="shared" ref="BV18" si="48">BM18+BP18-BU18</f>
        <v>0</v>
      </c>
      <c r="BW18" s="222"/>
    </row>
    <row r="19" spans="1:79">
      <c r="A19" s="221"/>
      <c r="B19" s="222"/>
      <c r="C19" s="224"/>
      <c r="D19" s="225"/>
      <c r="E19" s="222"/>
      <c r="F19" s="222"/>
      <c r="G19" s="222"/>
      <c r="H19" s="214"/>
      <c r="I19" s="147"/>
      <c r="J19" s="147"/>
      <c r="K19" s="147"/>
      <c r="L19" s="147"/>
      <c r="M19" s="147"/>
      <c r="N19" s="151"/>
      <c r="O19" s="149"/>
      <c r="P19" s="149"/>
      <c r="Q19" s="149"/>
      <c r="R19" s="149"/>
      <c r="S19" s="149"/>
      <c r="T19" s="149"/>
      <c r="U19" s="149"/>
      <c r="V19" s="149"/>
      <c r="W19" s="139"/>
      <c r="X19" s="103"/>
      <c r="Y19" s="216"/>
      <c r="Z19" s="218"/>
      <c r="AA19" s="220"/>
      <c r="AB19" s="131">
        <f>ROUNDDOWN(AB18*10%,-1)</f>
        <v>0</v>
      </c>
      <c r="AC19" s="132">
        <f ca="1">IFERROR(IF(AND( OR(COUNTIF(I18:X19, "&gt;0")&gt;=$AJ$1, AA18&gt;=$AJ$4),AN18&lt;60,AA18&lt;=$AH$5),ROUNDDOWN(ROUNDDOWN(AA18,-3)*$AH$4%,-1),IF(AND(COUNTIF(I18:X19,"&gt;0")&gt;=$AJ$1,AN18&lt;60,AA18&gt;$AH$5),$AJ$5,0)),0)</f>
        <v>0</v>
      </c>
      <c r="AD19" s="133">
        <f>IF(Z18&gt;=$AJ$1,ROUNDDOWN(AD18*$AH$3%/($AH$2*2%),-1),0)</f>
        <v>0</v>
      </c>
      <c r="AE19" s="214"/>
      <c r="AF19" s="214"/>
      <c r="AG19" s="254"/>
      <c r="AH19" s="254"/>
      <c r="AI19" s="222"/>
      <c r="AJ19" s="222"/>
      <c r="AK19" s="250"/>
      <c r="AL19" s="250"/>
      <c r="AM19" s="251"/>
      <c r="AN19" s="252"/>
      <c r="AO19" s="214"/>
      <c r="AP19" s="134">
        <f t="shared" ref="AP19:BE19" si="49">IF($H18*I19&gt;150000,ROUNDDOWN(($H18*I19-150000)*6%*45%,0),0)</f>
        <v>0</v>
      </c>
      <c r="AQ19" s="135">
        <f t="shared" si="49"/>
        <v>0</v>
      </c>
      <c r="AR19" s="135">
        <f t="shared" si="49"/>
        <v>0</v>
      </c>
      <c r="AS19" s="135">
        <f t="shared" si="49"/>
        <v>0</v>
      </c>
      <c r="AT19" s="135">
        <f t="shared" si="49"/>
        <v>0</v>
      </c>
      <c r="AU19" s="135">
        <f t="shared" si="49"/>
        <v>0</v>
      </c>
      <c r="AV19" s="135">
        <f t="shared" si="49"/>
        <v>0</v>
      </c>
      <c r="AW19" s="135">
        <f t="shared" si="49"/>
        <v>0</v>
      </c>
      <c r="AX19" s="135">
        <f t="shared" si="49"/>
        <v>0</v>
      </c>
      <c r="AY19" s="135">
        <f t="shared" si="49"/>
        <v>0</v>
      </c>
      <c r="AZ19" s="135">
        <f t="shared" si="49"/>
        <v>0</v>
      </c>
      <c r="BA19" s="135">
        <f t="shared" si="49"/>
        <v>0</v>
      </c>
      <c r="BB19" s="135">
        <f t="shared" si="49"/>
        <v>0</v>
      </c>
      <c r="BC19" s="135">
        <f t="shared" si="49"/>
        <v>0</v>
      </c>
      <c r="BD19" s="135">
        <f t="shared" si="49"/>
        <v>0</v>
      </c>
      <c r="BE19" s="136">
        <f t="shared" si="49"/>
        <v>0</v>
      </c>
      <c r="BG19" s="222"/>
      <c r="BH19" s="222"/>
      <c r="BI19" s="246"/>
      <c r="BJ19" s="248"/>
      <c r="BK19" s="243"/>
      <c r="BL19" s="222"/>
      <c r="BM19" s="249"/>
      <c r="BN19" s="243"/>
      <c r="BO19" s="222"/>
      <c r="BP19" s="249"/>
      <c r="BQ19" s="243"/>
      <c r="BR19" s="243"/>
      <c r="BS19" s="243"/>
      <c r="BT19" s="244"/>
      <c r="BU19" s="244"/>
      <c r="BV19" s="244"/>
      <c r="BW19" s="222"/>
    </row>
    <row r="20" spans="1:79">
      <c r="A20" s="221">
        <v>9</v>
      </c>
      <c r="B20" s="222"/>
      <c r="C20" s="223"/>
      <c r="D20" s="225"/>
      <c r="E20" s="226"/>
      <c r="F20" s="226"/>
      <c r="G20" s="222"/>
      <c r="H20" s="214"/>
      <c r="I20" s="143"/>
      <c r="J20" s="143">
        <v>1</v>
      </c>
      <c r="K20" s="143">
        <v>1</v>
      </c>
      <c r="L20" s="156"/>
      <c r="M20" s="143"/>
      <c r="N20" s="143"/>
      <c r="O20" s="143"/>
      <c r="P20" s="156"/>
      <c r="Q20" s="143"/>
      <c r="R20" s="143"/>
      <c r="S20" s="143"/>
      <c r="T20" s="156"/>
      <c r="U20" s="143"/>
      <c r="V20" s="143"/>
      <c r="W20" s="143"/>
      <c r="X20" s="93"/>
      <c r="Y20" s="215">
        <f>SUM(I20:X21)</f>
        <v>2</v>
      </c>
      <c r="Z20" s="217">
        <f>COUNTIF(I20:X21,"&gt;0")</f>
        <v>2</v>
      </c>
      <c r="AA20" s="219">
        <f t="shared" ref="AA20:AA32" si="50">H20*Y20</f>
        <v>0</v>
      </c>
      <c r="AB20" s="124">
        <f>IF(AO20&lt;1000, 0, AO20)</f>
        <v>0</v>
      </c>
      <c r="AC20" s="125">
        <f ca="1">IF(IFERROR($AN20&lt;65,FALSE), IF(B20&lt;&gt;"외국인", ROUNDDOWN(AA20*$AH$1%,-1), IF(AND(AM20&lt;&gt;"", ISNUMBER(SEARCH(LEFT(SUBSTITUTE(AM20, "-",""),2), "F2_F5_F6"))), ROUNDDOWN(AA20*$AH$1%,-1), 0)),0)</f>
        <v>0</v>
      </c>
      <c r="AD20" s="126">
        <f>IF(Z20&gt;=$AJ$1,ROUNDDOWN(AA20*$AH$2%,-1),0)</f>
        <v>0</v>
      </c>
      <c r="AE20" s="214">
        <f ca="1">AB20+AC20+AB21+AC21+AD20+AD21</f>
        <v>0</v>
      </c>
      <c r="AF20" s="214">
        <f t="shared" ref="AF20" ca="1" si="51">AA20-AE20</f>
        <v>0</v>
      </c>
      <c r="AG20" s="253"/>
      <c r="AH20" s="253"/>
      <c r="AI20" s="222"/>
      <c r="AJ20" s="222"/>
      <c r="AK20" s="250"/>
      <c r="AL20" s="250"/>
      <c r="AM20" s="251"/>
      <c r="AN20" s="252" t="str">
        <f ca="1">IFERROR(DATEDIF(DATE(IF(ISNUMBER(FIND(MID( SUBSTITUTE(D20, "-",""), 7, 1), "3478")), 2000, 1900)+MID(D20,1,2), MID(D20,3,2), MID(D20,5,2)), TODAY(), "Y"),"")</f>
        <v/>
      </c>
      <c r="AO20" s="214">
        <f>ROUNDDOWN(SUM(AP20:BE21),-1)</f>
        <v>0</v>
      </c>
      <c r="AP20" s="127">
        <f t="shared" ref="AP20:BD20" si="52">IF($H20*I20&gt;150000,ROUNDDOWN(($H20*I20-150000)*6%*45%,0),0)</f>
        <v>0</v>
      </c>
      <c r="AQ20" s="128">
        <f t="shared" si="52"/>
        <v>0</v>
      </c>
      <c r="AR20" s="128">
        <f>IF($H20*K20&gt;150000,ROUNDDOWN(($H20*K20-150000)*6%*45%,0),0)</f>
        <v>0</v>
      </c>
      <c r="AS20" s="128">
        <f t="shared" si="52"/>
        <v>0</v>
      </c>
      <c r="AT20" s="128">
        <f t="shared" si="52"/>
        <v>0</v>
      </c>
      <c r="AU20" s="128">
        <f t="shared" si="52"/>
        <v>0</v>
      </c>
      <c r="AV20" s="128">
        <f t="shared" si="52"/>
        <v>0</v>
      </c>
      <c r="AW20" s="128">
        <f t="shared" si="52"/>
        <v>0</v>
      </c>
      <c r="AX20" s="128">
        <f t="shared" si="52"/>
        <v>0</v>
      </c>
      <c r="AY20" s="128">
        <f t="shared" si="52"/>
        <v>0</v>
      </c>
      <c r="AZ20" s="128">
        <f t="shared" si="52"/>
        <v>0</v>
      </c>
      <c r="BA20" s="128">
        <f t="shared" si="52"/>
        <v>0</v>
      </c>
      <c r="BB20" s="128">
        <f t="shared" si="52"/>
        <v>0</v>
      </c>
      <c r="BC20" s="128">
        <f t="shared" si="52"/>
        <v>0</v>
      </c>
      <c r="BD20" s="129">
        <f t="shared" si="52"/>
        <v>0</v>
      </c>
      <c r="BE20" s="130"/>
      <c r="BG20" s="222">
        <f t="shared" ref="BG20" si="53">C20</f>
        <v>0</v>
      </c>
      <c r="BH20" s="226"/>
      <c r="BI20" s="245"/>
      <c r="BJ20" s="255"/>
      <c r="BK20" s="243"/>
      <c r="BL20" s="222"/>
      <c r="BM20" s="249">
        <f t="shared" ref="BM20" si="54">BK20*BL20</f>
        <v>0</v>
      </c>
      <c r="BN20" s="243"/>
      <c r="BO20" s="222"/>
      <c r="BP20" s="249">
        <f t="shared" ref="BP20" si="55">BN20*BO20</f>
        <v>0</v>
      </c>
      <c r="BQ20" s="244"/>
      <c r="BR20" s="244"/>
      <c r="BS20" s="244"/>
      <c r="BT20" s="244"/>
      <c r="BU20" s="244">
        <f t="shared" ref="BU20" si="56">SUM(BR20:BT21)</f>
        <v>0</v>
      </c>
      <c r="BV20" s="244">
        <f t="shared" ref="BV20" si="57">BM20+BP20-BU20</f>
        <v>0</v>
      </c>
      <c r="BW20" s="222"/>
    </row>
    <row r="21" spans="1:79">
      <c r="A21" s="221"/>
      <c r="B21" s="222"/>
      <c r="C21" s="224"/>
      <c r="D21" s="225"/>
      <c r="E21" s="222"/>
      <c r="F21" s="222"/>
      <c r="G21" s="222"/>
      <c r="H21" s="214"/>
      <c r="I21" s="139"/>
      <c r="J21" s="155"/>
      <c r="K21" s="142"/>
      <c r="L21" s="139"/>
      <c r="M21" s="142"/>
      <c r="N21" s="139"/>
      <c r="O21" s="142"/>
      <c r="P21" s="139"/>
      <c r="Q21" s="142"/>
      <c r="R21" s="139"/>
      <c r="S21" s="142"/>
      <c r="T21" s="139"/>
      <c r="U21" s="142"/>
      <c r="V21" s="139"/>
      <c r="W21" s="142"/>
      <c r="X21" s="103"/>
      <c r="Y21" s="216"/>
      <c r="Z21" s="218"/>
      <c r="AA21" s="220"/>
      <c r="AB21" s="131">
        <f>ROUNDDOWN(AB20*10%,-1)</f>
        <v>0</v>
      </c>
      <c r="AC21" s="132">
        <f ca="1">IFERROR(IF(AND( OR(COUNTIF(I20:X21, "&gt;0")&gt;=$AJ$1, AA20&gt;=$AJ$4),AN20&lt;60,AA20&lt;=$AH$5),ROUNDDOWN(ROUNDDOWN(AA20,-3)*$AH$4%,-1),IF(AND(COUNTIF(I20:X21,"&gt;0")&gt;=$AJ$1,AN20&lt;60,AA20&gt;$AH$5),$AJ$5,0)),0)</f>
        <v>0</v>
      </c>
      <c r="AD21" s="133">
        <f>IF(Z20&gt;=$AJ$1,ROUNDDOWN(AD20*$AH$3%/($AH$2*2%),-1),0)</f>
        <v>0</v>
      </c>
      <c r="AE21" s="214"/>
      <c r="AF21" s="214"/>
      <c r="AG21" s="254"/>
      <c r="AH21" s="254"/>
      <c r="AI21" s="222"/>
      <c r="AJ21" s="222"/>
      <c r="AK21" s="250"/>
      <c r="AL21" s="250"/>
      <c r="AM21" s="251"/>
      <c r="AN21" s="252"/>
      <c r="AO21" s="214"/>
      <c r="AP21" s="134">
        <f t="shared" ref="AP21:BE21" si="58">IF($H20*I21&gt;150000,ROUNDDOWN(($H20*I21-150000)*6%*45%,0),0)</f>
        <v>0</v>
      </c>
      <c r="AQ21" s="135">
        <f t="shared" si="58"/>
        <v>0</v>
      </c>
      <c r="AR21" s="135">
        <f t="shared" si="58"/>
        <v>0</v>
      </c>
      <c r="AS21" s="135">
        <f t="shared" si="58"/>
        <v>0</v>
      </c>
      <c r="AT21" s="135">
        <f t="shared" si="58"/>
        <v>0</v>
      </c>
      <c r="AU21" s="135">
        <f t="shared" si="58"/>
        <v>0</v>
      </c>
      <c r="AV21" s="135">
        <f t="shared" si="58"/>
        <v>0</v>
      </c>
      <c r="AW21" s="135">
        <f t="shared" si="58"/>
        <v>0</v>
      </c>
      <c r="AX21" s="135">
        <f t="shared" si="58"/>
        <v>0</v>
      </c>
      <c r="AY21" s="135">
        <f t="shared" si="58"/>
        <v>0</v>
      </c>
      <c r="AZ21" s="135">
        <f t="shared" si="58"/>
        <v>0</v>
      </c>
      <c r="BA21" s="135">
        <f t="shared" si="58"/>
        <v>0</v>
      </c>
      <c r="BB21" s="135">
        <f t="shared" si="58"/>
        <v>0</v>
      </c>
      <c r="BC21" s="135">
        <f t="shared" si="58"/>
        <v>0</v>
      </c>
      <c r="BD21" s="135">
        <f t="shared" si="58"/>
        <v>0</v>
      </c>
      <c r="BE21" s="136">
        <f t="shared" si="58"/>
        <v>0</v>
      </c>
      <c r="BG21" s="222"/>
      <c r="BH21" s="222"/>
      <c r="BI21" s="246"/>
      <c r="BJ21" s="255"/>
      <c r="BK21" s="243"/>
      <c r="BL21" s="222"/>
      <c r="BM21" s="249"/>
      <c r="BN21" s="243"/>
      <c r="BO21" s="222"/>
      <c r="BP21" s="249"/>
      <c r="BQ21" s="244"/>
      <c r="BR21" s="244"/>
      <c r="BS21" s="244"/>
      <c r="BT21" s="244"/>
      <c r="BU21" s="244"/>
      <c r="BV21" s="244"/>
      <c r="BW21" s="222"/>
    </row>
    <row r="22" spans="1:79">
      <c r="A22" s="221">
        <v>10</v>
      </c>
      <c r="B22" s="222"/>
      <c r="C22" s="261"/>
      <c r="D22" s="225"/>
      <c r="E22" s="226"/>
      <c r="F22" s="226"/>
      <c r="G22" s="222"/>
      <c r="H22" s="214"/>
      <c r="I22" s="157"/>
      <c r="J22" s="143"/>
      <c r="K22" s="143"/>
      <c r="L22" s="143"/>
      <c r="M22" s="144"/>
      <c r="N22" s="143"/>
      <c r="O22" s="143"/>
      <c r="P22" s="143"/>
      <c r="Q22" s="144"/>
      <c r="R22" s="143"/>
      <c r="S22" s="143"/>
      <c r="T22" s="158"/>
      <c r="U22" s="156"/>
      <c r="V22" s="143"/>
      <c r="W22" s="143"/>
      <c r="X22" s="143"/>
      <c r="Y22" s="215">
        <f>SUM(I22:X23)</f>
        <v>3</v>
      </c>
      <c r="Z22" s="217">
        <f>COUNTIF(I22:X23,"&gt;0")</f>
        <v>3</v>
      </c>
      <c r="AA22" s="219">
        <f t="shared" si="50"/>
        <v>0</v>
      </c>
      <c r="AB22" s="124">
        <f>IF(AO22&lt;1000, 0, AO22)</f>
        <v>0</v>
      </c>
      <c r="AC22" s="125">
        <f ca="1">IF(IFERROR($AN22&lt;65,FALSE), IF(B22&lt;&gt;"외국인", ROUNDDOWN(AA22*$AH$1%,-1), IF(AND(AM22&lt;&gt;"", ISNUMBER(SEARCH(LEFT(SUBSTITUTE(AM22, "-",""),2), "F2_F5_F6"))), ROUNDDOWN(AA22*$AH$1%,-1), 0)),0)</f>
        <v>0</v>
      </c>
      <c r="AD22" s="126">
        <f>IF(Z22&gt;=$AJ$1,ROUNDDOWN(AA22*$AH$2%,-1),0)</f>
        <v>0</v>
      </c>
      <c r="AE22" s="214">
        <f ca="1">AB22+AC22+AB23+AC23+AD22+AD23</f>
        <v>0</v>
      </c>
      <c r="AF22" s="214">
        <f t="shared" ref="AF22" ca="1" si="59">AA22-AE22</f>
        <v>0</v>
      </c>
      <c r="AG22" s="253"/>
      <c r="AH22" s="253"/>
      <c r="AI22" s="222"/>
      <c r="AJ22" s="222"/>
      <c r="AK22" s="250"/>
      <c r="AL22" s="250"/>
      <c r="AM22" s="251"/>
      <c r="AN22" s="252" t="str">
        <f ca="1">IFERROR(DATEDIF(DATE(IF(ISNUMBER(FIND(MID( SUBSTITUTE(D22, "-",""), 7, 1), "3478")), 2000, 1900)+MID(D22,1,2), MID(D22,3,2), MID(D22,5,2)), TODAY(), "Y"),"")</f>
        <v/>
      </c>
      <c r="AO22" s="214">
        <f>ROUNDDOWN(SUM(AP22:BE23),-1)</f>
        <v>0</v>
      </c>
      <c r="AP22" s="127">
        <f t="shared" ref="AP22:BD22" si="60">IF($H22*I22&gt;150000,ROUNDDOWN(($H22*I22-150000)*6%*45%,0),0)</f>
        <v>0</v>
      </c>
      <c r="AQ22" s="128">
        <f t="shared" si="60"/>
        <v>0</v>
      </c>
      <c r="AR22" s="128">
        <f t="shared" si="60"/>
        <v>0</v>
      </c>
      <c r="AS22" s="128">
        <f t="shared" si="60"/>
        <v>0</v>
      </c>
      <c r="AT22" s="128">
        <f t="shared" si="60"/>
        <v>0</v>
      </c>
      <c r="AU22" s="128">
        <f t="shared" si="60"/>
        <v>0</v>
      </c>
      <c r="AV22" s="128">
        <f t="shared" si="60"/>
        <v>0</v>
      </c>
      <c r="AW22" s="128">
        <f t="shared" si="60"/>
        <v>0</v>
      </c>
      <c r="AX22" s="128">
        <f t="shared" si="60"/>
        <v>0</v>
      </c>
      <c r="AY22" s="128">
        <f t="shared" si="60"/>
        <v>0</v>
      </c>
      <c r="AZ22" s="128">
        <f t="shared" si="60"/>
        <v>0</v>
      </c>
      <c r="BA22" s="128">
        <f t="shared" si="60"/>
        <v>0</v>
      </c>
      <c r="BB22" s="128">
        <f t="shared" si="60"/>
        <v>0</v>
      </c>
      <c r="BC22" s="128">
        <f t="shared" si="60"/>
        <v>0</v>
      </c>
      <c r="BD22" s="129">
        <f t="shared" si="60"/>
        <v>0</v>
      </c>
      <c r="BE22" s="130"/>
      <c r="BG22" s="222">
        <f t="shared" ref="BG22" si="61">C22</f>
        <v>0</v>
      </c>
      <c r="BH22" s="226"/>
      <c r="BI22" s="245"/>
      <c r="BJ22" s="248"/>
      <c r="BK22" s="243"/>
      <c r="BL22" s="222"/>
      <c r="BM22" s="249">
        <f t="shared" ref="BM22" si="62">BK22*BL22</f>
        <v>0</v>
      </c>
      <c r="BN22" s="243"/>
      <c r="BO22" s="222"/>
      <c r="BP22" s="249">
        <f t="shared" ref="BP22" si="63">BN22*BO22</f>
        <v>0</v>
      </c>
      <c r="BQ22" s="243"/>
      <c r="BR22" s="243"/>
      <c r="BS22" s="243"/>
      <c r="BT22" s="244"/>
      <c r="BU22" s="244">
        <f t="shared" ref="BU22" si="64">SUM(BR22:BT23)</f>
        <v>0</v>
      </c>
      <c r="BV22" s="244">
        <f t="shared" ref="BV22" si="65">BM22+BP22-BU22</f>
        <v>0</v>
      </c>
      <c r="BW22" s="222"/>
    </row>
    <row r="23" spans="1:79">
      <c r="A23" s="221"/>
      <c r="B23" s="222"/>
      <c r="C23" s="224"/>
      <c r="D23" s="225"/>
      <c r="E23" s="222"/>
      <c r="F23" s="222"/>
      <c r="G23" s="222"/>
      <c r="H23" s="214"/>
      <c r="I23" s="139"/>
      <c r="J23" s="139"/>
      <c r="K23" s="139"/>
      <c r="L23" s="139"/>
      <c r="M23" s="139"/>
      <c r="N23" s="139"/>
      <c r="O23" s="139"/>
      <c r="P23" s="139"/>
      <c r="Q23" s="139">
        <v>1</v>
      </c>
      <c r="R23" s="139">
        <v>1</v>
      </c>
      <c r="S23" s="139">
        <v>1</v>
      </c>
      <c r="T23" s="139"/>
      <c r="U23" s="139"/>
      <c r="V23" s="139"/>
      <c r="W23" s="139"/>
      <c r="X23" s="139"/>
      <c r="Y23" s="216"/>
      <c r="Z23" s="218"/>
      <c r="AA23" s="220"/>
      <c r="AB23" s="131">
        <f>ROUNDDOWN(AB22*10%,-1)</f>
        <v>0</v>
      </c>
      <c r="AC23" s="132">
        <f ca="1">IFERROR(IF(AND( OR(COUNTIF(I22:X23, "&gt;0")&gt;=$AJ$1, AA22&gt;=$AJ$4),AN22&lt;60,AA22&lt;=$AH$5),ROUNDDOWN(ROUNDDOWN(AA22,-3)*$AH$4%,-1),IF(AND(COUNTIF(I22:X23,"&gt;0")&gt;=$AJ$1,AN22&lt;60,AA22&gt;$AH$5),$AJ$5,0)),0)</f>
        <v>0</v>
      </c>
      <c r="AD23" s="133">
        <f>IF(Z22&gt;=$AJ$1,ROUNDDOWN(AD22*$AH$3%/($AH$2*2%),-1),0)</f>
        <v>0</v>
      </c>
      <c r="AE23" s="214"/>
      <c r="AF23" s="214"/>
      <c r="AG23" s="254"/>
      <c r="AH23" s="254"/>
      <c r="AI23" s="222"/>
      <c r="AJ23" s="222"/>
      <c r="AK23" s="250"/>
      <c r="AL23" s="250"/>
      <c r="AM23" s="251"/>
      <c r="AN23" s="252"/>
      <c r="AO23" s="214"/>
      <c r="AP23" s="134">
        <f t="shared" ref="AP23:BE23" si="66">IF($H22*I23&gt;150000,ROUNDDOWN(($H22*I23-150000)*6%*45%,0),0)</f>
        <v>0</v>
      </c>
      <c r="AQ23" s="135">
        <f t="shared" si="66"/>
        <v>0</v>
      </c>
      <c r="AR23" s="135">
        <f t="shared" si="66"/>
        <v>0</v>
      </c>
      <c r="AS23" s="135">
        <f t="shared" si="66"/>
        <v>0</v>
      </c>
      <c r="AT23" s="135">
        <f t="shared" si="66"/>
        <v>0</v>
      </c>
      <c r="AU23" s="135">
        <f t="shared" si="66"/>
        <v>0</v>
      </c>
      <c r="AV23" s="135">
        <f t="shared" si="66"/>
        <v>0</v>
      </c>
      <c r="AW23" s="135">
        <f t="shared" si="66"/>
        <v>0</v>
      </c>
      <c r="AX23" s="135">
        <f t="shared" si="66"/>
        <v>0</v>
      </c>
      <c r="AY23" s="135">
        <f t="shared" si="66"/>
        <v>0</v>
      </c>
      <c r="AZ23" s="135">
        <f t="shared" si="66"/>
        <v>0</v>
      </c>
      <c r="BA23" s="135">
        <f t="shared" si="66"/>
        <v>0</v>
      </c>
      <c r="BB23" s="135">
        <f t="shared" si="66"/>
        <v>0</v>
      </c>
      <c r="BC23" s="135">
        <f t="shared" si="66"/>
        <v>0</v>
      </c>
      <c r="BD23" s="135">
        <f t="shared" si="66"/>
        <v>0</v>
      </c>
      <c r="BE23" s="136">
        <f t="shared" si="66"/>
        <v>0</v>
      </c>
      <c r="BG23" s="222"/>
      <c r="BH23" s="222"/>
      <c r="BI23" s="246"/>
      <c r="BJ23" s="248"/>
      <c r="BK23" s="243"/>
      <c r="BL23" s="222"/>
      <c r="BM23" s="249"/>
      <c r="BN23" s="243"/>
      <c r="BO23" s="222"/>
      <c r="BP23" s="249"/>
      <c r="BQ23" s="243"/>
      <c r="BR23" s="243"/>
      <c r="BS23" s="243"/>
      <c r="BT23" s="244"/>
      <c r="BU23" s="244"/>
      <c r="BV23" s="244"/>
      <c r="BW23" s="222"/>
    </row>
    <row r="24" spans="1:79">
      <c r="A24" s="221">
        <v>11</v>
      </c>
      <c r="B24" s="222"/>
      <c r="C24" s="223"/>
      <c r="D24" s="225"/>
      <c r="E24" s="222"/>
      <c r="F24" s="222"/>
      <c r="G24" s="222"/>
      <c r="H24" s="214"/>
      <c r="I24" s="145"/>
      <c r="J24" s="145"/>
      <c r="K24" s="145"/>
      <c r="L24" s="150"/>
      <c r="M24" s="145"/>
      <c r="N24" s="145"/>
      <c r="O24" s="145"/>
      <c r="P24" s="150"/>
      <c r="Q24" s="145"/>
      <c r="R24" s="145"/>
      <c r="S24" s="145"/>
      <c r="T24" s="150"/>
      <c r="U24" s="145"/>
      <c r="V24" s="145"/>
      <c r="W24" s="145"/>
      <c r="X24" s="93"/>
      <c r="Y24" s="215">
        <f>SUM(I24:X25)</f>
        <v>0</v>
      </c>
      <c r="Z24" s="217">
        <f>COUNTIF(I24:X25,"&gt;0")</f>
        <v>0</v>
      </c>
      <c r="AA24" s="219">
        <f t="shared" si="50"/>
        <v>0</v>
      </c>
      <c r="AB24" s="124">
        <f>IF(AO24&lt;1000, 0, AO24)</f>
        <v>0</v>
      </c>
      <c r="AC24" s="125">
        <f ca="1">IF(IFERROR($AN24&lt;65,FALSE), IF(B24&lt;&gt;"외국인", ROUNDDOWN(AA24*$AH$1%,-1), IF(AND(AM24&lt;&gt;"", ISNUMBER(SEARCH(LEFT(SUBSTITUTE(AM24, "-",""),2), "F2_F5_F6"))), ROUNDDOWN(AA24*$AH$1%,-1), 0)),0)</f>
        <v>0</v>
      </c>
      <c r="AD24" s="126">
        <f>IF(Z24&gt;=$AJ$1,ROUNDDOWN(AA24*$AH$2%,-1),0)</f>
        <v>0</v>
      </c>
      <c r="AE24" s="214">
        <f ca="1">AB24+AC24+AB25+AC25+AD24+AD25</f>
        <v>0</v>
      </c>
      <c r="AF24" s="214">
        <f ca="1">AA24-AE24</f>
        <v>0</v>
      </c>
      <c r="AG24" s="253"/>
      <c r="AH24" s="253"/>
      <c r="AI24" s="222"/>
      <c r="AJ24" s="222"/>
      <c r="AK24" s="250"/>
      <c r="AL24" s="250"/>
      <c r="AM24" s="251"/>
      <c r="AN24" s="252" t="str">
        <f ca="1">IFERROR(DATEDIF(DATE(IF(ISNUMBER(FIND(MID( SUBSTITUTE(D24, "-",""), 7, 1), "3478")), 2000, 1900)+MID(D24,1,2), MID(D24,3,2), MID(D24,5,2)), TODAY(), "Y"),"")</f>
        <v/>
      </c>
      <c r="AO24" s="214">
        <f>ROUNDDOWN(SUM(AP24:BE25),-1)</f>
        <v>0</v>
      </c>
      <c r="AP24" s="127">
        <f t="shared" ref="AP24:BD24" si="67">IF($H24*I24&gt;150000,ROUNDDOWN(($H24*I24-150000)*6%*45%,0),0)</f>
        <v>0</v>
      </c>
      <c r="AQ24" s="128">
        <f t="shared" si="67"/>
        <v>0</v>
      </c>
      <c r="AR24" s="128">
        <f t="shared" si="67"/>
        <v>0</v>
      </c>
      <c r="AS24" s="128">
        <f t="shared" si="67"/>
        <v>0</v>
      </c>
      <c r="AT24" s="128">
        <f t="shared" si="67"/>
        <v>0</v>
      </c>
      <c r="AU24" s="128">
        <f t="shared" si="67"/>
        <v>0</v>
      </c>
      <c r="AV24" s="128">
        <f t="shared" si="67"/>
        <v>0</v>
      </c>
      <c r="AW24" s="128">
        <f t="shared" si="67"/>
        <v>0</v>
      </c>
      <c r="AX24" s="128">
        <f t="shared" si="67"/>
        <v>0</v>
      </c>
      <c r="AY24" s="128">
        <f t="shared" si="67"/>
        <v>0</v>
      </c>
      <c r="AZ24" s="128">
        <f t="shared" si="67"/>
        <v>0</v>
      </c>
      <c r="BA24" s="128">
        <f t="shared" si="67"/>
        <v>0</v>
      </c>
      <c r="BB24" s="128">
        <f t="shared" si="67"/>
        <v>0</v>
      </c>
      <c r="BC24" s="128">
        <f t="shared" si="67"/>
        <v>0</v>
      </c>
      <c r="BD24" s="129">
        <f t="shared" si="67"/>
        <v>0</v>
      </c>
      <c r="BE24" s="130"/>
      <c r="BG24" s="222">
        <f t="shared" ref="BG24" si="68">C24</f>
        <v>0</v>
      </c>
      <c r="BH24" s="222"/>
      <c r="BI24" s="245"/>
      <c r="BJ24" s="248"/>
      <c r="BK24" s="243"/>
      <c r="BL24" s="222"/>
      <c r="BM24" s="249">
        <f t="shared" ref="BM24" si="69">BK24*BL24</f>
        <v>0</v>
      </c>
      <c r="BN24" s="243"/>
      <c r="BO24" s="222"/>
      <c r="BP24" s="249">
        <f t="shared" ref="BP24" si="70">BN24*BO24</f>
        <v>0</v>
      </c>
      <c r="BQ24" s="243"/>
      <c r="BR24" s="243"/>
      <c r="BS24" s="243"/>
      <c r="BT24" s="244"/>
      <c r="BU24" s="244">
        <f t="shared" ref="BU24" si="71">SUM(BR24:BT25)</f>
        <v>0</v>
      </c>
      <c r="BV24" s="244">
        <f t="shared" ref="BV24" si="72">BM24+BP24-BU24</f>
        <v>0</v>
      </c>
      <c r="BW24" s="222"/>
    </row>
    <row r="25" spans="1:79">
      <c r="A25" s="221"/>
      <c r="B25" s="222"/>
      <c r="C25" s="224"/>
      <c r="D25" s="225"/>
      <c r="E25" s="222"/>
      <c r="F25" s="222"/>
      <c r="G25" s="222"/>
      <c r="H25" s="214"/>
      <c r="I25" s="147"/>
      <c r="J25" s="147"/>
      <c r="K25" s="147"/>
      <c r="L25" s="147"/>
      <c r="M25" s="147"/>
      <c r="N25" s="147"/>
      <c r="O25" s="147"/>
      <c r="P25" s="147"/>
      <c r="Q25" s="147"/>
      <c r="R25" s="151"/>
      <c r="S25" s="149"/>
      <c r="T25" s="149"/>
      <c r="U25" s="149"/>
      <c r="V25" s="149"/>
      <c r="W25" s="149"/>
      <c r="X25" s="103"/>
      <c r="Y25" s="216"/>
      <c r="Z25" s="218"/>
      <c r="AA25" s="220"/>
      <c r="AB25" s="131">
        <f>ROUNDDOWN(AB24*10%,-1)</f>
        <v>0</v>
      </c>
      <c r="AC25" s="132">
        <f ca="1">IFERROR(IF(AND( OR(COUNTIF(I24:X25, "&gt;0")&gt;=$AJ$1, AA24&gt;=$AJ$4),AN24&lt;60,AA24&lt;=$AH$5),ROUNDDOWN(ROUNDDOWN(AA24,-3)*$AH$4%,-1),IF(AND(COUNTIF(I24:X25,"&gt;0")&gt;=$AJ$1,AN24&lt;60,AA24&gt;$AH$5),$AJ$5,0)),0)</f>
        <v>0</v>
      </c>
      <c r="AD25" s="133">
        <f>IF(Z24&gt;=$AJ$1,ROUNDDOWN(AD24*$AH$3%/($AH$2*2%),-1),0)</f>
        <v>0</v>
      </c>
      <c r="AE25" s="214"/>
      <c r="AF25" s="214"/>
      <c r="AG25" s="254"/>
      <c r="AH25" s="254"/>
      <c r="AI25" s="222"/>
      <c r="AJ25" s="222"/>
      <c r="AK25" s="250"/>
      <c r="AL25" s="250"/>
      <c r="AM25" s="251"/>
      <c r="AN25" s="252"/>
      <c r="AO25" s="214"/>
      <c r="AP25" s="134">
        <f t="shared" ref="AP25:BE25" si="73">IF($H24*I25&gt;150000,ROUNDDOWN(($H24*I25-150000)*6%*45%,0),0)</f>
        <v>0</v>
      </c>
      <c r="AQ25" s="135">
        <f t="shared" si="73"/>
        <v>0</v>
      </c>
      <c r="AR25" s="135">
        <f t="shared" si="73"/>
        <v>0</v>
      </c>
      <c r="AS25" s="135">
        <f t="shared" si="73"/>
        <v>0</v>
      </c>
      <c r="AT25" s="135">
        <f t="shared" si="73"/>
        <v>0</v>
      </c>
      <c r="AU25" s="135">
        <f t="shared" si="73"/>
        <v>0</v>
      </c>
      <c r="AV25" s="135">
        <f t="shared" si="73"/>
        <v>0</v>
      </c>
      <c r="AW25" s="135">
        <f t="shared" si="73"/>
        <v>0</v>
      </c>
      <c r="AX25" s="135">
        <f t="shared" si="73"/>
        <v>0</v>
      </c>
      <c r="AY25" s="135">
        <f t="shared" si="73"/>
        <v>0</v>
      </c>
      <c r="AZ25" s="135">
        <f t="shared" si="73"/>
        <v>0</v>
      </c>
      <c r="BA25" s="135">
        <f t="shared" si="73"/>
        <v>0</v>
      </c>
      <c r="BB25" s="135">
        <f t="shared" si="73"/>
        <v>0</v>
      </c>
      <c r="BC25" s="135">
        <f t="shared" si="73"/>
        <v>0</v>
      </c>
      <c r="BD25" s="135">
        <f t="shared" si="73"/>
        <v>0</v>
      </c>
      <c r="BE25" s="136">
        <f t="shared" si="73"/>
        <v>0</v>
      </c>
      <c r="BG25" s="222"/>
      <c r="BH25" s="222"/>
      <c r="BI25" s="246"/>
      <c r="BJ25" s="248"/>
      <c r="BK25" s="243"/>
      <c r="BL25" s="222"/>
      <c r="BM25" s="249"/>
      <c r="BN25" s="243"/>
      <c r="BO25" s="222"/>
      <c r="BP25" s="249"/>
      <c r="BQ25" s="243"/>
      <c r="BR25" s="243"/>
      <c r="BS25" s="243"/>
      <c r="BT25" s="244"/>
      <c r="BU25" s="244"/>
      <c r="BV25" s="244"/>
      <c r="BW25" s="222"/>
      <c r="CA25" s="138"/>
    </row>
    <row r="26" spans="1:79">
      <c r="A26" s="221">
        <v>12</v>
      </c>
      <c r="B26" s="222"/>
      <c r="C26" s="262"/>
      <c r="D26" s="225"/>
      <c r="E26" s="222"/>
      <c r="F26" s="222"/>
      <c r="G26" s="222"/>
      <c r="H26" s="214"/>
      <c r="I26" s="145"/>
      <c r="J26" s="145"/>
      <c r="K26" s="145"/>
      <c r="L26" s="150"/>
      <c r="M26" s="145"/>
      <c r="N26" s="145"/>
      <c r="O26" s="145"/>
      <c r="P26" s="150"/>
      <c r="Q26" s="145"/>
      <c r="R26" s="145"/>
      <c r="S26" s="145"/>
      <c r="T26" s="150"/>
      <c r="U26" s="145"/>
      <c r="V26" s="145"/>
      <c r="W26" s="145"/>
      <c r="X26" s="93"/>
      <c r="Y26" s="215">
        <f>SUM(I26:X27)</f>
        <v>0</v>
      </c>
      <c r="Z26" s="217">
        <f>COUNTIF(I26:X27,"&gt;0")</f>
        <v>0</v>
      </c>
      <c r="AA26" s="219">
        <f t="shared" si="50"/>
        <v>0</v>
      </c>
      <c r="AB26" s="124">
        <f>IF(AO26&lt;1000, 0, AO26)</f>
        <v>0</v>
      </c>
      <c r="AC26" s="125">
        <f ca="1">IF(IFERROR($AN26&lt;65,FALSE), IF(B26&lt;&gt;"외국인", ROUNDDOWN(AA26*$AH$1%,-1), IF(AND(AM26&lt;&gt;"", ISNUMBER(SEARCH(LEFT(SUBSTITUTE(AM26, "-",""),2), "F2_F5_F6"))), ROUNDDOWN(AA26*$AH$1%,-1), 0)),0)</f>
        <v>0</v>
      </c>
      <c r="AD26" s="126">
        <f>IF(Z26&gt;=$AJ$1,ROUNDDOWN(AA26*$AH$2%,-1),0)</f>
        <v>0</v>
      </c>
      <c r="AE26" s="214">
        <f ca="1">AB26+AC26+AB27+AC27+AD26+AD27</f>
        <v>0</v>
      </c>
      <c r="AF26" s="214">
        <f ca="1">AA26-AE26</f>
        <v>0</v>
      </c>
      <c r="AG26" s="222"/>
      <c r="AH26" s="222"/>
      <c r="AI26" s="222"/>
      <c r="AJ26" s="222"/>
      <c r="AK26" s="250"/>
      <c r="AL26" s="250"/>
      <c r="AM26" s="251"/>
      <c r="AN26" s="252" t="str">
        <f ca="1">IFERROR(DATEDIF(DATE(IF(ISNUMBER(FIND(MID( SUBSTITUTE(D26, "-",""), 7, 1), "3478")), 2000, 1900)+MID(D26,1,2), MID(D26,3,2), MID(D26,5,2)), TODAY(), "Y"),"")</f>
        <v/>
      </c>
      <c r="AO26" s="214">
        <f>ROUNDDOWN(SUM(AP26:BE27),-1)</f>
        <v>0</v>
      </c>
      <c r="AP26" s="127">
        <f t="shared" ref="AP26:BD26" si="74">IF($H26*I26&gt;150000,ROUNDDOWN(($H26*I26-150000)*6%*45%,0),0)</f>
        <v>0</v>
      </c>
      <c r="AQ26" s="128">
        <f t="shared" si="74"/>
        <v>0</v>
      </c>
      <c r="AR26" s="128">
        <f t="shared" si="74"/>
        <v>0</v>
      </c>
      <c r="AS26" s="128">
        <f t="shared" si="74"/>
        <v>0</v>
      </c>
      <c r="AT26" s="128">
        <f t="shared" si="74"/>
        <v>0</v>
      </c>
      <c r="AU26" s="128">
        <f t="shared" si="74"/>
        <v>0</v>
      </c>
      <c r="AV26" s="128">
        <f t="shared" si="74"/>
        <v>0</v>
      </c>
      <c r="AW26" s="128">
        <f t="shared" si="74"/>
        <v>0</v>
      </c>
      <c r="AX26" s="128">
        <f t="shared" si="74"/>
        <v>0</v>
      </c>
      <c r="AY26" s="128">
        <f t="shared" si="74"/>
        <v>0</v>
      </c>
      <c r="AZ26" s="128">
        <f t="shared" si="74"/>
        <v>0</v>
      </c>
      <c r="BA26" s="128">
        <f t="shared" si="74"/>
        <v>0</v>
      </c>
      <c r="BB26" s="128">
        <f t="shared" si="74"/>
        <v>0</v>
      </c>
      <c r="BC26" s="128">
        <f t="shared" si="74"/>
        <v>0</v>
      </c>
      <c r="BD26" s="129">
        <f t="shared" si="74"/>
        <v>0</v>
      </c>
      <c r="BE26" s="130"/>
      <c r="BG26" s="222">
        <f t="shared" ref="BG26" si="75">C26</f>
        <v>0</v>
      </c>
      <c r="BH26" s="222"/>
      <c r="BI26" s="245"/>
      <c r="BJ26" s="248"/>
      <c r="BK26" s="243"/>
      <c r="BL26" s="222"/>
      <c r="BM26" s="249">
        <f t="shared" ref="BM26" si="76">BK26*BL26</f>
        <v>0</v>
      </c>
      <c r="BN26" s="243"/>
      <c r="BO26" s="222"/>
      <c r="BP26" s="249">
        <f t="shared" ref="BP26" si="77">BN26*BO26</f>
        <v>0</v>
      </c>
      <c r="BQ26" s="243"/>
      <c r="BR26" s="243"/>
      <c r="BS26" s="243"/>
      <c r="BT26" s="244"/>
      <c r="BU26" s="244">
        <f t="shared" ref="BU26" si="78">SUM(BR26:BT27)</f>
        <v>0</v>
      </c>
      <c r="BV26" s="244">
        <f t="shared" ref="BV26" si="79">BM26+BP26-BU26</f>
        <v>0</v>
      </c>
      <c r="BW26" s="222"/>
    </row>
    <row r="27" spans="1:79">
      <c r="A27" s="221"/>
      <c r="B27" s="222"/>
      <c r="C27" s="263"/>
      <c r="D27" s="225"/>
      <c r="E27" s="222"/>
      <c r="F27" s="222"/>
      <c r="G27" s="222"/>
      <c r="H27" s="214"/>
      <c r="I27" s="152"/>
      <c r="J27" s="152"/>
      <c r="K27" s="152"/>
      <c r="L27" s="152"/>
      <c r="M27" s="152"/>
      <c r="N27" s="152"/>
      <c r="O27" s="152"/>
      <c r="P27" s="152"/>
      <c r="Q27" s="152"/>
      <c r="R27" s="152"/>
      <c r="S27" s="152"/>
      <c r="T27" s="152"/>
      <c r="U27" s="152"/>
      <c r="V27" s="153"/>
      <c r="W27" s="154"/>
      <c r="X27" s="103"/>
      <c r="Y27" s="216"/>
      <c r="Z27" s="218"/>
      <c r="AA27" s="220"/>
      <c r="AB27" s="131">
        <f>ROUNDDOWN(AB26*10%,-1)</f>
        <v>0</v>
      </c>
      <c r="AC27" s="132">
        <f ca="1">IFERROR(IF(AND( OR(COUNTIF(I26:X27, "&gt;0")&gt;=$AJ$1, AA26&gt;=$AJ$4),AN26&lt;60,AA26&lt;=$AH$5),ROUNDDOWN(ROUNDDOWN(AA26,-3)*$AH$4%,-1),IF(AND(COUNTIF(I26:X27,"&gt;0")&gt;=$AJ$1,AN26&lt;60,AA26&gt;$AH$5),$AJ$5,0)),0)</f>
        <v>0</v>
      </c>
      <c r="AD27" s="133">
        <f>IF(Z26&gt;=$AJ$1,ROUNDDOWN(AD26*$AH$3%/($AH$2*2%),-1),0)</f>
        <v>0</v>
      </c>
      <c r="AE27" s="214"/>
      <c r="AF27" s="214"/>
      <c r="AG27" s="222"/>
      <c r="AH27" s="222"/>
      <c r="AI27" s="222"/>
      <c r="AJ27" s="222"/>
      <c r="AK27" s="250"/>
      <c r="AL27" s="250"/>
      <c r="AM27" s="251"/>
      <c r="AN27" s="252"/>
      <c r="AO27" s="214"/>
      <c r="AP27" s="134">
        <f t="shared" ref="AP27:BE27" si="80">IF($H26*I27&gt;150000,ROUNDDOWN(($H26*I27-150000)*6%*45%,0),0)</f>
        <v>0</v>
      </c>
      <c r="AQ27" s="135">
        <f t="shared" si="80"/>
        <v>0</v>
      </c>
      <c r="AR27" s="135">
        <f t="shared" si="80"/>
        <v>0</v>
      </c>
      <c r="AS27" s="135">
        <f t="shared" si="80"/>
        <v>0</v>
      </c>
      <c r="AT27" s="135">
        <f t="shared" si="80"/>
        <v>0</v>
      </c>
      <c r="AU27" s="135">
        <f t="shared" si="80"/>
        <v>0</v>
      </c>
      <c r="AV27" s="135">
        <f t="shared" si="80"/>
        <v>0</v>
      </c>
      <c r="AW27" s="135">
        <f t="shared" si="80"/>
        <v>0</v>
      </c>
      <c r="AX27" s="135">
        <f t="shared" si="80"/>
        <v>0</v>
      </c>
      <c r="AY27" s="135">
        <f t="shared" si="80"/>
        <v>0</v>
      </c>
      <c r="AZ27" s="135">
        <f t="shared" si="80"/>
        <v>0</v>
      </c>
      <c r="BA27" s="135">
        <f t="shared" si="80"/>
        <v>0</v>
      </c>
      <c r="BB27" s="135">
        <f t="shared" si="80"/>
        <v>0</v>
      </c>
      <c r="BC27" s="135">
        <f t="shared" si="80"/>
        <v>0</v>
      </c>
      <c r="BD27" s="135">
        <f t="shared" si="80"/>
        <v>0</v>
      </c>
      <c r="BE27" s="136">
        <f t="shared" si="80"/>
        <v>0</v>
      </c>
      <c r="BG27" s="222"/>
      <c r="BH27" s="222"/>
      <c r="BI27" s="246"/>
      <c r="BJ27" s="248"/>
      <c r="BK27" s="243"/>
      <c r="BL27" s="222"/>
      <c r="BM27" s="249"/>
      <c r="BN27" s="243"/>
      <c r="BO27" s="222"/>
      <c r="BP27" s="249"/>
      <c r="BQ27" s="243"/>
      <c r="BR27" s="243"/>
      <c r="BS27" s="243"/>
      <c r="BT27" s="244"/>
      <c r="BU27" s="244"/>
      <c r="BV27" s="244"/>
      <c r="BW27" s="222"/>
    </row>
    <row r="28" spans="1:79">
      <c r="A28" s="221">
        <v>13</v>
      </c>
      <c r="B28" s="222" t="str">
        <f>IF(LEN(D28)&gt;1,IF(VALUE(MID(RIGHT(D28,7),1,1))&gt;4,"외국인",IF(VALUE(RIGHT(11-MOD((MID(D28,1,1)*2+MID(D28,2,1)*3+MID(D28,3,1)*4+MID(D28,4,1)*5+MID(D28,5,1)*6+MID(D28,6,1)*7+MID(RIGHT(D28,7),1,1)*8+MID(RIGHT(D28,7),2,1)*9+MID(RIGHT(D28,7),3,1)*2+MID(RIGHT(D28,7),4,1)*3+MID(RIGHT(D28,7),5,1)*4+MID(RIGHT(D28,7),6,1)*5),11),1))=VALUE(RIGHT(D28,1)),"","오류")),"")</f>
        <v/>
      </c>
      <c r="C28" s="262"/>
      <c r="D28" s="225"/>
      <c r="E28" s="222"/>
      <c r="F28" s="222"/>
      <c r="G28" s="222"/>
      <c r="H28" s="214"/>
      <c r="I28" s="89"/>
      <c r="J28" s="90"/>
      <c r="K28" s="90"/>
      <c r="L28" s="90"/>
      <c r="M28" s="90"/>
      <c r="N28" s="90"/>
      <c r="O28" s="90"/>
      <c r="P28" s="90"/>
      <c r="Q28" s="90"/>
      <c r="R28" s="90"/>
      <c r="S28" s="91"/>
      <c r="T28" s="91"/>
      <c r="U28" s="90"/>
      <c r="V28" s="90"/>
      <c r="W28" s="92"/>
      <c r="X28" s="93"/>
      <c r="Y28" s="264">
        <f>SUM(I28:X29)</f>
        <v>0</v>
      </c>
      <c r="Z28" s="222">
        <f>COUNTIF(I28:X29,"&gt;0")</f>
        <v>0</v>
      </c>
      <c r="AA28" s="219">
        <f t="shared" si="50"/>
        <v>0</v>
      </c>
      <c r="AB28" s="124">
        <f>IF(AO28&lt;1000, 0, AO28)</f>
        <v>0</v>
      </c>
      <c r="AC28" s="125">
        <f ca="1">IF(IFERROR($AN28&lt;65,FALSE), IF(B28&lt;&gt;"외국인", ROUNDDOWN(AA28*$AH$1%,-1), IF(AND(AM28&lt;&gt;"", ISNUMBER(SEARCH(LEFT(SUBSTITUTE(AM28, "-",""),2), "F2_F5_F6"))), ROUNDDOWN(AA28*$AH$1%,-1), 0)),0)</f>
        <v>0</v>
      </c>
      <c r="AD28" s="126">
        <f>IF(Z28&gt;=$AJ$1,ROUNDDOWN(AA28*$AH$2%,-1),0)</f>
        <v>0</v>
      </c>
      <c r="AE28" s="214">
        <f ca="1">AB28+AC28+AB29+AC29+AD28+AD29</f>
        <v>0</v>
      </c>
      <c r="AF28" s="214">
        <f ca="1">AA28-AE28</f>
        <v>0</v>
      </c>
      <c r="AG28" s="222"/>
      <c r="AH28" s="222"/>
      <c r="AI28" s="222"/>
      <c r="AJ28" s="222"/>
      <c r="AK28" s="250"/>
      <c r="AL28" s="250"/>
      <c r="AM28" s="251"/>
      <c r="AN28" s="252" t="str">
        <f ca="1">IFERROR(DATEDIF(DATE(IF(ISNUMBER(FIND(MID( SUBSTITUTE(D28, "-",""), 7, 1), "3478")), 2000, 1900)+MID(D28,1,2), MID(D28,3,2), MID(D28,5,2)), TODAY(), "Y"),"")</f>
        <v/>
      </c>
      <c r="AO28" s="214">
        <f>ROUNDDOWN(SUM(AP28:BE29),-1)</f>
        <v>0</v>
      </c>
      <c r="AP28" s="127">
        <f t="shared" ref="AP28:BD28" si="81">IF($H28*I28&gt;150000,ROUNDDOWN(($H28*I28-150000)*6%*45%,0),0)</f>
        <v>0</v>
      </c>
      <c r="AQ28" s="128">
        <f t="shared" si="81"/>
        <v>0</v>
      </c>
      <c r="AR28" s="128">
        <f t="shared" si="81"/>
        <v>0</v>
      </c>
      <c r="AS28" s="128">
        <f t="shared" si="81"/>
        <v>0</v>
      </c>
      <c r="AT28" s="128">
        <f t="shared" si="81"/>
        <v>0</v>
      </c>
      <c r="AU28" s="128">
        <f t="shared" si="81"/>
        <v>0</v>
      </c>
      <c r="AV28" s="128">
        <f t="shared" si="81"/>
        <v>0</v>
      </c>
      <c r="AW28" s="128">
        <f t="shared" si="81"/>
        <v>0</v>
      </c>
      <c r="AX28" s="128">
        <f t="shared" si="81"/>
        <v>0</v>
      </c>
      <c r="AY28" s="128">
        <f t="shared" si="81"/>
        <v>0</v>
      </c>
      <c r="AZ28" s="128">
        <f t="shared" si="81"/>
        <v>0</v>
      </c>
      <c r="BA28" s="128">
        <f t="shared" si="81"/>
        <v>0</v>
      </c>
      <c r="BB28" s="128">
        <f t="shared" si="81"/>
        <v>0</v>
      </c>
      <c r="BC28" s="128">
        <f t="shared" si="81"/>
        <v>0</v>
      </c>
      <c r="BD28" s="129">
        <f t="shared" si="81"/>
        <v>0</v>
      </c>
      <c r="BE28" s="130"/>
      <c r="BG28" s="222">
        <f t="shared" ref="BG28" si="82">C28</f>
        <v>0</v>
      </c>
      <c r="BH28" s="222"/>
      <c r="BI28" s="245"/>
      <c r="BJ28" s="248"/>
      <c r="BK28" s="243"/>
      <c r="BL28" s="222"/>
      <c r="BM28" s="249">
        <f t="shared" ref="BM28" si="83">BK28*BL28</f>
        <v>0</v>
      </c>
      <c r="BN28" s="243"/>
      <c r="BO28" s="222"/>
      <c r="BP28" s="249">
        <f t="shared" ref="BP28" si="84">BN28*BO28</f>
        <v>0</v>
      </c>
      <c r="BQ28" s="243"/>
      <c r="BR28" s="243"/>
      <c r="BS28" s="243"/>
      <c r="BT28" s="244"/>
      <c r="BU28" s="244">
        <f t="shared" ref="BU28" si="85">SUM(BR28:BT29)</f>
        <v>0</v>
      </c>
      <c r="BV28" s="244">
        <f t="shared" ref="BV28" si="86">BM28+BP28-BU28</f>
        <v>0</v>
      </c>
      <c r="BW28" s="222"/>
    </row>
    <row r="29" spans="1:79">
      <c r="A29" s="221"/>
      <c r="B29" s="222"/>
      <c r="C29" s="263"/>
      <c r="D29" s="225"/>
      <c r="E29" s="222"/>
      <c r="F29" s="222"/>
      <c r="G29" s="222"/>
      <c r="H29" s="214"/>
      <c r="I29" s="101"/>
      <c r="J29" s="102"/>
      <c r="K29" s="102"/>
      <c r="L29" s="102"/>
      <c r="M29" s="102"/>
      <c r="N29" s="102"/>
      <c r="O29" s="102"/>
      <c r="P29" s="102"/>
      <c r="Q29" s="102"/>
      <c r="R29" s="102"/>
      <c r="S29" s="102"/>
      <c r="T29" s="102"/>
      <c r="U29" s="102"/>
      <c r="V29" s="102"/>
      <c r="W29" s="102"/>
      <c r="X29" s="103"/>
      <c r="Y29" s="264"/>
      <c r="Z29" s="222"/>
      <c r="AA29" s="220"/>
      <c r="AB29" s="131">
        <f>ROUNDDOWN(AB28*10%,-1)</f>
        <v>0</v>
      </c>
      <c r="AC29" s="132">
        <f ca="1">IFERROR(IF(AND( OR(COUNTIF(I28:X29, "&gt;0")&gt;=$AJ$1, AA28&gt;=$AJ$4),AN28&lt;60,AA28&lt;=$AH$5),ROUNDDOWN(ROUNDDOWN(AA28,-3)*$AH$4%,-1),IF(AND(COUNTIF(I28:X29,"&gt;0")&gt;=$AJ$1,AN28&lt;60,AA28&gt;$AH$5),$AJ$5,0)),0)</f>
        <v>0</v>
      </c>
      <c r="AD29" s="133">
        <f>IF(Z28&gt;=$AJ$1,ROUNDDOWN(AD28*$AH$3%/($AH$2*2%),-1),0)</f>
        <v>0</v>
      </c>
      <c r="AE29" s="214"/>
      <c r="AF29" s="214"/>
      <c r="AG29" s="222"/>
      <c r="AH29" s="222"/>
      <c r="AI29" s="222"/>
      <c r="AJ29" s="222"/>
      <c r="AK29" s="250"/>
      <c r="AL29" s="250"/>
      <c r="AM29" s="251"/>
      <c r="AN29" s="252"/>
      <c r="AO29" s="214"/>
      <c r="AP29" s="134">
        <f t="shared" ref="AP29:BE29" si="87">IF($H28*I29&gt;150000,ROUNDDOWN(($H28*I29-150000)*6%*45%,0),0)</f>
        <v>0</v>
      </c>
      <c r="AQ29" s="135">
        <f t="shared" si="87"/>
        <v>0</v>
      </c>
      <c r="AR29" s="135">
        <f t="shared" si="87"/>
        <v>0</v>
      </c>
      <c r="AS29" s="135">
        <f t="shared" si="87"/>
        <v>0</v>
      </c>
      <c r="AT29" s="135">
        <f t="shared" si="87"/>
        <v>0</v>
      </c>
      <c r="AU29" s="135">
        <f t="shared" si="87"/>
        <v>0</v>
      </c>
      <c r="AV29" s="135">
        <f t="shared" si="87"/>
        <v>0</v>
      </c>
      <c r="AW29" s="135">
        <f t="shared" si="87"/>
        <v>0</v>
      </c>
      <c r="AX29" s="135">
        <f t="shared" si="87"/>
        <v>0</v>
      </c>
      <c r="AY29" s="135">
        <f t="shared" si="87"/>
        <v>0</v>
      </c>
      <c r="AZ29" s="135">
        <f t="shared" si="87"/>
        <v>0</v>
      </c>
      <c r="BA29" s="135">
        <f t="shared" si="87"/>
        <v>0</v>
      </c>
      <c r="BB29" s="135">
        <f t="shared" si="87"/>
        <v>0</v>
      </c>
      <c r="BC29" s="135">
        <f t="shared" si="87"/>
        <v>0</v>
      </c>
      <c r="BD29" s="135">
        <f t="shared" si="87"/>
        <v>0</v>
      </c>
      <c r="BE29" s="136">
        <f t="shared" si="87"/>
        <v>0</v>
      </c>
      <c r="BG29" s="222"/>
      <c r="BH29" s="222"/>
      <c r="BI29" s="246"/>
      <c r="BJ29" s="248"/>
      <c r="BK29" s="243"/>
      <c r="BL29" s="222"/>
      <c r="BM29" s="249"/>
      <c r="BN29" s="243"/>
      <c r="BO29" s="222"/>
      <c r="BP29" s="249"/>
      <c r="BQ29" s="243"/>
      <c r="BR29" s="243"/>
      <c r="BS29" s="243"/>
      <c r="BT29" s="244"/>
      <c r="BU29" s="244"/>
      <c r="BV29" s="244"/>
      <c r="BW29" s="222"/>
    </row>
    <row r="30" spans="1:79">
      <c r="A30" s="221">
        <v>14</v>
      </c>
      <c r="B30" s="222" t="str">
        <f>IF(LEN(D30)&gt;1,IF(VALUE(MID(RIGHT(D30,7),1,1))&gt;4,"외국인",IF(VALUE(RIGHT(11-MOD((MID(D30,1,1)*2+MID(D30,2,1)*3+MID(D30,3,1)*4+MID(D30,4,1)*5+MID(D30,5,1)*6+MID(D30,6,1)*7+MID(RIGHT(D30,7),1,1)*8+MID(RIGHT(D30,7),2,1)*9+MID(RIGHT(D30,7),3,1)*2+MID(RIGHT(D30,7),4,1)*3+MID(RIGHT(D30,7),5,1)*4+MID(RIGHT(D30,7),6,1)*5),11),1))=VALUE(RIGHT(D30,1)),"","오류")),"")</f>
        <v/>
      </c>
      <c r="C30" s="262"/>
      <c r="D30" s="225"/>
      <c r="E30" s="222"/>
      <c r="F30" s="222"/>
      <c r="G30" s="222"/>
      <c r="H30" s="214"/>
      <c r="I30" s="89"/>
      <c r="J30" s="90"/>
      <c r="K30" s="90"/>
      <c r="L30" s="90"/>
      <c r="M30" s="90"/>
      <c r="N30" s="90"/>
      <c r="O30" s="90"/>
      <c r="P30" s="90"/>
      <c r="Q30" s="90"/>
      <c r="R30" s="90"/>
      <c r="S30" s="91"/>
      <c r="T30" s="91"/>
      <c r="U30" s="90"/>
      <c r="V30" s="90"/>
      <c r="W30" s="92"/>
      <c r="X30" s="93"/>
      <c r="Y30" s="264">
        <f>SUM(I30:X31)</f>
        <v>0</v>
      </c>
      <c r="Z30" s="222">
        <f>COUNTIF(I30:X31,"&gt;0")</f>
        <v>0</v>
      </c>
      <c r="AA30" s="219">
        <f t="shared" si="50"/>
        <v>0</v>
      </c>
      <c r="AB30" s="124">
        <f>IF(AO30&lt;1000, 0, AO30)</f>
        <v>0</v>
      </c>
      <c r="AC30" s="125">
        <f ca="1">IF(IFERROR($AN30&lt;65,FALSE), IF(B30&lt;&gt;"외국인", ROUNDDOWN(AA30*$AH$1%,-1), IF(AND(AM30&lt;&gt;"", ISNUMBER(SEARCH(LEFT(SUBSTITUTE(AM30, "-",""),2), "F2_F5_F6"))), ROUNDDOWN(AA30*$AH$1%,-1), 0)),0)</f>
        <v>0</v>
      </c>
      <c r="AD30" s="126">
        <f>IF(Z30&gt;=$AJ$1,ROUNDDOWN(AA30*$AH$2%,-1),0)</f>
        <v>0</v>
      </c>
      <c r="AE30" s="214">
        <f ca="1">AB30+AC30+AB31+AC31+AD30+AD31</f>
        <v>0</v>
      </c>
      <c r="AF30" s="214">
        <f ca="1">AA30-AE30</f>
        <v>0</v>
      </c>
      <c r="AG30" s="222"/>
      <c r="AH30" s="222"/>
      <c r="AI30" s="222"/>
      <c r="AJ30" s="222"/>
      <c r="AK30" s="250"/>
      <c r="AL30" s="250"/>
      <c r="AM30" s="251"/>
      <c r="AN30" s="252" t="str">
        <f ca="1">IFERROR(DATEDIF(DATE(IF(ISNUMBER(FIND(MID( SUBSTITUTE(D30, "-",""), 7, 1), "3478")), 2000, 1900)+MID(D30,1,2), MID(D30,3,2), MID(D30,5,2)), TODAY(), "Y"),"")</f>
        <v/>
      </c>
      <c r="AO30" s="214">
        <f>ROUNDDOWN(SUM(AP30:BE31),-1)</f>
        <v>0</v>
      </c>
      <c r="AP30" s="127">
        <f t="shared" ref="AP30:BD30" si="88">IF($H30*I30&gt;150000,ROUNDDOWN(($H30*I30-150000)*6%*45%,0),0)</f>
        <v>0</v>
      </c>
      <c r="AQ30" s="128">
        <f t="shared" si="88"/>
        <v>0</v>
      </c>
      <c r="AR30" s="128">
        <f t="shared" si="88"/>
        <v>0</v>
      </c>
      <c r="AS30" s="128">
        <f t="shared" si="88"/>
        <v>0</v>
      </c>
      <c r="AT30" s="128">
        <f t="shared" si="88"/>
        <v>0</v>
      </c>
      <c r="AU30" s="128">
        <f t="shared" si="88"/>
        <v>0</v>
      </c>
      <c r="AV30" s="128">
        <f t="shared" si="88"/>
        <v>0</v>
      </c>
      <c r="AW30" s="128">
        <f t="shared" si="88"/>
        <v>0</v>
      </c>
      <c r="AX30" s="128">
        <f t="shared" si="88"/>
        <v>0</v>
      </c>
      <c r="AY30" s="128">
        <f t="shared" si="88"/>
        <v>0</v>
      </c>
      <c r="AZ30" s="128">
        <f t="shared" si="88"/>
        <v>0</v>
      </c>
      <c r="BA30" s="128">
        <f t="shared" si="88"/>
        <v>0</v>
      </c>
      <c r="BB30" s="128">
        <f t="shared" si="88"/>
        <v>0</v>
      </c>
      <c r="BC30" s="128">
        <f t="shared" si="88"/>
        <v>0</v>
      </c>
      <c r="BD30" s="129">
        <f t="shared" si="88"/>
        <v>0</v>
      </c>
      <c r="BE30" s="130"/>
      <c r="BG30" s="222">
        <f t="shared" ref="BG30" si="89">C30</f>
        <v>0</v>
      </c>
      <c r="BH30" s="222"/>
      <c r="BI30" s="245"/>
      <c r="BJ30" s="248"/>
      <c r="BK30" s="243"/>
      <c r="BL30" s="222"/>
      <c r="BM30" s="249">
        <f t="shared" ref="BM30" si="90">BK30*BL30</f>
        <v>0</v>
      </c>
      <c r="BN30" s="243"/>
      <c r="BO30" s="222"/>
      <c r="BP30" s="249">
        <f t="shared" ref="BP30" si="91">BN30*BO30</f>
        <v>0</v>
      </c>
      <c r="BQ30" s="243"/>
      <c r="BR30" s="243"/>
      <c r="BS30" s="243"/>
      <c r="BT30" s="244"/>
      <c r="BU30" s="244">
        <f t="shared" ref="BU30" si="92">SUM(BR30:BT31)</f>
        <v>0</v>
      </c>
      <c r="BV30" s="244">
        <f t="shared" ref="BV30" si="93">BM30+BP30-BU30</f>
        <v>0</v>
      </c>
      <c r="BW30" s="222"/>
    </row>
    <row r="31" spans="1:79">
      <c r="A31" s="221"/>
      <c r="B31" s="222"/>
      <c r="C31" s="263"/>
      <c r="D31" s="225"/>
      <c r="E31" s="222"/>
      <c r="F31" s="222"/>
      <c r="G31" s="222"/>
      <c r="H31" s="214"/>
      <c r="I31" s="101"/>
      <c r="J31" s="102"/>
      <c r="K31" s="102"/>
      <c r="L31" s="102"/>
      <c r="M31" s="102"/>
      <c r="N31" s="102"/>
      <c r="O31" s="102"/>
      <c r="P31" s="102"/>
      <c r="Q31" s="102"/>
      <c r="R31" s="102"/>
      <c r="S31" s="102"/>
      <c r="T31" s="102"/>
      <c r="U31" s="102"/>
      <c r="V31" s="102"/>
      <c r="W31" s="102"/>
      <c r="X31" s="103"/>
      <c r="Y31" s="264"/>
      <c r="Z31" s="222"/>
      <c r="AA31" s="220"/>
      <c r="AB31" s="131">
        <f>ROUNDDOWN(AB30*10%,-1)</f>
        <v>0</v>
      </c>
      <c r="AC31" s="132">
        <f ca="1">IFERROR(IF(AND( OR(COUNTIF(I30:X31, "&gt;0")&gt;=$AJ$1, AA30&gt;=$AJ$4),AN30&lt;60,AA30&lt;=$AH$5),ROUNDDOWN(ROUNDDOWN(AA30,-3)*$AH$4%,-1),IF(AND(COUNTIF(I30:X31,"&gt;0")&gt;=$AJ$1,AN30&lt;60,AA30&gt;$AH$5),$AJ$5,0)),0)</f>
        <v>0</v>
      </c>
      <c r="AD31" s="133">
        <f>IF(Z30&gt;=$AJ$1,ROUNDDOWN(AD30*$AH$3%/($AH$2*2%),-1),0)</f>
        <v>0</v>
      </c>
      <c r="AE31" s="214"/>
      <c r="AF31" s="214"/>
      <c r="AG31" s="222"/>
      <c r="AH31" s="222"/>
      <c r="AI31" s="222"/>
      <c r="AJ31" s="222"/>
      <c r="AK31" s="250"/>
      <c r="AL31" s="250"/>
      <c r="AM31" s="251"/>
      <c r="AN31" s="252"/>
      <c r="AO31" s="214"/>
      <c r="AP31" s="134">
        <f t="shared" ref="AP31:BE31" si="94">IF($H30*I31&gt;150000,ROUNDDOWN(($H30*I31-150000)*6%*45%,0),0)</f>
        <v>0</v>
      </c>
      <c r="AQ31" s="135">
        <f t="shared" si="94"/>
        <v>0</v>
      </c>
      <c r="AR31" s="135">
        <f t="shared" si="94"/>
        <v>0</v>
      </c>
      <c r="AS31" s="135">
        <f t="shared" si="94"/>
        <v>0</v>
      </c>
      <c r="AT31" s="135">
        <f t="shared" si="94"/>
        <v>0</v>
      </c>
      <c r="AU31" s="135">
        <f t="shared" si="94"/>
        <v>0</v>
      </c>
      <c r="AV31" s="135">
        <f t="shared" si="94"/>
        <v>0</v>
      </c>
      <c r="AW31" s="135">
        <f t="shared" si="94"/>
        <v>0</v>
      </c>
      <c r="AX31" s="135">
        <f t="shared" si="94"/>
        <v>0</v>
      </c>
      <c r="AY31" s="135">
        <f t="shared" si="94"/>
        <v>0</v>
      </c>
      <c r="AZ31" s="135">
        <f t="shared" si="94"/>
        <v>0</v>
      </c>
      <c r="BA31" s="135">
        <f t="shared" si="94"/>
        <v>0</v>
      </c>
      <c r="BB31" s="135">
        <f t="shared" si="94"/>
        <v>0</v>
      </c>
      <c r="BC31" s="135">
        <f t="shared" si="94"/>
        <v>0</v>
      </c>
      <c r="BD31" s="135">
        <f t="shared" si="94"/>
        <v>0</v>
      </c>
      <c r="BE31" s="136">
        <f t="shared" si="94"/>
        <v>0</v>
      </c>
      <c r="BG31" s="222"/>
      <c r="BH31" s="222"/>
      <c r="BI31" s="246"/>
      <c r="BJ31" s="248"/>
      <c r="BK31" s="243"/>
      <c r="BL31" s="222"/>
      <c r="BM31" s="249"/>
      <c r="BN31" s="243"/>
      <c r="BO31" s="222"/>
      <c r="BP31" s="249"/>
      <c r="BQ31" s="243"/>
      <c r="BR31" s="243"/>
      <c r="BS31" s="243"/>
      <c r="BT31" s="244"/>
      <c r="BU31" s="244"/>
      <c r="BV31" s="244"/>
      <c r="BW31" s="222"/>
    </row>
    <row r="32" spans="1:79" ht="14.5" customHeight="1">
      <c r="A32" s="221">
        <v>15</v>
      </c>
      <c r="B32" s="222" t="str">
        <f>IF(LEN(D32)&gt;1,IF(VALUE(MID(RIGHT(D32,7),1,1))&gt;4,"외국인",IF(VALUE(RIGHT(11-MOD((MID(D32,1,1)*2+MID(D32,2,1)*3+MID(D32,3,1)*4+MID(D32,4,1)*5+MID(D32,5,1)*6+MID(D32,6,1)*7+MID(RIGHT(D32,7),1,1)*8+MID(RIGHT(D32,7),2,1)*9+MID(RIGHT(D32,7),3,1)*2+MID(RIGHT(D32,7),4,1)*3+MID(RIGHT(D32,7),5,1)*4+MID(RIGHT(D32,7),6,1)*5),11),1))=VALUE(RIGHT(D32,1)),"","오류")),"")</f>
        <v/>
      </c>
      <c r="C32" s="262"/>
      <c r="D32" s="225"/>
      <c r="E32" s="222"/>
      <c r="F32" s="222"/>
      <c r="G32" s="222"/>
      <c r="H32" s="214"/>
      <c r="I32" s="89"/>
      <c r="J32" s="90"/>
      <c r="K32" s="90"/>
      <c r="L32" s="90"/>
      <c r="M32" s="90"/>
      <c r="N32" s="90"/>
      <c r="O32" s="90"/>
      <c r="P32" s="90"/>
      <c r="Q32" s="90"/>
      <c r="R32" s="90"/>
      <c r="S32" s="91"/>
      <c r="T32" s="91"/>
      <c r="U32" s="90"/>
      <c r="V32" s="90"/>
      <c r="W32" s="92"/>
      <c r="X32" s="93"/>
      <c r="Y32" s="264">
        <f>SUM(I32:X33)</f>
        <v>0</v>
      </c>
      <c r="Z32" s="222">
        <f>COUNTIF(I32:X33,"&gt;0")</f>
        <v>0</v>
      </c>
      <c r="AA32" s="219">
        <f t="shared" si="50"/>
        <v>0</v>
      </c>
      <c r="AB32" s="124">
        <f>IF(AO32&lt;1000, 0, AO32)</f>
        <v>0</v>
      </c>
      <c r="AC32" s="125">
        <f ca="1">IF(IFERROR($AN32&lt;65,FALSE), IF(B32&lt;&gt;"외국인", ROUNDDOWN(AA32*$AH$1%,-1), IF(AND(AM32&lt;&gt;"", ISNUMBER(SEARCH(LEFT(SUBSTITUTE(AM32, "-",""),2), "F2_F5_F6"))), ROUNDDOWN(AA32*$AH$1%,-1), 0)),0)</f>
        <v>0</v>
      </c>
      <c r="AD32" s="126">
        <f>IF(Z32&gt;=$AJ$1,ROUNDDOWN(AA32*$AH$2%,-1),0)</f>
        <v>0</v>
      </c>
      <c r="AE32" s="214">
        <f ca="1">AB32+AC32+AB33+AC33+AD32+AD33</f>
        <v>0</v>
      </c>
      <c r="AF32" s="214">
        <f ca="1">AA32-AE32</f>
        <v>0</v>
      </c>
      <c r="AG32" s="222"/>
      <c r="AH32" s="222"/>
      <c r="AI32" s="222"/>
      <c r="AJ32" s="222"/>
      <c r="AK32" s="250"/>
      <c r="AL32" s="250"/>
      <c r="AM32" s="251"/>
      <c r="AN32" s="252" t="str">
        <f ca="1">IFERROR(DATEDIF(DATE(IF(ISNUMBER(FIND(MID( SUBSTITUTE(D32, "-",""), 7, 1), "3478")), 2000, 1900)+MID(D32,1,2), MID(D32,3,2), MID(D32,5,2)), TODAY(), "Y"),"")</f>
        <v/>
      </c>
      <c r="AO32" s="214">
        <f>ROUNDDOWN(SUM(AP32:BE33),-1)</f>
        <v>0</v>
      </c>
      <c r="AP32" s="127">
        <f t="shared" ref="AP32:BD32" si="95">IF($H32*I32&gt;150000,ROUNDDOWN(($H32*I32-150000)*6%*45%,0),0)</f>
        <v>0</v>
      </c>
      <c r="AQ32" s="128">
        <f t="shared" si="95"/>
        <v>0</v>
      </c>
      <c r="AR32" s="128">
        <f t="shared" si="95"/>
        <v>0</v>
      </c>
      <c r="AS32" s="128">
        <f t="shared" si="95"/>
        <v>0</v>
      </c>
      <c r="AT32" s="128">
        <f t="shared" si="95"/>
        <v>0</v>
      </c>
      <c r="AU32" s="128">
        <f t="shared" si="95"/>
        <v>0</v>
      </c>
      <c r="AV32" s="128">
        <f t="shared" si="95"/>
        <v>0</v>
      </c>
      <c r="AW32" s="128">
        <f t="shared" si="95"/>
        <v>0</v>
      </c>
      <c r="AX32" s="128">
        <f t="shared" si="95"/>
        <v>0</v>
      </c>
      <c r="AY32" s="128">
        <f t="shared" si="95"/>
        <v>0</v>
      </c>
      <c r="AZ32" s="128">
        <f t="shared" si="95"/>
        <v>0</v>
      </c>
      <c r="BA32" s="128">
        <f t="shared" si="95"/>
        <v>0</v>
      </c>
      <c r="BB32" s="128">
        <f t="shared" si="95"/>
        <v>0</v>
      </c>
      <c r="BC32" s="128">
        <f t="shared" si="95"/>
        <v>0</v>
      </c>
      <c r="BD32" s="129">
        <f t="shared" si="95"/>
        <v>0</v>
      </c>
      <c r="BE32" s="130"/>
      <c r="BG32" s="222">
        <f t="shared" ref="BG32" si="96">C32</f>
        <v>0</v>
      </c>
      <c r="BH32" s="222"/>
      <c r="BI32" s="245"/>
      <c r="BJ32" s="247"/>
      <c r="BK32" s="243"/>
      <c r="BL32" s="222"/>
      <c r="BM32" s="249">
        <f t="shared" ref="BM32:BM94" si="97">BK32*BL32</f>
        <v>0</v>
      </c>
      <c r="BN32" s="243"/>
      <c r="BO32" s="222"/>
      <c r="BP32" s="249">
        <f t="shared" ref="BP32" si="98">BN32*BO32</f>
        <v>0</v>
      </c>
      <c r="BQ32" s="244"/>
      <c r="BR32" s="244"/>
      <c r="BS32" s="244"/>
      <c r="BT32" s="244"/>
      <c r="BU32" s="244">
        <f t="shared" ref="BU32" si="99">SUM(BR32:BT33)</f>
        <v>0</v>
      </c>
      <c r="BV32" s="244">
        <f t="shared" ref="BV32:BV94" si="100">BM32+BP32-BU32</f>
        <v>0</v>
      </c>
      <c r="BW32" s="222"/>
    </row>
    <row r="33" spans="1:75" ht="14.5" customHeight="1">
      <c r="A33" s="221"/>
      <c r="B33" s="222"/>
      <c r="C33" s="263"/>
      <c r="D33" s="225"/>
      <c r="E33" s="222"/>
      <c r="F33" s="222"/>
      <c r="G33" s="222"/>
      <c r="H33" s="214"/>
      <c r="I33" s="101"/>
      <c r="J33" s="102"/>
      <c r="K33" s="102"/>
      <c r="L33" s="102"/>
      <c r="M33" s="102"/>
      <c r="N33" s="102"/>
      <c r="O33" s="102"/>
      <c r="P33" s="102"/>
      <c r="Q33" s="102"/>
      <c r="R33" s="102"/>
      <c r="S33" s="102"/>
      <c r="T33" s="102"/>
      <c r="U33" s="102"/>
      <c r="V33" s="102"/>
      <c r="W33" s="102"/>
      <c r="X33" s="103"/>
      <c r="Y33" s="264"/>
      <c r="Z33" s="222"/>
      <c r="AA33" s="220"/>
      <c r="AB33" s="131">
        <f>ROUNDDOWN(AB32*10%,-1)</f>
        <v>0</v>
      </c>
      <c r="AC33" s="132">
        <f ca="1">IFERROR(IF(AND( OR(COUNTIF(I32:X33, "&gt;0")&gt;=$AJ$1, AA32&gt;=$AJ$4),AN32&lt;60,AA32&lt;=$AH$5),ROUNDDOWN(ROUNDDOWN(AA32,-3)*$AH$4%,-1),IF(AND(COUNTIF(I32:X33,"&gt;0")&gt;=$AJ$1,AN32&lt;60,AA32&gt;$AH$5),$AJ$5,0)),0)</f>
        <v>0</v>
      </c>
      <c r="AD33" s="133">
        <f>IF(Z32&gt;=$AJ$1,ROUNDDOWN(AD32*$AH$3%/($AH$2*2%),-1),0)</f>
        <v>0</v>
      </c>
      <c r="AE33" s="214"/>
      <c r="AF33" s="214"/>
      <c r="AG33" s="222"/>
      <c r="AH33" s="222"/>
      <c r="AI33" s="222"/>
      <c r="AJ33" s="222"/>
      <c r="AK33" s="250"/>
      <c r="AL33" s="250"/>
      <c r="AM33" s="251"/>
      <c r="AN33" s="252"/>
      <c r="AO33" s="214"/>
      <c r="AP33" s="134">
        <f t="shared" ref="AP33:BE33" si="101">IF($H32*I33&gt;150000,ROUNDDOWN(($H32*I33-150000)*6%*45%,0),0)</f>
        <v>0</v>
      </c>
      <c r="AQ33" s="135">
        <f t="shared" si="101"/>
        <v>0</v>
      </c>
      <c r="AR33" s="135">
        <f t="shared" si="101"/>
        <v>0</v>
      </c>
      <c r="AS33" s="135">
        <f t="shared" si="101"/>
        <v>0</v>
      </c>
      <c r="AT33" s="135">
        <f t="shared" si="101"/>
        <v>0</v>
      </c>
      <c r="AU33" s="135">
        <f t="shared" si="101"/>
        <v>0</v>
      </c>
      <c r="AV33" s="135">
        <f t="shared" si="101"/>
        <v>0</v>
      </c>
      <c r="AW33" s="135">
        <f t="shared" si="101"/>
        <v>0</v>
      </c>
      <c r="AX33" s="135">
        <f t="shared" si="101"/>
        <v>0</v>
      </c>
      <c r="AY33" s="135">
        <f t="shared" si="101"/>
        <v>0</v>
      </c>
      <c r="AZ33" s="135">
        <f t="shared" si="101"/>
        <v>0</v>
      </c>
      <c r="BA33" s="135">
        <f t="shared" si="101"/>
        <v>0</v>
      </c>
      <c r="BB33" s="135">
        <f t="shared" si="101"/>
        <v>0</v>
      </c>
      <c r="BC33" s="135">
        <f t="shared" si="101"/>
        <v>0</v>
      </c>
      <c r="BD33" s="135">
        <f t="shared" si="101"/>
        <v>0</v>
      </c>
      <c r="BE33" s="136">
        <f t="shared" si="101"/>
        <v>0</v>
      </c>
      <c r="BG33" s="222"/>
      <c r="BH33" s="222"/>
      <c r="BI33" s="246"/>
      <c r="BJ33" s="248"/>
      <c r="BK33" s="243"/>
      <c r="BL33" s="222"/>
      <c r="BM33" s="249"/>
      <c r="BN33" s="243"/>
      <c r="BO33" s="222"/>
      <c r="BP33" s="249"/>
      <c r="BQ33" s="244"/>
      <c r="BR33" s="244"/>
      <c r="BS33" s="244"/>
      <c r="BT33" s="244"/>
      <c r="BU33" s="244"/>
      <c r="BV33" s="244"/>
      <c r="BW33" s="222"/>
    </row>
    <row r="34" spans="1:75" outlineLevel="1">
      <c r="A34" s="221">
        <v>16</v>
      </c>
      <c r="B34" s="222" t="str">
        <f>IF(LEN(D34)&gt;1,IF(VALUE(MID(RIGHT(D34,7),1,1))&gt;4,"외국인",IF(VALUE(RIGHT(11-MOD((MID(D34,1,1)*2+MID(D34,2,1)*3+MID(D34,3,1)*4+MID(D34,4,1)*5+MID(D34,5,1)*6+MID(D34,6,1)*7+MID(RIGHT(D34,7),1,1)*8+MID(RIGHT(D34,7),2,1)*9+MID(RIGHT(D34,7),3,1)*2+MID(RIGHT(D34,7),4,1)*3+MID(RIGHT(D34,7),5,1)*4+MID(RIGHT(D34,7),6,1)*5),11),1))=VALUE(RIGHT(D34,1)),"","오류")),"")</f>
        <v/>
      </c>
      <c r="C34" s="222"/>
      <c r="D34" s="225"/>
      <c r="E34" s="222"/>
      <c r="F34" s="222"/>
      <c r="G34" s="222"/>
      <c r="H34" s="266"/>
      <c r="I34" s="89"/>
      <c r="J34" s="90"/>
      <c r="K34" s="90"/>
      <c r="L34" s="90"/>
      <c r="M34" s="90"/>
      <c r="N34" s="90"/>
      <c r="O34" s="90"/>
      <c r="P34" s="90"/>
      <c r="Q34" s="90"/>
      <c r="R34" s="90"/>
      <c r="S34" s="91"/>
      <c r="T34" s="91"/>
      <c r="U34" s="90"/>
      <c r="V34" s="90"/>
      <c r="W34" s="92"/>
      <c r="X34" s="93"/>
      <c r="Y34" s="264">
        <f>SUM(I34:X35)</f>
        <v>0</v>
      </c>
      <c r="Z34" s="222">
        <f>COUNTIF(I34:X35,"&gt;0")</f>
        <v>0</v>
      </c>
      <c r="AA34" s="266">
        <f>H34*Y34</f>
        <v>0</v>
      </c>
      <c r="AB34" s="94">
        <f>IF(AO34&lt;1000, 0, AO34)</f>
        <v>0</v>
      </c>
      <c r="AC34" s="95">
        <f ca="1">IF(IFERROR($AN34&lt;65,FALSE), IF(B34&lt;&gt;"외국인", ROUNDDOWN(AA34*$AH$1%,-1), IF(AND(AM34&lt;&gt;"", ISNUMBER(SEARCH(LEFT(SUBSTITUTE(AM34, "-",""),2), "F2_F5_F6"))), ROUNDDOWN(AA34*$AH$1%,-1), 0)),0)</f>
        <v>0</v>
      </c>
      <c r="AD34" s="96">
        <f>IF(Z34&gt;=$AJ$1,ROUNDDOWN(AA34*$AH$2%,-1),0)</f>
        <v>0</v>
      </c>
      <c r="AE34" s="266">
        <f ca="1">AB34+AC34+AB35+AC35+AD34+AD35</f>
        <v>0</v>
      </c>
      <c r="AF34" s="266">
        <f ca="1">AA34-AE34</f>
        <v>0</v>
      </c>
      <c r="AG34" s="222"/>
      <c r="AH34" s="222"/>
      <c r="AI34" s="222"/>
      <c r="AJ34" s="222"/>
      <c r="AK34" s="250"/>
      <c r="AL34" s="250"/>
      <c r="AM34" s="251"/>
      <c r="AN34" s="252" t="str">
        <f ca="1">IFERROR(DATEDIF(DATE(IF(ISNUMBER(FIND(MID( SUBSTITUTE(D34, "-",""), 7, 1), "3478")), 2000, 1900)+MID(D34,1,2), MID(D34,3,2), MID(D34,5,2)), TODAY(), "Y"),"")</f>
        <v/>
      </c>
      <c r="AO34" s="266">
        <f>ROUNDDOWN(SUM(AP34:BE35),-1)</f>
        <v>0</v>
      </c>
      <c r="AP34" s="97">
        <f t="shared" ref="AP34:BD34" si="102">IF($H34*I34&gt;150000,ROUNDDOWN(($H34*I34-150000)*6%*45%,0),0)</f>
        <v>0</v>
      </c>
      <c r="AQ34" s="98">
        <f t="shared" si="102"/>
        <v>0</v>
      </c>
      <c r="AR34" s="98">
        <f t="shared" si="102"/>
        <v>0</v>
      </c>
      <c r="AS34" s="98">
        <f t="shared" si="102"/>
        <v>0</v>
      </c>
      <c r="AT34" s="98">
        <f t="shared" si="102"/>
        <v>0</v>
      </c>
      <c r="AU34" s="98">
        <f t="shared" si="102"/>
        <v>0</v>
      </c>
      <c r="AV34" s="98">
        <f t="shared" si="102"/>
        <v>0</v>
      </c>
      <c r="AW34" s="98">
        <f t="shared" si="102"/>
        <v>0</v>
      </c>
      <c r="AX34" s="98">
        <f t="shared" si="102"/>
        <v>0</v>
      </c>
      <c r="AY34" s="98">
        <f t="shared" si="102"/>
        <v>0</v>
      </c>
      <c r="AZ34" s="98">
        <f t="shared" si="102"/>
        <v>0</v>
      </c>
      <c r="BA34" s="98">
        <f t="shared" si="102"/>
        <v>0</v>
      </c>
      <c r="BB34" s="98">
        <f t="shared" si="102"/>
        <v>0</v>
      </c>
      <c r="BC34" s="98">
        <f t="shared" si="102"/>
        <v>0</v>
      </c>
      <c r="BD34" s="99">
        <f t="shared" si="102"/>
        <v>0</v>
      </c>
      <c r="BE34" s="100"/>
      <c r="BG34" s="222">
        <f t="shared" ref="BG34" si="103">C34</f>
        <v>0</v>
      </c>
      <c r="BH34" s="222"/>
      <c r="BI34" s="222"/>
      <c r="BJ34" s="227"/>
      <c r="BK34" s="265"/>
      <c r="BL34" s="222"/>
      <c r="BM34" s="249">
        <f t="shared" si="97"/>
        <v>0</v>
      </c>
      <c r="BN34" s="265"/>
      <c r="BO34" s="222"/>
      <c r="BP34" s="222"/>
      <c r="BQ34" s="265"/>
      <c r="BR34" s="265"/>
      <c r="BS34" s="265"/>
      <c r="BT34" s="244"/>
      <c r="BU34" s="222"/>
      <c r="BV34" s="244">
        <f t="shared" si="100"/>
        <v>0</v>
      </c>
      <c r="BW34" s="222"/>
    </row>
    <row r="35" spans="1:75" outlineLevel="1">
      <c r="A35" s="221"/>
      <c r="B35" s="222"/>
      <c r="C35" s="222"/>
      <c r="D35" s="225"/>
      <c r="E35" s="222"/>
      <c r="F35" s="222"/>
      <c r="G35" s="222"/>
      <c r="H35" s="266"/>
      <c r="I35" s="101"/>
      <c r="J35" s="102"/>
      <c r="K35" s="102"/>
      <c r="L35" s="102"/>
      <c r="M35" s="102"/>
      <c r="N35" s="102"/>
      <c r="O35" s="102"/>
      <c r="P35" s="102"/>
      <c r="Q35" s="102"/>
      <c r="R35" s="102"/>
      <c r="S35" s="102"/>
      <c r="T35" s="102"/>
      <c r="U35" s="102"/>
      <c r="V35" s="102"/>
      <c r="W35" s="102"/>
      <c r="X35" s="103"/>
      <c r="Y35" s="264"/>
      <c r="Z35" s="222"/>
      <c r="AA35" s="266"/>
      <c r="AB35" s="104">
        <f>ROUNDDOWN(AB34*10%,-1)</f>
        <v>0</v>
      </c>
      <c r="AC35" s="105">
        <f ca="1">IFERROR(IF(AND( OR(COUNTIF(I34:X35, "&gt;0")&gt;=$AJ$1, AA34&gt;=$AJ$4),AN34&lt;60,AA34&lt;=$AH$5),ROUNDDOWN(ROUNDDOWN(AA34,-3)*$AH$4%,-1),IF(AND(COUNTIF(I34:X35,"&gt;0")&gt;=$AJ$1,AN34&lt;60,AA34&gt;$AH$5),$AJ$5,0)),0)</f>
        <v>0</v>
      </c>
      <c r="AD35" s="106">
        <f>IF(Z34&gt;=$AJ$1,ROUNDDOWN(AD34*$AH$3%/($AH$2*2%),-1),0)</f>
        <v>0</v>
      </c>
      <c r="AE35" s="266"/>
      <c r="AF35" s="266"/>
      <c r="AG35" s="222"/>
      <c r="AH35" s="222"/>
      <c r="AI35" s="222"/>
      <c r="AJ35" s="222"/>
      <c r="AK35" s="250"/>
      <c r="AL35" s="250"/>
      <c r="AM35" s="251"/>
      <c r="AN35" s="252"/>
      <c r="AO35" s="266"/>
      <c r="AP35" s="107">
        <f t="shared" ref="AP35:BE35" si="104">IF($H34*I35&gt;150000,ROUNDDOWN(($H34*I35-150000)*6%*45%,0),0)</f>
        <v>0</v>
      </c>
      <c r="AQ35" s="108">
        <f t="shared" si="104"/>
        <v>0</v>
      </c>
      <c r="AR35" s="108">
        <f t="shared" si="104"/>
        <v>0</v>
      </c>
      <c r="AS35" s="108">
        <f t="shared" si="104"/>
        <v>0</v>
      </c>
      <c r="AT35" s="108">
        <f t="shared" si="104"/>
        <v>0</v>
      </c>
      <c r="AU35" s="108">
        <f t="shared" si="104"/>
        <v>0</v>
      </c>
      <c r="AV35" s="108">
        <f t="shared" si="104"/>
        <v>0</v>
      </c>
      <c r="AW35" s="108">
        <f t="shared" si="104"/>
        <v>0</v>
      </c>
      <c r="AX35" s="108">
        <f t="shared" si="104"/>
        <v>0</v>
      </c>
      <c r="AY35" s="108">
        <f t="shared" si="104"/>
        <v>0</v>
      </c>
      <c r="AZ35" s="108">
        <f t="shared" si="104"/>
        <v>0</v>
      </c>
      <c r="BA35" s="108">
        <f t="shared" si="104"/>
        <v>0</v>
      </c>
      <c r="BB35" s="108">
        <f t="shared" si="104"/>
        <v>0</v>
      </c>
      <c r="BC35" s="108">
        <f t="shared" si="104"/>
        <v>0</v>
      </c>
      <c r="BD35" s="108">
        <f t="shared" si="104"/>
        <v>0</v>
      </c>
      <c r="BE35" s="109">
        <f t="shared" si="104"/>
        <v>0</v>
      </c>
      <c r="BG35" s="222"/>
      <c r="BH35" s="222"/>
      <c r="BI35" s="222"/>
      <c r="BJ35" s="228"/>
      <c r="BK35" s="265"/>
      <c r="BL35" s="222"/>
      <c r="BM35" s="249"/>
      <c r="BN35" s="265"/>
      <c r="BO35" s="222"/>
      <c r="BP35" s="222"/>
      <c r="BQ35" s="265"/>
      <c r="BR35" s="265"/>
      <c r="BS35" s="265"/>
      <c r="BT35" s="244"/>
      <c r="BU35" s="222"/>
      <c r="BV35" s="244"/>
      <c r="BW35" s="222"/>
    </row>
    <row r="36" spans="1:75" outlineLevel="1">
      <c r="A36" s="221">
        <v>17</v>
      </c>
      <c r="B36" s="222" t="str">
        <f>IF(LEN(D36)&gt;1,IF(VALUE(MID(RIGHT(D36,7),1,1))&gt;4,"외국인",IF(VALUE(RIGHT(11-MOD((MID(D36,1,1)*2+MID(D36,2,1)*3+MID(D36,3,1)*4+MID(D36,4,1)*5+MID(D36,5,1)*6+MID(D36,6,1)*7+MID(RIGHT(D36,7),1,1)*8+MID(RIGHT(D36,7),2,1)*9+MID(RIGHT(D36,7),3,1)*2+MID(RIGHT(D36,7),4,1)*3+MID(RIGHT(D36,7),5,1)*4+MID(RIGHT(D36,7),6,1)*5),11),1))=VALUE(RIGHT(D36,1)),"","오류")),"")</f>
        <v/>
      </c>
      <c r="C36" s="222"/>
      <c r="D36" s="225"/>
      <c r="E36" s="222"/>
      <c r="F36" s="222"/>
      <c r="G36" s="222"/>
      <c r="H36" s="266"/>
      <c r="I36" s="89"/>
      <c r="J36" s="90"/>
      <c r="K36" s="90"/>
      <c r="L36" s="90"/>
      <c r="M36" s="90"/>
      <c r="N36" s="90"/>
      <c r="O36" s="90"/>
      <c r="P36" s="90"/>
      <c r="Q36" s="90"/>
      <c r="R36" s="90"/>
      <c r="S36" s="91"/>
      <c r="T36" s="91"/>
      <c r="U36" s="90"/>
      <c r="V36" s="90"/>
      <c r="W36" s="92"/>
      <c r="X36" s="93"/>
      <c r="Y36" s="264">
        <f>SUM(I36:X37)</f>
        <v>0</v>
      </c>
      <c r="Z36" s="222">
        <f>COUNTIF(I36:X37,"&gt;0")</f>
        <v>0</v>
      </c>
      <c r="AA36" s="266">
        <f>H36*Y36</f>
        <v>0</v>
      </c>
      <c r="AB36" s="94">
        <f>IF(AO36&lt;1000, 0, AO36)</f>
        <v>0</v>
      </c>
      <c r="AC36" s="95">
        <f ca="1">IF(IFERROR($AN36&lt;65,FALSE), IF(B36&lt;&gt;"외국인", ROUNDDOWN(AA36*$AH$1%,-1), IF(AND(AM36&lt;&gt;"", ISNUMBER(SEARCH(LEFT(SUBSTITUTE(AM36, "-",""),2), "F2_F5_F6"))), ROUNDDOWN(AA36*$AH$1%,-1), 0)),0)</f>
        <v>0</v>
      </c>
      <c r="AD36" s="96">
        <f>IF(Z36&gt;=$AJ$1,ROUNDDOWN(AA36*$AH$2%,-1),0)</f>
        <v>0</v>
      </c>
      <c r="AE36" s="266">
        <f ca="1">AB36+AC36+AB37+AC37+AD36+AD37</f>
        <v>0</v>
      </c>
      <c r="AF36" s="266">
        <f ca="1">AA36-AE36</f>
        <v>0</v>
      </c>
      <c r="AG36" s="222"/>
      <c r="AH36" s="222"/>
      <c r="AI36" s="222"/>
      <c r="AJ36" s="222"/>
      <c r="AK36" s="250"/>
      <c r="AL36" s="250"/>
      <c r="AM36" s="251"/>
      <c r="AN36" s="252" t="str">
        <f ca="1">IFERROR(DATEDIF(DATE(IF(ISNUMBER(FIND(MID( SUBSTITUTE(D36, "-",""), 7, 1), "3478")), 2000, 1900)+MID(D36,1,2), MID(D36,3,2), MID(D36,5,2)), TODAY(), "Y"),"")</f>
        <v/>
      </c>
      <c r="AO36" s="266">
        <f>ROUNDDOWN(SUM(AP36:BE37),-1)</f>
        <v>0</v>
      </c>
      <c r="AP36" s="97">
        <f t="shared" ref="AP36:BD36" si="105">IF($H36*I36&gt;150000,ROUNDDOWN(($H36*I36-150000)*6%*45%,0),0)</f>
        <v>0</v>
      </c>
      <c r="AQ36" s="98">
        <f t="shared" si="105"/>
        <v>0</v>
      </c>
      <c r="AR36" s="98">
        <f t="shared" si="105"/>
        <v>0</v>
      </c>
      <c r="AS36" s="98">
        <f t="shared" si="105"/>
        <v>0</v>
      </c>
      <c r="AT36" s="98">
        <f t="shared" si="105"/>
        <v>0</v>
      </c>
      <c r="AU36" s="98">
        <f t="shared" si="105"/>
        <v>0</v>
      </c>
      <c r="AV36" s="98">
        <f t="shared" si="105"/>
        <v>0</v>
      </c>
      <c r="AW36" s="98">
        <f t="shared" si="105"/>
        <v>0</v>
      </c>
      <c r="AX36" s="98">
        <f t="shared" si="105"/>
        <v>0</v>
      </c>
      <c r="AY36" s="98">
        <f t="shared" si="105"/>
        <v>0</v>
      </c>
      <c r="AZ36" s="98">
        <f t="shared" si="105"/>
        <v>0</v>
      </c>
      <c r="BA36" s="98">
        <f t="shared" si="105"/>
        <v>0</v>
      </c>
      <c r="BB36" s="98">
        <f t="shared" si="105"/>
        <v>0</v>
      </c>
      <c r="BC36" s="98">
        <f t="shared" si="105"/>
        <v>0</v>
      </c>
      <c r="BD36" s="99">
        <f t="shared" si="105"/>
        <v>0</v>
      </c>
      <c r="BE36" s="100"/>
      <c r="BG36" s="222">
        <f t="shared" ref="BG36" si="106">C36</f>
        <v>0</v>
      </c>
      <c r="BH36" s="222"/>
      <c r="BI36" s="222"/>
      <c r="BJ36" s="247"/>
      <c r="BK36" s="265"/>
      <c r="BL36" s="222"/>
      <c r="BM36" s="249">
        <f t="shared" si="97"/>
        <v>0</v>
      </c>
      <c r="BN36" s="265"/>
      <c r="BO36" s="222"/>
      <c r="BP36" s="222"/>
      <c r="BQ36" s="265"/>
      <c r="BR36" s="265"/>
      <c r="BS36" s="265"/>
      <c r="BT36" s="244"/>
      <c r="BU36" s="222"/>
      <c r="BV36" s="244">
        <f t="shared" si="100"/>
        <v>0</v>
      </c>
      <c r="BW36" s="222"/>
    </row>
    <row r="37" spans="1:75" outlineLevel="1">
      <c r="A37" s="221"/>
      <c r="B37" s="222"/>
      <c r="C37" s="222"/>
      <c r="D37" s="225"/>
      <c r="E37" s="222"/>
      <c r="F37" s="222"/>
      <c r="G37" s="222"/>
      <c r="H37" s="266"/>
      <c r="I37" s="101"/>
      <c r="J37" s="102"/>
      <c r="K37" s="102"/>
      <c r="L37" s="102"/>
      <c r="M37" s="102"/>
      <c r="N37" s="102"/>
      <c r="O37" s="102"/>
      <c r="P37" s="102"/>
      <c r="Q37" s="102"/>
      <c r="R37" s="102"/>
      <c r="S37" s="102"/>
      <c r="T37" s="102"/>
      <c r="U37" s="102"/>
      <c r="V37" s="102"/>
      <c r="W37" s="102"/>
      <c r="X37" s="103"/>
      <c r="Y37" s="264"/>
      <c r="Z37" s="222"/>
      <c r="AA37" s="266"/>
      <c r="AB37" s="104">
        <f>ROUNDDOWN(AB36*10%,-1)</f>
        <v>0</v>
      </c>
      <c r="AC37" s="105">
        <f ca="1">IFERROR(IF(AND( OR(COUNTIF(I36:X37, "&gt;0")&gt;=$AJ$1, AA36&gt;=$AJ$4),AN36&lt;60,AA36&lt;=$AH$5),ROUNDDOWN(ROUNDDOWN(AA36,-3)*$AH$4%,-1),IF(AND(COUNTIF(I36:X37,"&gt;0")&gt;=$AJ$1,AN36&lt;60,AA36&gt;$AH$5),$AJ$5,0)),0)</f>
        <v>0</v>
      </c>
      <c r="AD37" s="106">
        <f>IF(Z36&gt;=$AJ$1,ROUNDDOWN(AD36*$AH$3%/($AH$2*2%),-1),0)</f>
        <v>0</v>
      </c>
      <c r="AE37" s="266"/>
      <c r="AF37" s="266"/>
      <c r="AG37" s="222"/>
      <c r="AH37" s="222"/>
      <c r="AI37" s="222"/>
      <c r="AJ37" s="222"/>
      <c r="AK37" s="250"/>
      <c r="AL37" s="250"/>
      <c r="AM37" s="251"/>
      <c r="AN37" s="252"/>
      <c r="AO37" s="266"/>
      <c r="AP37" s="107">
        <f t="shared" ref="AP37:BE37" si="107">IF($H36*I37&gt;150000,ROUNDDOWN(($H36*I37-150000)*6%*45%,0),0)</f>
        <v>0</v>
      </c>
      <c r="AQ37" s="108">
        <f t="shared" si="107"/>
        <v>0</v>
      </c>
      <c r="AR37" s="108">
        <f t="shared" si="107"/>
        <v>0</v>
      </c>
      <c r="AS37" s="108">
        <f t="shared" si="107"/>
        <v>0</v>
      </c>
      <c r="AT37" s="108">
        <f t="shared" si="107"/>
        <v>0</v>
      </c>
      <c r="AU37" s="108">
        <f t="shared" si="107"/>
        <v>0</v>
      </c>
      <c r="AV37" s="108">
        <f t="shared" si="107"/>
        <v>0</v>
      </c>
      <c r="AW37" s="108">
        <f t="shared" si="107"/>
        <v>0</v>
      </c>
      <c r="AX37" s="108">
        <f t="shared" si="107"/>
        <v>0</v>
      </c>
      <c r="AY37" s="108">
        <f t="shared" si="107"/>
        <v>0</v>
      </c>
      <c r="AZ37" s="108">
        <f t="shared" si="107"/>
        <v>0</v>
      </c>
      <c r="BA37" s="108">
        <f t="shared" si="107"/>
        <v>0</v>
      </c>
      <c r="BB37" s="108">
        <f t="shared" si="107"/>
        <v>0</v>
      </c>
      <c r="BC37" s="108">
        <f t="shared" si="107"/>
        <v>0</v>
      </c>
      <c r="BD37" s="108">
        <f t="shared" si="107"/>
        <v>0</v>
      </c>
      <c r="BE37" s="109">
        <f t="shared" si="107"/>
        <v>0</v>
      </c>
      <c r="BG37" s="222"/>
      <c r="BH37" s="222"/>
      <c r="BI37" s="222"/>
      <c r="BJ37" s="248"/>
      <c r="BK37" s="265"/>
      <c r="BL37" s="222"/>
      <c r="BM37" s="249"/>
      <c r="BN37" s="265"/>
      <c r="BO37" s="222"/>
      <c r="BP37" s="222"/>
      <c r="BQ37" s="265"/>
      <c r="BR37" s="265"/>
      <c r="BS37" s="265"/>
      <c r="BT37" s="244"/>
      <c r="BU37" s="222"/>
      <c r="BV37" s="244"/>
      <c r="BW37" s="222"/>
    </row>
    <row r="38" spans="1:75" outlineLevel="1">
      <c r="A38" s="221">
        <v>18</v>
      </c>
      <c r="B38" s="222" t="str">
        <f>IF(LEN(D38)&gt;1,IF(VALUE(MID(RIGHT(D38,7),1,1))&gt;4,"외국인",IF(VALUE(RIGHT(11-MOD((MID(D38,1,1)*2+MID(D38,2,1)*3+MID(D38,3,1)*4+MID(D38,4,1)*5+MID(D38,5,1)*6+MID(D38,6,1)*7+MID(RIGHT(D38,7),1,1)*8+MID(RIGHT(D38,7),2,1)*9+MID(RIGHT(D38,7),3,1)*2+MID(RIGHT(D38,7),4,1)*3+MID(RIGHT(D38,7),5,1)*4+MID(RIGHT(D38,7),6,1)*5),11),1))=VALUE(RIGHT(D38,1)),"","오류")),"")</f>
        <v/>
      </c>
      <c r="C38" s="222"/>
      <c r="D38" s="225"/>
      <c r="E38" s="222"/>
      <c r="F38" s="222"/>
      <c r="G38" s="222"/>
      <c r="H38" s="266"/>
      <c r="I38" s="89"/>
      <c r="J38" s="90"/>
      <c r="K38" s="90"/>
      <c r="L38" s="90"/>
      <c r="M38" s="90"/>
      <c r="N38" s="90"/>
      <c r="O38" s="90"/>
      <c r="P38" s="90"/>
      <c r="Q38" s="90"/>
      <c r="R38" s="90"/>
      <c r="S38" s="91"/>
      <c r="T38" s="91"/>
      <c r="U38" s="90"/>
      <c r="V38" s="90"/>
      <c r="W38" s="92"/>
      <c r="X38" s="93"/>
      <c r="Y38" s="264">
        <f>SUM(I38:X39)</f>
        <v>0</v>
      </c>
      <c r="Z38" s="222">
        <f>COUNTIF(I38:X39,"&gt;0")</f>
        <v>0</v>
      </c>
      <c r="AA38" s="266">
        <f>H38*Y38</f>
        <v>0</v>
      </c>
      <c r="AB38" s="94">
        <f>IF(AO38&lt;1000, 0, AO38)</f>
        <v>0</v>
      </c>
      <c r="AC38" s="95">
        <f ca="1">IF(IFERROR($AN38&lt;65,FALSE), IF(B38&lt;&gt;"외국인", ROUNDDOWN(AA38*$AH$1%,-1), IF(AND(AM38&lt;&gt;"", ISNUMBER(SEARCH(LEFT(SUBSTITUTE(AM38, "-",""),2), "F2_F5_F6"))), ROUNDDOWN(AA38*$AH$1%,-1), 0)),0)</f>
        <v>0</v>
      </c>
      <c r="AD38" s="96">
        <f>IF(Z38&gt;=$AJ$1,ROUNDDOWN(AA38*$AH$2%,-1),0)</f>
        <v>0</v>
      </c>
      <c r="AE38" s="266">
        <f ca="1">AB38+AC38+AB39+AC39+AD38+AD39</f>
        <v>0</v>
      </c>
      <c r="AF38" s="266">
        <f ca="1">AA38-AE38</f>
        <v>0</v>
      </c>
      <c r="AG38" s="222"/>
      <c r="AH38" s="222"/>
      <c r="AI38" s="222"/>
      <c r="AJ38" s="222"/>
      <c r="AK38" s="250"/>
      <c r="AL38" s="250"/>
      <c r="AM38" s="251"/>
      <c r="AN38" s="252" t="str">
        <f ca="1">IFERROR(DATEDIF(DATE(IF(ISNUMBER(FIND(MID( SUBSTITUTE(D38, "-",""), 7, 1), "3478")), 2000, 1900)+MID(D38,1,2), MID(D38,3,2), MID(D38,5,2)), TODAY(), "Y"),"")</f>
        <v/>
      </c>
      <c r="AO38" s="266">
        <f>ROUNDDOWN(SUM(AP38:BE39),-1)</f>
        <v>0</v>
      </c>
      <c r="AP38" s="97">
        <f t="shared" ref="AP38:BD38" si="108">IF($H38*I38&gt;150000,ROUNDDOWN(($H38*I38-150000)*6%*45%,0),0)</f>
        <v>0</v>
      </c>
      <c r="AQ38" s="98">
        <f t="shared" si="108"/>
        <v>0</v>
      </c>
      <c r="AR38" s="98">
        <f t="shared" si="108"/>
        <v>0</v>
      </c>
      <c r="AS38" s="98">
        <f t="shared" si="108"/>
        <v>0</v>
      </c>
      <c r="AT38" s="98">
        <f t="shared" si="108"/>
        <v>0</v>
      </c>
      <c r="AU38" s="98">
        <f t="shared" si="108"/>
        <v>0</v>
      </c>
      <c r="AV38" s="98">
        <f t="shared" si="108"/>
        <v>0</v>
      </c>
      <c r="AW38" s="98">
        <f t="shared" si="108"/>
        <v>0</v>
      </c>
      <c r="AX38" s="98">
        <f t="shared" si="108"/>
        <v>0</v>
      </c>
      <c r="AY38" s="98">
        <f t="shared" si="108"/>
        <v>0</v>
      </c>
      <c r="AZ38" s="98">
        <f t="shared" si="108"/>
        <v>0</v>
      </c>
      <c r="BA38" s="98">
        <f t="shared" si="108"/>
        <v>0</v>
      </c>
      <c r="BB38" s="98">
        <f t="shared" si="108"/>
        <v>0</v>
      </c>
      <c r="BC38" s="98">
        <f t="shared" si="108"/>
        <v>0</v>
      </c>
      <c r="BD38" s="99">
        <f t="shared" si="108"/>
        <v>0</v>
      </c>
      <c r="BE38" s="100"/>
      <c r="BG38" s="222">
        <f t="shared" ref="BG38" si="109">C38</f>
        <v>0</v>
      </c>
      <c r="BH38" s="222"/>
      <c r="BI38" s="222"/>
      <c r="BJ38" s="248"/>
      <c r="BK38" s="265"/>
      <c r="BL38" s="222"/>
      <c r="BM38" s="249">
        <f t="shared" si="97"/>
        <v>0</v>
      </c>
      <c r="BN38" s="265"/>
      <c r="BO38" s="222"/>
      <c r="BP38" s="222"/>
      <c r="BQ38" s="265"/>
      <c r="BR38" s="265"/>
      <c r="BS38" s="265"/>
      <c r="BT38" s="244"/>
      <c r="BU38" s="222"/>
      <c r="BV38" s="244">
        <f t="shared" si="100"/>
        <v>0</v>
      </c>
      <c r="BW38" s="222"/>
    </row>
    <row r="39" spans="1:75" outlineLevel="1">
      <c r="A39" s="221"/>
      <c r="B39" s="222"/>
      <c r="C39" s="222"/>
      <c r="D39" s="225"/>
      <c r="E39" s="222"/>
      <c r="F39" s="222"/>
      <c r="G39" s="222"/>
      <c r="H39" s="266"/>
      <c r="I39" s="101"/>
      <c r="J39" s="102"/>
      <c r="K39" s="102"/>
      <c r="L39" s="102"/>
      <c r="M39" s="102"/>
      <c r="N39" s="102"/>
      <c r="O39" s="102"/>
      <c r="P39" s="102"/>
      <c r="Q39" s="102"/>
      <c r="R39" s="102"/>
      <c r="S39" s="102"/>
      <c r="T39" s="102"/>
      <c r="U39" s="102"/>
      <c r="V39" s="102"/>
      <c r="W39" s="102"/>
      <c r="X39" s="103"/>
      <c r="Y39" s="264"/>
      <c r="Z39" s="222"/>
      <c r="AA39" s="266"/>
      <c r="AB39" s="104">
        <f>ROUNDDOWN(AB38*10%,-1)</f>
        <v>0</v>
      </c>
      <c r="AC39" s="105">
        <f ca="1">IFERROR(IF(AND( OR(COUNTIF(I38:X39, "&gt;0")&gt;=$AJ$1, AA38&gt;=$AJ$4),AN38&lt;60,AA38&lt;=$AH$5),ROUNDDOWN(ROUNDDOWN(AA38,-3)*$AH$4%,-1),IF(AND(COUNTIF(I38:X39,"&gt;0")&gt;=$AJ$1,AN38&lt;60,AA38&gt;$AH$5),$AJ$5,0)),0)</f>
        <v>0</v>
      </c>
      <c r="AD39" s="106">
        <f>IF(Z38&gt;=$AJ$1,ROUNDDOWN(AD38*$AH$3%/($AH$2*2%),-1),0)</f>
        <v>0</v>
      </c>
      <c r="AE39" s="266"/>
      <c r="AF39" s="266"/>
      <c r="AG39" s="222"/>
      <c r="AH39" s="222"/>
      <c r="AI39" s="222"/>
      <c r="AJ39" s="222"/>
      <c r="AK39" s="250"/>
      <c r="AL39" s="250"/>
      <c r="AM39" s="251"/>
      <c r="AN39" s="252"/>
      <c r="AO39" s="266"/>
      <c r="AP39" s="107">
        <f t="shared" ref="AP39:BE39" si="110">IF($H38*I39&gt;150000,ROUNDDOWN(($H38*I39-150000)*6%*45%,0),0)</f>
        <v>0</v>
      </c>
      <c r="AQ39" s="108">
        <f t="shared" si="110"/>
        <v>0</v>
      </c>
      <c r="AR39" s="108">
        <f t="shared" si="110"/>
        <v>0</v>
      </c>
      <c r="AS39" s="108">
        <f t="shared" si="110"/>
        <v>0</v>
      </c>
      <c r="AT39" s="108">
        <f t="shared" si="110"/>
        <v>0</v>
      </c>
      <c r="AU39" s="108">
        <f t="shared" si="110"/>
        <v>0</v>
      </c>
      <c r="AV39" s="108">
        <f t="shared" si="110"/>
        <v>0</v>
      </c>
      <c r="AW39" s="108">
        <f t="shared" si="110"/>
        <v>0</v>
      </c>
      <c r="AX39" s="108">
        <f t="shared" si="110"/>
        <v>0</v>
      </c>
      <c r="AY39" s="108">
        <f t="shared" si="110"/>
        <v>0</v>
      </c>
      <c r="AZ39" s="108">
        <f t="shared" si="110"/>
        <v>0</v>
      </c>
      <c r="BA39" s="108">
        <f t="shared" si="110"/>
        <v>0</v>
      </c>
      <c r="BB39" s="108">
        <f t="shared" si="110"/>
        <v>0</v>
      </c>
      <c r="BC39" s="108">
        <f t="shared" si="110"/>
        <v>0</v>
      </c>
      <c r="BD39" s="108">
        <f t="shared" si="110"/>
        <v>0</v>
      </c>
      <c r="BE39" s="109">
        <f t="shared" si="110"/>
        <v>0</v>
      </c>
      <c r="BG39" s="222"/>
      <c r="BH39" s="222"/>
      <c r="BI39" s="222"/>
      <c r="BJ39" s="248"/>
      <c r="BK39" s="265"/>
      <c r="BL39" s="222"/>
      <c r="BM39" s="249"/>
      <c r="BN39" s="265"/>
      <c r="BO39" s="222"/>
      <c r="BP39" s="222"/>
      <c r="BQ39" s="265"/>
      <c r="BR39" s="265"/>
      <c r="BS39" s="265"/>
      <c r="BT39" s="244"/>
      <c r="BU39" s="222"/>
      <c r="BV39" s="244"/>
      <c r="BW39" s="222"/>
    </row>
    <row r="40" spans="1:75" outlineLevel="1">
      <c r="A40" s="221">
        <v>19</v>
      </c>
      <c r="B40" s="222" t="str">
        <f>IF(LEN(D40)&gt;1,IF(VALUE(MID(RIGHT(D40,7),1,1))&gt;4,"외국인",IF(VALUE(RIGHT(11-MOD((MID(D40,1,1)*2+MID(D40,2,1)*3+MID(D40,3,1)*4+MID(D40,4,1)*5+MID(D40,5,1)*6+MID(D40,6,1)*7+MID(RIGHT(D40,7),1,1)*8+MID(RIGHT(D40,7),2,1)*9+MID(RIGHT(D40,7),3,1)*2+MID(RIGHT(D40,7),4,1)*3+MID(RIGHT(D40,7),5,1)*4+MID(RIGHT(D40,7),6,1)*5),11),1))=VALUE(RIGHT(D40,1)),"","오류")),"")</f>
        <v/>
      </c>
      <c r="C40" s="222"/>
      <c r="D40" s="225"/>
      <c r="E40" s="222"/>
      <c r="F40" s="222"/>
      <c r="G40" s="222"/>
      <c r="H40" s="266"/>
      <c r="I40" s="89"/>
      <c r="J40" s="90"/>
      <c r="K40" s="90"/>
      <c r="L40" s="90"/>
      <c r="M40" s="90"/>
      <c r="N40" s="90"/>
      <c r="O40" s="90"/>
      <c r="P40" s="90"/>
      <c r="Q40" s="90"/>
      <c r="R40" s="90"/>
      <c r="S40" s="91"/>
      <c r="T40" s="91"/>
      <c r="U40" s="90"/>
      <c r="V40" s="90"/>
      <c r="W40" s="92"/>
      <c r="X40" s="93"/>
      <c r="Y40" s="264">
        <f>SUM(I40:X41)</f>
        <v>0</v>
      </c>
      <c r="Z40" s="222">
        <f>COUNTIF(I40:X41,"&gt;0")</f>
        <v>0</v>
      </c>
      <c r="AA40" s="266">
        <f>H40*Y40</f>
        <v>0</v>
      </c>
      <c r="AB40" s="94">
        <f>IF(AO40&lt;1000, 0, AO40)</f>
        <v>0</v>
      </c>
      <c r="AC40" s="95">
        <f ca="1">IF(IFERROR($AN40&lt;65,FALSE), IF(B40&lt;&gt;"외국인", ROUNDDOWN(AA40*$AH$1%,-1), IF(AND(AM40&lt;&gt;"", ISNUMBER(SEARCH(LEFT(SUBSTITUTE(AM40, "-",""),2), "F2_F5_F6"))), ROUNDDOWN(AA40*$AH$1%,-1), 0)),0)</f>
        <v>0</v>
      </c>
      <c r="AD40" s="96">
        <f>IF(Z40&gt;=$AJ$1,ROUNDDOWN(AA40*$AH$2%,-1),0)</f>
        <v>0</v>
      </c>
      <c r="AE40" s="266">
        <f ca="1">AB40+AC40+AB41+AC41+AD40+AD41</f>
        <v>0</v>
      </c>
      <c r="AF40" s="266">
        <f ca="1">AA40-AE40</f>
        <v>0</v>
      </c>
      <c r="AG40" s="222"/>
      <c r="AH40" s="222"/>
      <c r="AI40" s="222"/>
      <c r="AJ40" s="222"/>
      <c r="AK40" s="250"/>
      <c r="AL40" s="250"/>
      <c r="AM40" s="251"/>
      <c r="AN40" s="252" t="str">
        <f ca="1">IFERROR(DATEDIF(DATE(IF(ISNUMBER(FIND(MID( SUBSTITUTE(D40, "-",""), 7, 1), "3478")), 2000, 1900)+MID(D40,1,2), MID(D40,3,2), MID(D40,5,2)), TODAY(), "Y"),"")</f>
        <v/>
      </c>
      <c r="AO40" s="266">
        <f>ROUNDDOWN(SUM(AP40:BE41),-1)</f>
        <v>0</v>
      </c>
      <c r="AP40" s="97">
        <f t="shared" ref="AP40" si="111">IF($H40*I40&gt;150000,ROUNDDOWN(($H40*I40-150000)*6%*45%,0),0)</f>
        <v>0</v>
      </c>
      <c r="AQ40" s="98">
        <f t="shared" ref="AQ40" si="112">IF($H40*J40&gt;150000,ROUNDDOWN(($H40*J40-150000)*6%*45%,0),0)</f>
        <v>0</v>
      </c>
      <c r="AR40" s="98">
        <f t="shared" ref="AR40" si="113">IF($H40*K40&gt;150000,ROUNDDOWN(($H40*K40-150000)*6%*45%,0),0)</f>
        <v>0</v>
      </c>
      <c r="AS40" s="98">
        <f t="shared" ref="AS40" si="114">IF($H40*L40&gt;150000,ROUNDDOWN(($H40*L40-150000)*6%*45%,0),0)</f>
        <v>0</v>
      </c>
      <c r="AT40" s="98">
        <f t="shared" ref="AT40" si="115">IF($H40*M40&gt;150000,ROUNDDOWN(($H40*M40-150000)*6%*45%,0),0)</f>
        <v>0</v>
      </c>
      <c r="AU40" s="98">
        <f t="shared" ref="AU40" si="116">IF($H40*N40&gt;150000,ROUNDDOWN(($H40*N40-150000)*6%*45%,0),0)</f>
        <v>0</v>
      </c>
      <c r="AV40" s="98">
        <f t="shared" ref="AV40" si="117">IF($H40*O40&gt;150000,ROUNDDOWN(($H40*O40-150000)*6%*45%,0),0)</f>
        <v>0</v>
      </c>
      <c r="AW40" s="98">
        <f t="shared" ref="AW40" si="118">IF($H40*P40&gt;150000,ROUNDDOWN(($H40*P40-150000)*6%*45%,0),0)</f>
        <v>0</v>
      </c>
      <c r="AX40" s="98">
        <f t="shared" ref="AX40" si="119">IF($H40*Q40&gt;150000,ROUNDDOWN(($H40*Q40-150000)*6%*45%,0),0)</f>
        <v>0</v>
      </c>
      <c r="AY40" s="98">
        <f t="shared" ref="AY40" si="120">IF($H40*R40&gt;150000,ROUNDDOWN(($H40*R40-150000)*6%*45%,0),0)</f>
        <v>0</v>
      </c>
      <c r="AZ40" s="98">
        <f t="shared" ref="AZ40" si="121">IF($H40*S40&gt;150000,ROUNDDOWN(($H40*S40-150000)*6%*45%,0),0)</f>
        <v>0</v>
      </c>
      <c r="BA40" s="98">
        <f t="shared" ref="BA40" si="122">IF($H40*T40&gt;150000,ROUNDDOWN(($H40*T40-150000)*6%*45%,0),0)</f>
        <v>0</v>
      </c>
      <c r="BB40" s="98">
        <f t="shared" ref="BB40" si="123">IF($H40*U40&gt;150000,ROUNDDOWN(($H40*U40-150000)*6%*45%,0),0)</f>
        <v>0</v>
      </c>
      <c r="BC40" s="98">
        <f t="shared" ref="BC40" si="124">IF($H40*V40&gt;150000,ROUNDDOWN(($H40*V40-150000)*6%*45%,0),0)</f>
        <v>0</v>
      </c>
      <c r="BD40" s="99">
        <f t="shared" ref="BD40" si="125">IF($H40*W40&gt;150000,ROUNDDOWN(($H40*W40-150000)*6%*45%,0),0)</f>
        <v>0</v>
      </c>
      <c r="BE40" s="100"/>
      <c r="BG40" s="222">
        <f t="shared" ref="BG40" si="126">C40</f>
        <v>0</v>
      </c>
      <c r="BH40" s="222"/>
      <c r="BI40" s="222"/>
      <c r="BJ40" s="248"/>
      <c r="BK40" s="265"/>
      <c r="BL40" s="222"/>
      <c r="BM40" s="249">
        <f t="shared" si="97"/>
        <v>0</v>
      </c>
      <c r="BN40" s="265"/>
      <c r="BO40" s="222"/>
      <c r="BP40" s="222"/>
      <c r="BQ40" s="265"/>
      <c r="BR40" s="265"/>
      <c r="BS40" s="265"/>
      <c r="BT40" s="244"/>
      <c r="BU40" s="222"/>
      <c r="BV40" s="244">
        <f t="shared" ref="BV40" si="127">BM40+BP40-BU40</f>
        <v>0</v>
      </c>
      <c r="BW40" s="222"/>
    </row>
    <row r="41" spans="1:75" outlineLevel="1">
      <c r="A41" s="221"/>
      <c r="B41" s="222"/>
      <c r="C41" s="222"/>
      <c r="D41" s="225"/>
      <c r="E41" s="222"/>
      <c r="F41" s="222"/>
      <c r="G41" s="222"/>
      <c r="H41" s="266"/>
      <c r="I41" s="101"/>
      <c r="J41" s="102"/>
      <c r="K41" s="102"/>
      <c r="L41" s="102"/>
      <c r="M41" s="102"/>
      <c r="N41" s="102"/>
      <c r="O41" s="102"/>
      <c r="P41" s="102"/>
      <c r="Q41" s="102"/>
      <c r="R41" s="102"/>
      <c r="S41" s="102"/>
      <c r="T41" s="102"/>
      <c r="U41" s="102"/>
      <c r="V41" s="102"/>
      <c r="W41" s="102"/>
      <c r="X41" s="103"/>
      <c r="Y41" s="264"/>
      <c r="Z41" s="222"/>
      <c r="AA41" s="266"/>
      <c r="AB41" s="104">
        <f>ROUNDDOWN(AB40*10%,-1)</f>
        <v>0</v>
      </c>
      <c r="AC41" s="105">
        <f ca="1">IFERROR(IF(AND( OR(COUNTIF(I40:X41, "&gt;0")&gt;=$AJ$1, AA40&gt;=$AJ$4),AN40&lt;60,AA40&lt;=$AH$5),ROUNDDOWN(ROUNDDOWN(AA40,-3)*$AH$4%,-1),IF(AND(COUNTIF(I40:X41,"&gt;0")&gt;=$AJ$1,AN40&lt;60,AA40&gt;$AH$5),$AJ$5,0)),0)</f>
        <v>0</v>
      </c>
      <c r="AD41" s="106">
        <f>IF(Z40&gt;=$AJ$1,ROUNDDOWN(AD40*$AH$3%/($AH$2*2%),-1),0)</f>
        <v>0</v>
      </c>
      <c r="AE41" s="266"/>
      <c r="AF41" s="266"/>
      <c r="AG41" s="222"/>
      <c r="AH41" s="222"/>
      <c r="AI41" s="222"/>
      <c r="AJ41" s="222"/>
      <c r="AK41" s="250"/>
      <c r="AL41" s="250"/>
      <c r="AM41" s="251"/>
      <c r="AN41" s="252"/>
      <c r="AO41" s="266"/>
      <c r="AP41" s="107">
        <f t="shared" ref="AP41" si="128">IF($H40*I41&gt;150000,ROUNDDOWN(($H40*I41-150000)*6%*45%,0),0)</f>
        <v>0</v>
      </c>
      <c r="AQ41" s="108">
        <f t="shared" ref="AQ41" si="129">IF($H40*J41&gt;150000,ROUNDDOWN(($H40*J41-150000)*6%*45%,0),0)</f>
        <v>0</v>
      </c>
      <c r="AR41" s="108">
        <f t="shared" ref="AR41" si="130">IF($H40*K41&gt;150000,ROUNDDOWN(($H40*K41-150000)*6%*45%,0),0)</f>
        <v>0</v>
      </c>
      <c r="AS41" s="108">
        <f t="shared" ref="AS41" si="131">IF($H40*L41&gt;150000,ROUNDDOWN(($H40*L41-150000)*6%*45%,0),0)</f>
        <v>0</v>
      </c>
      <c r="AT41" s="108">
        <f t="shared" ref="AT41" si="132">IF($H40*M41&gt;150000,ROUNDDOWN(($H40*M41-150000)*6%*45%,0),0)</f>
        <v>0</v>
      </c>
      <c r="AU41" s="108">
        <f t="shared" ref="AU41" si="133">IF($H40*N41&gt;150000,ROUNDDOWN(($H40*N41-150000)*6%*45%,0),0)</f>
        <v>0</v>
      </c>
      <c r="AV41" s="108">
        <f t="shared" ref="AV41" si="134">IF($H40*O41&gt;150000,ROUNDDOWN(($H40*O41-150000)*6%*45%,0),0)</f>
        <v>0</v>
      </c>
      <c r="AW41" s="108">
        <f t="shared" ref="AW41" si="135">IF($H40*P41&gt;150000,ROUNDDOWN(($H40*P41-150000)*6%*45%,0),0)</f>
        <v>0</v>
      </c>
      <c r="AX41" s="108">
        <f t="shared" ref="AX41" si="136">IF($H40*Q41&gt;150000,ROUNDDOWN(($H40*Q41-150000)*6%*45%,0),0)</f>
        <v>0</v>
      </c>
      <c r="AY41" s="108">
        <f t="shared" ref="AY41" si="137">IF($H40*R41&gt;150000,ROUNDDOWN(($H40*R41-150000)*6%*45%,0),0)</f>
        <v>0</v>
      </c>
      <c r="AZ41" s="108">
        <f t="shared" ref="AZ41" si="138">IF($H40*S41&gt;150000,ROUNDDOWN(($H40*S41-150000)*6%*45%,0),0)</f>
        <v>0</v>
      </c>
      <c r="BA41" s="108">
        <f t="shared" ref="BA41" si="139">IF($H40*T41&gt;150000,ROUNDDOWN(($H40*T41-150000)*6%*45%,0),0)</f>
        <v>0</v>
      </c>
      <c r="BB41" s="108">
        <f t="shared" ref="BB41" si="140">IF($H40*U41&gt;150000,ROUNDDOWN(($H40*U41-150000)*6%*45%,0),0)</f>
        <v>0</v>
      </c>
      <c r="BC41" s="108">
        <f t="shared" ref="BC41" si="141">IF($H40*V41&gt;150000,ROUNDDOWN(($H40*V41-150000)*6%*45%,0),0)</f>
        <v>0</v>
      </c>
      <c r="BD41" s="108">
        <f t="shared" ref="BD41" si="142">IF($H40*W41&gt;150000,ROUNDDOWN(($H40*W41-150000)*6%*45%,0),0)</f>
        <v>0</v>
      </c>
      <c r="BE41" s="109">
        <f t="shared" ref="BE41" si="143">IF($H40*X41&gt;150000,ROUNDDOWN(($H40*X41-150000)*6%*45%,0),0)</f>
        <v>0</v>
      </c>
      <c r="BG41" s="222"/>
      <c r="BH41" s="222"/>
      <c r="BI41" s="222"/>
      <c r="BJ41" s="248"/>
      <c r="BK41" s="265"/>
      <c r="BL41" s="222"/>
      <c r="BM41" s="249"/>
      <c r="BN41" s="265"/>
      <c r="BO41" s="222"/>
      <c r="BP41" s="222"/>
      <c r="BQ41" s="265"/>
      <c r="BR41" s="265"/>
      <c r="BS41" s="265"/>
      <c r="BT41" s="244"/>
      <c r="BU41" s="222"/>
      <c r="BV41" s="244"/>
      <c r="BW41" s="222"/>
    </row>
    <row r="42" spans="1:75" outlineLevel="1">
      <c r="A42" s="221">
        <v>20</v>
      </c>
      <c r="B42" s="222" t="str">
        <f>IF(LEN(D42)&gt;1,IF(VALUE(MID(RIGHT(D42,7),1,1))&gt;4,"외국인",IF(VALUE(RIGHT(11-MOD((MID(D42,1,1)*2+MID(D42,2,1)*3+MID(D42,3,1)*4+MID(D42,4,1)*5+MID(D42,5,1)*6+MID(D42,6,1)*7+MID(RIGHT(D42,7),1,1)*8+MID(RIGHT(D42,7),2,1)*9+MID(RIGHT(D42,7),3,1)*2+MID(RIGHT(D42,7),4,1)*3+MID(RIGHT(D42,7),5,1)*4+MID(RIGHT(D42,7),6,1)*5),11),1))=VALUE(RIGHT(D42,1)),"","오류")),"")</f>
        <v/>
      </c>
      <c r="C42" s="222"/>
      <c r="D42" s="225"/>
      <c r="E42" s="222"/>
      <c r="F42" s="222"/>
      <c r="G42" s="222"/>
      <c r="H42" s="266"/>
      <c r="I42" s="89"/>
      <c r="J42" s="90"/>
      <c r="K42" s="90"/>
      <c r="L42" s="90"/>
      <c r="M42" s="90"/>
      <c r="N42" s="90"/>
      <c r="O42" s="90"/>
      <c r="P42" s="90"/>
      <c r="Q42" s="90"/>
      <c r="R42" s="90"/>
      <c r="S42" s="91"/>
      <c r="T42" s="91"/>
      <c r="U42" s="90"/>
      <c r="V42" s="90"/>
      <c r="W42" s="92"/>
      <c r="X42" s="93"/>
      <c r="Y42" s="264">
        <f>SUM(I42:X43)</f>
        <v>0</v>
      </c>
      <c r="Z42" s="222">
        <f>COUNTIF(I42:X43,"&gt;0")</f>
        <v>0</v>
      </c>
      <c r="AA42" s="266">
        <f>H42*Y42</f>
        <v>0</v>
      </c>
      <c r="AB42" s="94">
        <f>IF(AO42&lt;1000, 0, AO42)</f>
        <v>0</v>
      </c>
      <c r="AC42" s="95">
        <f ca="1">IF(IFERROR($AN42&lt;65,FALSE), IF(B42&lt;&gt;"외국인", ROUNDDOWN(AA42*$AH$1%,-1), IF(AND(AM42&lt;&gt;"", ISNUMBER(SEARCH(LEFT(SUBSTITUTE(AM42, "-",""),2), "F2_F5_F6"))), ROUNDDOWN(AA42*$AH$1%,-1), 0)),0)</f>
        <v>0</v>
      </c>
      <c r="AD42" s="96">
        <f>IF(Z42&gt;=$AJ$1,ROUNDDOWN(AA42*$AH$2%,-1),0)</f>
        <v>0</v>
      </c>
      <c r="AE42" s="266">
        <f ca="1">AB42+AC42+AB43+AC43+AD42+AD43</f>
        <v>0</v>
      </c>
      <c r="AF42" s="266">
        <f ca="1">AA42-AE42</f>
        <v>0</v>
      </c>
      <c r="AG42" s="222"/>
      <c r="AH42" s="222"/>
      <c r="AI42" s="222"/>
      <c r="AJ42" s="222"/>
      <c r="AK42" s="250"/>
      <c r="AL42" s="250"/>
      <c r="AM42" s="251"/>
      <c r="AN42" s="252" t="str">
        <f ca="1">IFERROR(DATEDIF(DATE(IF(ISNUMBER(FIND(MID( SUBSTITUTE(D42, "-",""), 7, 1), "3478")), 2000, 1900)+MID(D42,1,2), MID(D42,3,2), MID(D42,5,2)), TODAY(), "Y"),"")</f>
        <v/>
      </c>
      <c r="AO42" s="266">
        <f>ROUNDDOWN(SUM(AP42:BE43),-1)</f>
        <v>0</v>
      </c>
      <c r="AP42" s="97">
        <f t="shared" ref="AP42:BD42" si="144">IF($H42*I42&gt;150000,ROUNDDOWN(($H42*I42-150000)*6%*45%,0),0)</f>
        <v>0</v>
      </c>
      <c r="AQ42" s="98">
        <f t="shared" si="144"/>
        <v>0</v>
      </c>
      <c r="AR42" s="98">
        <f t="shared" si="144"/>
        <v>0</v>
      </c>
      <c r="AS42" s="98">
        <f t="shared" si="144"/>
        <v>0</v>
      </c>
      <c r="AT42" s="98">
        <f t="shared" si="144"/>
        <v>0</v>
      </c>
      <c r="AU42" s="98">
        <f t="shared" si="144"/>
        <v>0</v>
      </c>
      <c r="AV42" s="98">
        <f t="shared" si="144"/>
        <v>0</v>
      </c>
      <c r="AW42" s="98">
        <f t="shared" si="144"/>
        <v>0</v>
      </c>
      <c r="AX42" s="98">
        <f t="shared" si="144"/>
        <v>0</v>
      </c>
      <c r="AY42" s="98">
        <f t="shared" si="144"/>
        <v>0</v>
      </c>
      <c r="AZ42" s="98">
        <f t="shared" si="144"/>
        <v>0</v>
      </c>
      <c r="BA42" s="98">
        <f t="shared" si="144"/>
        <v>0</v>
      </c>
      <c r="BB42" s="98">
        <f t="shared" si="144"/>
        <v>0</v>
      </c>
      <c r="BC42" s="98">
        <f t="shared" si="144"/>
        <v>0</v>
      </c>
      <c r="BD42" s="99">
        <f t="shared" si="144"/>
        <v>0</v>
      </c>
      <c r="BE42" s="100"/>
      <c r="BG42" s="222">
        <f t="shared" ref="BG42" si="145">C42</f>
        <v>0</v>
      </c>
      <c r="BH42" s="222"/>
      <c r="BI42" s="222"/>
      <c r="BJ42" s="267"/>
      <c r="BK42" s="265"/>
      <c r="BL42" s="222"/>
      <c r="BM42" s="249">
        <f t="shared" si="97"/>
        <v>0</v>
      </c>
      <c r="BN42" s="265"/>
      <c r="BO42" s="222"/>
      <c r="BP42" s="222"/>
      <c r="BQ42" s="265"/>
      <c r="BR42" s="265"/>
      <c r="BS42" s="265"/>
      <c r="BT42" s="244"/>
      <c r="BU42" s="222"/>
      <c r="BV42" s="244">
        <f t="shared" si="100"/>
        <v>0</v>
      </c>
      <c r="BW42" s="222"/>
    </row>
    <row r="43" spans="1:75" outlineLevel="1">
      <c r="A43" s="221"/>
      <c r="B43" s="222"/>
      <c r="C43" s="222"/>
      <c r="D43" s="225"/>
      <c r="E43" s="222"/>
      <c r="F43" s="222"/>
      <c r="G43" s="222"/>
      <c r="H43" s="266"/>
      <c r="I43" s="101"/>
      <c r="J43" s="102"/>
      <c r="K43" s="102"/>
      <c r="L43" s="102"/>
      <c r="M43" s="102"/>
      <c r="N43" s="102"/>
      <c r="O43" s="102"/>
      <c r="P43" s="102"/>
      <c r="Q43" s="102"/>
      <c r="R43" s="102"/>
      <c r="S43" s="102"/>
      <c r="T43" s="102"/>
      <c r="U43" s="102"/>
      <c r="V43" s="102"/>
      <c r="W43" s="102"/>
      <c r="X43" s="103"/>
      <c r="Y43" s="264"/>
      <c r="Z43" s="222"/>
      <c r="AA43" s="266"/>
      <c r="AB43" s="104">
        <f>ROUNDDOWN(AB42*10%,-1)</f>
        <v>0</v>
      </c>
      <c r="AC43" s="105">
        <f ca="1">IFERROR(IF(AND( OR(COUNTIF(I42:X43, "&gt;0")&gt;=$AJ$1, AA42&gt;=$AJ$4),AN42&lt;60,AA42&lt;=$AH$5),ROUNDDOWN(ROUNDDOWN(AA42,-3)*$AH$4%,-1),IF(AND(COUNTIF(I42:X43,"&gt;0")&gt;=$AJ$1,AN42&lt;60,AA42&gt;$AH$5),$AJ$5,0)),0)</f>
        <v>0</v>
      </c>
      <c r="AD43" s="106">
        <f>IF(Z42&gt;=$AJ$1,ROUNDDOWN(AD42*$AH$3%/($AH$2*2%),-1),0)</f>
        <v>0</v>
      </c>
      <c r="AE43" s="266"/>
      <c r="AF43" s="266"/>
      <c r="AG43" s="222"/>
      <c r="AH43" s="222"/>
      <c r="AI43" s="222"/>
      <c r="AJ43" s="222"/>
      <c r="AK43" s="250"/>
      <c r="AL43" s="250"/>
      <c r="AM43" s="251"/>
      <c r="AN43" s="252"/>
      <c r="AO43" s="266"/>
      <c r="AP43" s="107">
        <f t="shared" ref="AP43:BE43" si="146">IF($H42*I43&gt;150000,ROUNDDOWN(($H42*I43-150000)*6%*45%,0),0)</f>
        <v>0</v>
      </c>
      <c r="AQ43" s="108">
        <f t="shared" si="146"/>
        <v>0</v>
      </c>
      <c r="AR43" s="108">
        <f t="shared" si="146"/>
        <v>0</v>
      </c>
      <c r="AS43" s="108">
        <f t="shared" si="146"/>
        <v>0</v>
      </c>
      <c r="AT43" s="108">
        <f t="shared" si="146"/>
        <v>0</v>
      </c>
      <c r="AU43" s="108">
        <f t="shared" si="146"/>
        <v>0</v>
      </c>
      <c r="AV43" s="108">
        <f t="shared" si="146"/>
        <v>0</v>
      </c>
      <c r="AW43" s="108">
        <f t="shared" si="146"/>
        <v>0</v>
      </c>
      <c r="AX43" s="108">
        <f t="shared" si="146"/>
        <v>0</v>
      </c>
      <c r="AY43" s="108">
        <f t="shared" si="146"/>
        <v>0</v>
      </c>
      <c r="AZ43" s="108">
        <f t="shared" si="146"/>
        <v>0</v>
      </c>
      <c r="BA43" s="108">
        <f t="shared" si="146"/>
        <v>0</v>
      </c>
      <c r="BB43" s="108">
        <f t="shared" si="146"/>
        <v>0</v>
      </c>
      <c r="BC43" s="108">
        <f t="shared" si="146"/>
        <v>0</v>
      </c>
      <c r="BD43" s="108">
        <f t="shared" si="146"/>
        <v>0</v>
      </c>
      <c r="BE43" s="109">
        <f t="shared" si="146"/>
        <v>0</v>
      </c>
      <c r="BG43" s="222"/>
      <c r="BH43" s="222"/>
      <c r="BI43" s="222"/>
      <c r="BJ43" s="268"/>
      <c r="BK43" s="265"/>
      <c r="BL43" s="222"/>
      <c r="BM43" s="249"/>
      <c r="BN43" s="265"/>
      <c r="BO43" s="222"/>
      <c r="BP43" s="222"/>
      <c r="BQ43" s="265"/>
      <c r="BR43" s="265"/>
      <c r="BS43" s="265"/>
      <c r="BT43" s="244"/>
      <c r="BU43" s="222"/>
      <c r="BV43" s="244"/>
      <c r="BW43" s="222"/>
    </row>
    <row r="44" spans="1:75" outlineLevel="1">
      <c r="A44" s="221">
        <v>21</v>
      </c>
      <c r="B44" s="222" t="str">
        <f>IF(LEN(D44)&gt;1,IF(VALUE(MID(RIGHT(D44,7),1,1))&gt;4,"외국인",IF(VALUE(RIGHT(11-MOD((MID(D44,1,1)*2+MID(D44,2,1)*3+MID(D44,3,1)*4+MID(D44,4,1)*5+MID(D44,5,1)*6+MID(D44,6,1)*7+MID(RIGHT(D44,7),1,1)*8+MID(RIGHT(D44,7),2,1)*9+MID(RIGHT(D44,7),3,1)*2+MID(RIGHT(D44,7),4,1)*3+MID(RIGHT(D44,7),5,1)*4+MID(RIGHT(D44,7),6,1)*5),11),1))=VALUE(RIGHT(D44,1)),"","오류")),"")</f>
        <v/>
      </c>
      <c r="C44" s="222"/>
      <c r="D44" s="225"/>
      <c r="E44" s="222"/>
      <c r="F44" s="222"/>
      <c r="G44" s="222"/>
      <c r="H44" s="266"/>
      <c r="I44" s="89"/>
      <c r="J44" s="90"/>
      <c r="K44" s="90"/>
      <c r="L44" s="90"/>
      <c r="M44" s="90"/>
      <c r="N44" s="90"/>
      <c r="O44" s="90"/>
      <c r="P44" s="90"/>
      <c r="Q44" s="90"/>
      <c r="R44" s="90"/>
      <c r="S44" s="91"/>
      <c r="T44" s="91"/>
      <c r="U44" s="90"/>
      <c r="V44" s="90"/>
      <c r="W44" s="92"/>
      <c r="X44" s="93"/>
      <c r="Y44" s="264">
        <f>SUM(I44:X45)</f>
        <v>0</v>
      </c>
      <c r="Z44" s="222">
        <f>COUNTIF(I44:X45,"&gt;0")</f>
        <v>0</v>
      </c>
      <c r="AA44" s="266">
        <f>H44*Y44</f>
        <v>0</v>
      </c>
      <c r="AB44" s="94">
        <f>IF(AO44&lt;1000, 0, AO44)</f>
        <v>0</v>
      </c>
      <c r="AC44" s="95">
        <f ca="1">IF(IFERROR($AN44&lt;65,FALSE), IF(B44&lt;&gt;"외국인", ROUNDDOWN(AA44*$AH$1%,-1), IF(AND(AM44&lt;&gt;"", ISNUMBER(SEARCH(LEFT(SUBSTITUTE(AM44, "-",""),2), "F2_F5_F6"))), ROUNDDOWN(AA44*$AH$1%,-1), 0)),0)</f>
        <v>0</v>
      </c>
      <c r="AD44" s="96">
        <f>IF(Z44&gt;=$AJ$1,ROUNDDOWN(AA44*$AH$2%,-1),0)</f>
        <v>0</v>
      </c>
      <c r="AE44" s="266">
        <f ca="1">AB44+AC44+AB45+AC45+AD44+AD45</f>
        <v>0</v>
      </c>
      <c r="AF44" s="266">
        <f ca="1">AA44-AE44</f>
        <v>0</v>
      </c>
      <c r="AG44" s="222"/>
      <c r="AH44" s="222"/>
      <c r="AI44" s="222"/>
      <c r="AJ44" s="222"/>
      <c r="AK44" s="250"/>
      <c r="AL44" s="250"/>
      <c r="AM44" s="251"/>
      <c r="AN44" s="252" t="str">
        <f ca="1">IFERROR(DATEDIF(DATE(IF(ISNUMBER(FIND(MID( SUBSTITUTE(D44, "-",""), 7, 1), "3478")), 2000, 1900)+MID(D44,1,2), MID(D44,3,2), MID(D44,5,2)), TODAY(), "Y"),"")</f>
        <v/>
      </c>
      <c r="AO44" s="266">
        <f>ROUNDDOWN(SUM(AP44:BE45),-1)</f>
        <v>0</v>
      </c>
      <c r="AP44" s="97">
        <f t="shared" ref="AP44:BD44" si="147">IF($H44*I44&gt;150000,ROUNDDOWN(($H44*I44-150000)*6%*45%,0),0)</f>
        <v>0</v>
      </c>
      <c r="AQ44" s="98">
        <f t="shared" si="147"/>
        <v>0</v>
      </c>
      <c r="AR44" s="98">
        <f t="shared" si="147"/>
        <v>0</v>
      </c>
      <c r="AS44" s="98">
        <f t="shared" si="147"/>
        <v>0</v>
      </c>
      <c r="AT44" s="98">
        <f t="shared" si="147"/>
        <v>0</v>
      </c>
      <c r="AU44" s="98">
        <f t="shared" si="147"/>
        <v>0</v>
      </c>
      <c r="AV44" s="98">
        <f t="shared" si="147"/>
        <v>0</v>
      </c>
      <c r="AW44" s="98">
        <f t="shared" si="147"/>
        <v>0</v>
      </c>
      <c r="AX44" s="98">
        <f t="shared" si="147"/>
        <v>0</v>
      </c>
      <c r="AY44" s="98">
        <f t="shared" si="147"/>
        <v>0</v>
      </c>
      <c r="AZ44" s="98">
        <f t="shared" si="147"/>
        <v>0</v>
      </c>
      <c r="BA44" s="98">
        <f t="shared" si="147"/>
        <v>0</v>
      </c>
      <c r="BB44" s="98">
        <f t="shared" si="147"/>
        <v>0</v>
      </c>
      <c r="BC44" s="98">
        <f t="shared" si="147"/>
        <v>0</v>
      </c>
      <c r="BD44" s="99">
        <f t="shared" si="147"/>
        <v>0</v>
      </c>
      <c r="BE44" s="100"/>
      <c r="BG44" s="222">
        <f t="shared" ref="BG44" si="148">C44</f>
        <v>0</v>
      </c>
      <c r="BH44" s="222"/>
      <c r="BI44" s="222"/>
      <c r="BJ44" s="248"/>
      <c r="BK44" s="265"/>
      <c r="BL44" s="222"/>
      <c r="BM44" s="249">
        <f t="shared" si="97"/>
        <v>0</v>
      </c>
      <c r="BN44" s="265"/>
      <c r="BO44" s="222"/>
      <c r="BP44" s="222"/>
      <c r="BQ44" s="265"/>
      <c r="BR44" s="265"/>
      <c r="BS44" s="265"/>
      <c r="BT44" s="244"/>
      <c r="BU44" s="222"/>
      <c r="BV44" s="244">
        <f t="shared" si="100"/>
        <v>0</v>
      </c>
      <c r="BW44" s="222"/>
    </row>
    <row r="45" spans="1:75" outlineLevel="1">
      <c r="A45" s="221"/>
      <c r="B45" s="222"/>
      <c r="C45" s="222"/>
      <c r="D45" s="225"/>
      <c r="E45" s="222"/>
      <c r="F45" s="222"/>
      <c r="G45" s="222"/>
      <c r="H45" s="266"/>
      <c r="I45" s="101"/>
      <c r="J45" s="102"/>
      <c r="K45" s="102"/>
      <c r="L45" s="102"/>
      <c r="M45" s="102"/>
      <c r="N45" s="102"/>
      <c r="O45" s="102"/>
      <c r="P45" s="102"/>
      <c r="Q45" s="102"/>
      <c r="R45" s="102"/>
      <c r="S45" s="102"/>
      <c r="T45" s="102"/>
      <c r="U45" s="102"/>
      <c r="V45" s="102"/>
      <c r="W45" s="102"/>
      <c r="X45" s="103"/>
      <c r="Y45" s="264"/>
      <c r="Z45" s="222"/>
      <c r="AA45" s="266"/>
      <c r="AB45" s="104">
        <f>ROUNDDOWN(AB44*10%,-1)</f>
        <v>0</v>
      </c>
      <c r="AC45" s="105">
        <f ca="1">IFERROR(IF(AND( OR(COUNTIF(I44:X45, "&gt;0")&gt;=$AJ$1, AA44&gt;=$AJ$4),AN44&lt;60,AA44&lt;=$AH$5),ROUNDDOWN(ROUNDDOWN(AA44,-3)*$AH$4%,-1),IF(AND(COUNTIF(I44:X45,"&gt;0")&gt;=$AJ$1,AN44&lt;60,AA44&gt;$AH$5),$AJ$5,0)),0)</f>
        <v>0</v>
      </c>
      <c r="AD45" s="106">
        <f>IF(Z44&gt;=$AJ$1,ROUNDDOWN(AD44*$AH$3%/($AH$2*2%),-1),0)</f>
        <v>0</v>
      </c>
      <c r="AE45" s="266"/>
      <c r="AF45" s="266"/>
      <c r="AG45" s="222"/>
      <c r="AH45" s="222"/>
      <c r="AI45" s="222"/>
      <c r="AJ45" s="222"/>
      <c r="AK45" s="250"/>
      <c r="AL45" s="250"/>
      <c r="AM45" s="251"/>
      <c r="AN45" s="252"/>
      <c r="AO45" s="266"/>
      <c r="AP45" s="107">
        <f t="shared" ref="AP45:BE45" si="149">IF($H44*I45&gt;150000,ROUNDDOWN(($H44*I45-150000)*6%*45%,0),0)</f>
        <v>0</v>
      </c>
      <c r="AQ45" s="108">
        <f t="shared" si="149"/>
        <v>0</v>
      </c>
      <c r="AR45" s="108">
        <f t="shared" si="149"/>
        <v>0</v>
      </c>
      <c r="AS45" s="108">
        <f t="shared" si="149"/>
        <v>0</v>
      </c>
      <c r="AT45" s="108">
        <f t="shared" si="149"/>
        <v>0</v>
      </c>
      <c r="AU45" s="108">
        <f t="shared" si="149"/>
        <v>0</v>
      </c>
      <c r="AV45" s="108">
        <f t="shared" si="149"/>
        <v>0</v>
      </c>
      <c r="AW45" s="108">
        <f t="shared" si="149"/>
        <v>0</v>
      </c>
      <c r="AX45" s="108">
        <f t="shared" si="149"/>
        <v>0</v>
      </c>
      <c r="AY45" s="108">
        <f t="shared" si="149"/>
        <v>0</v>
      </c>
      <c r="AZ45" s="108">
        <f t="shared" si="149"/>
        <v>0</v>
      </c>
      <c r="BA45" s="108">
        <f t="shared" si="149"/>
        <v>0</v>
      </c>
      <c r="BB45" s="108">
        <f t="shared" si="149"/>
        <v>0</v>
      </c>
      <c r="BC45" s="108">
        <f t="shared" si="149"/>
        <v>0</v>
      </c>
      <c r="BD45" s="108">
        <f t="shared" si="149"/>
        <v>0</v>
      </c>
      <c r="BE45" s="109">
        <f t="shared" si="149"/>
        <v>0</v>
      </c>
      <c r="BG45" s="222"/>
      <c r="BH45" s="222"/>
      <c r="BI45" s="222"/>
      <c r="BJ45" s="248"/>
      <c r="BK45" s="265"/>
      <c r="BL45" s="222"/>
      <c r="BM45" s="249"/>
      <c r="BN45" s="265"/>
      <c r="BO45" s="222"/>
      <c r="BP45" s="222"/>
      <c r="BQ45" s="265"/>
      <c r="BR45" s="265"/>
      <c r="BS45" s="265"/>
      <c r="BT45" s="244"/>
      <c r="BU45" s="222"/>
      <c r="BV45" s="244"/>
      <c r="BW45" s="222"/>
    </row>
    <row r="46" spans="1:75" outlineLevel="1">
      <c r="A46" s="221">
        <v>22</v>
      </c>
      <c r="B46" s="222" t="str">
        <f>IF(LEN(D46)&gt;1,IF(VALUE(MID(RIGHT(D46,7),1,1))&gt;4,"외국인",IF(VALUE(RIGHT(11-MOD((MID(D46,1,1)*2+MID(D46,2,1)*3+MID(D46,3,1)*4+MID(D46,4,1)*5+MID(D46,5,1)*6+MID(D46,6,1)*7+MID(RIGHT(D46,7),1,1)*8+MID(RIGHT(D46,7),2,1)*9+MID(RIGHT(D46,7),3,1)*2+MID(RIGHT(D46,7),4,1)*3+MID(RIGHT(D46,7),5,1)*4+MID(RIGHT(D46,7),6,1)*5),11),1))=VALUE(RIGHT(D46,1)),"","오류")),"")</f>
        <v/>
      </c>
      <c r="C46" s="222"/>
      <c r="D46" s="225"/>
      <c r="E46" s="222"/>
      <c r="F46" s="222"/>
      <c r="G46" s="222"/>
      <c r="H46" s="266"/>
      <c r="I46" s="89"/>
      <c r="J46" s="90"/>
      <c r="K46" s="90"/>
      <c r="L46" s="90"/>
      <c r="M46" s="90"/>
      <c r="N46" s="90"/>
      <c r="O46" s="90"/>
      <c r="P46" s="90"/>
      <c r="Q46" s="90"/>
      <c r="R46" s="90"/>
      <c r="S46" s="91"/>
      <c r="T46" s="91"/>
      <c r="U46" s="90"/>
      <c r="V46" s="90"/>
      <c r="W46" s="92"/>
      <c r="X46" s="93"/>
      <c r="Y46" s="264">
        <f>SUM(I46:X47)</f>
        <v>0</v>
      </c>
      <c r="Z46" s="222">
        <f>COUNTIF(I46:X47,"&gt;0")</f>
        <v>0</v>
      </c>
      <c r="AA46" s="266">
        <f>H46*Y46</f>
        <v>0</v>
      </c>
      <c r="AB46" s="94">
        <f>IF(AO46&lt;1000, 0, AO46)</f>
        <v>0</v>
      </c>
      <c r="AC46" s="95">
        <f ca="1">IF(IFERROR($AN46&lt;65,FALSE), IF(B46&lt;&gt;"외국인", ROUNDDOWN(AA46*$AH$1%,-1), IF(AND(AM46&lt;&gt;"", ISNUMBER(SEARCH(LEFT(SUBSTITUTE(AM46, "-",""),2), "F2_F5_F6"))), ROUNDDOWN(AA46*$AH$1%,-1), 0)),0)</f>
        <v>0</v>
      </c>
      <c r="AD46" s="96">
        <f>IF(Z46&gt;=$AJ$1,ROUNDDOWN(AA46*$AH$2%,-1),0)</f>
        <v>0</v>
      </c>
      <c r="AE46" s="266">
        <f ca="1">AB46+AC46+AB47+AC47+AD46+AD47</f>
        <v>0</v>
      </c>
      <c r="AF46" s="266">
        <f ca="1">AA46-AE46</f>
        <v>0</v>
      </c>
      <c r="AG46" s="222"/>
      <c r="AH46" s="222"/>
      <c r="AI46" s="222"/>
      <c r="AJ46" s="222"/>
      <c r="AK46" s="250"/>
      <c r="AL46" s="250"/>
      <c r="AM46" s="251"/>
      <c r="AN46" s="252" t="str">
        <f ca="1">IFERROR(DATEDIF(DATE(IF(ISNUMBER(FIND(MID( SUBSTITUTE(D46, "-",""), 7, 1), "3478")), 2000, 1900)+MID(D46,1,2), MID(D46,3,2), MID(D46,5,2)), TODAY(), "Y"),"")</f>
        <v/>
      </c>
      <c r="AO46" s="266">
        <f>ROUNDDOWN(SUM(AP46:BE47),-1)</f>
        <v>0</v>
      </c>
      <c r="AP46" s="97">
        <f t="shared" ref="AP46:BD46" si="150">IF($H46*I46&gt;150000,ROUNDDOWN(($H46*I46-150000)*6%*45%,0),0)</f>
        <v>0</v>
      </c>
      <c r="AQ46" s="98">
        <f t="shared" si="150"/>
        <v>0</v>
      </c>
      <c r="AR46" s="98">
        <f t="shared" si="150"/>
        <v>0</v>
      </c>
      <c r="AS46" s="98">
        <f t="shared" si="150"/>
        <v>0</v>
      </c>
      <c r="AT46" s="98">
        <f t="shared" si="150"/>
        <v>0</v>
      </c>
      <c r="AU46" s="98">
        <f t="shared" si="150"/>
        <v>0</v>
      </c>
      <c r="AV46" s="98">
        <f t="shared" si="150"/>
        <v>0</v>
      </c>
      <c r="AW46" s="98">
        <f t="shared" si="150"/>
        <v>0</v>
      </c>
      <c r="AX46" s="98">
        <f t="shared" si="150"/>
        <v>0</v>
      </c>
      <c r="AY46" s="98">
        <f t="shared" si="150"/>
        <v>0</v>
      </c>
      <c r="AZ46" s="98">
        <f t="shared" si="150"/>
        <v>0</v>
      </c>
      <c r="BA46" s="98">
        <f t="shared" si="150"/>
        <v>0</v>
      </c>
      <c r="BB46" s="98">
        <f t="shared" si="150"/>
        <v>0</v>
      </c>
      <c r="BC46" s="98">
        <f t="shared" si="150"/>
        <v>0</v>
      </c>
      <c r="BD46" s="99">
        <f t="shared" si="150"/>
        <v>0</v>
      </c>
      <c r="BE46" s="100"/>
      <c r="BG46" s="222">
        <f t="shared" ref="BG46" si="151">C46</f>
        <v>0</v>
      </c>
      <c r="BH46" s="222"/>
      <c r="BI46" s="222"/>
      <c r="BJ46" s="269"/>
      <c r="BK46" s="265"/>
      <c r="BL46" s="222"/>
      <c r="BM46" s="249">
        <f t="shared" si="97"/>
        <v>0</v>
      </c>
      <c r="BN46" s="265"/>
      <c r="BO46" s="222"/>
      <c r="BP46" s="222"/>
      <c r="BQ46" s="265"/>
      <c r="BR46" s="265"/>
      <c r="BS46" s="265"/>
      <c r="BT46" s="244"/>
      <c r="BU46" s="222"/>
      <c r="BV46" s="244">
        <f t="shared" si="100"/>
        <v>0</v>
      </c>
      <c r="BW46" s="222"/>
    </row>
    <row r="47" spans="1:75" outlineLevel="1">
      <c r="A47" s="221"/>
      <c r="B47" s="222"/>
      <c r="C47" s="222"/>
      <c r="D47" s="225"/>
      <c r="E47" s="222"/>
      <c r="F47" s="222"/>
      <c r="G47" s="222"/>
      <c r="H47" s="266"/>
      <c r="I47" s="101"/>
      <c r="J47" s="102"/>
      <c r="K47" s="102"/>
      <c r="L47" s="102"/>
      <c r="M47" s="102"/>
      <c r="N47" s="102"/>
      <c r="O47" s="102"/>
      <c r="P47" s="102"/>
      <c r="Q47" s="102"/>
      <c r="R47" s="102"/>
      <c r="S47" s="102"/>
      <c r="T47" s="102"/>
      <c r="U47" s="102"/>
      <c r="V47" s="102"/>
      <c r="W47" s="102"/>
      <c r="X47" s="103"/>
      <c r="Y47" s="264"/>
      <c r="Z47" s="222"/>
      <c r="AA47" s="266"/>
      <c r="AB47" s="104">
        <f>ROUNDDOWN(AB46*10%,-1)</f>
        <v>0</v>
      </c>
      <c r="AC47" s="105">
        <f ca="1">IFERROR(IF(AND( OR(COUNTIF(I46:X47, "&gt;0")&gt;=$AJ$1, AA46&gt;=$AJ$4),AN46&lt;60,AA46&lt;=$AH$5),ROUNDDOWN(ROUNDDOWN(AA46,-3)*$AH$4%,-1),IF(AND(COUNTIF(I46:X47,"&gt;0")&gt;=$AJ$1,AN46&lt;60,AA46&gt;$AH$5),$AJ$5,0)),0)</f>
        <v>0</v>
      </c>
      <c r="AD47" s="106">
        <f>IF(Z46&gt;=$AJ$1,ROUNDDOWN(AD46*$AH$3%/($AH$2*2%),-1),0)</f>
        <v>0</v>
      </c>
      <c r="AE47" s="266"/>
      <c r="AF47" s="266"/>
      <c r="AG47" s="222"/>
      <c r="AH47" s="222"/>
      <c r="AI47" s="222"/>
      <c r="AJ47" s="222"/>
      <c r="AK47" s="250"/>
      <c r="AL47" s="250"/>
      <c r="AM47" s="251"/>
      <c r="AN47" s="252"/>
      <c r="AO47" s="266"/>
      <c r="AP47" s="107">
        <f t="shared" ref="AP47:BE47" si="152">IF($H46*I47&gt;150000,ROUNDDOWN(($H46*I47-150000)*6%*45%,0),0)</f>
        <v>0</v>
      </c>
      <c r="AQ47" s="108">
        <f t="shared" si="152"/>
        <v>0</v>
      </c>
      <c r="AR47" s="108">
        <f t="shared" si="152"/>
        <v>0</v>
      </c>
      <c r="AS47" s="108">
        <f t="shared" si="152"/>
        <v>0</v>
      </c>
      <c r="AT47" s="108">
        <f t="shared" si="152"/>
        <v>0</v>
      </c>
      <c r="AU47" s="108">
        <f t="shared" si="152"/>
        <v>0</v>
      </c>
      <c r="AV47" s="108">
        <f t="shared" si="152"/>
        <v>0</v>
      </c>
      <c r="AW47" s="108">
        <f t="shared" si="152"/>
        <v>0</v>
      </c>
      <c r="AX47" s="108">
        <f t="shared" si="152"/>
        <v>0</v>
      </c>
      <c r="AY47" s="108">
        <f t="shared" si="152"/>
        <v>0</v>
      </c>
      <c r="AZ47" s="108">
        <f t="shared" si="152"/>
        <v>0</v>
      </c>
      <c r="BA47" s="108">
        <f t="shared" si="152"/>
        <v>0</v>
      </c>
      <c r="BB47" s="108">
        <f t="shared" si="152"/>
        <v>0</v>
      </c>
      <c r="BC47" s="108">
        <f t="shared" si="152"/>
        <v>0</v>
      </c>
      <c r="BD47" s="108">
        <f t="shared" si="152"/>
        <v>0</v>
      </c>
      <c r="BE47" s="109">
        <f t="shared" si="152"/>
        <v>0</v>
      </c>
      <c r="BG47" s="222"/>
      <c r="BH47" s="222"/>
      <c r="BI47" s="222"/>
      <c r="BJ47" s="269"/>
      <c r="BK47" s="265"/>
      <c r="BL47" s="222"/>
      <c r="BM47" s="249"/>
      <c r="BN47" s="265"/>
      <c r="BO47" s="222"/>
      <c r="BP47" s="222"/>
      <c r="BQ47" s="265"/>
      <c r="BR47" s="265"/>
      <c r="BS47" s="265"/>
      <c r="BT47" s="244"/>
      <c r="BU47" s="222"/>
      <c r="BV47" s="244"/>
      <c r="BW47" s="222"/>
    </row>
    <row r="48" spans="1:75" outlineLevel="1">
      <c r="A48" s="221">
        <v>23</v>
      </c>
      <c r="B48" s="222" t="str">
        <f>IF(LEN(D48)&gt;1,IF(VALUE(MID(RIGHT(D48,7),1,1))&gt;4,"외국인",IF(VALUE(RIGHT(11-MOD((MID(D48,1,1)*2+MID(D48,2,1)*3+MID(D48,3,1)*4+MID(D48,4,1)*5+MID(D48,5,1)*6+MID(D48,6,1)*7+MID(RIGHT(D48,7),1,1)*8+MID(RIGHT(D48,7),2,1)*9+MID(RIGHT(D48,7),3,1)*2+MID(RIGHT(D48,7),4,1)*3+MID(RIGHT(D48,7),5,1)*4+MID(RIGHT(D48,7),6,1)*5),11),1))=VALUE(RIGHT(D48,1)),"","오류")),"")</f>
        <v/>
      </c>
      <c r="C48" s="222"/>
      <c r="D48" s="225"/>
      <c r="E48" s="222"/>
      <c r="F48" s="222"/>
      <c r="G48" s="222"/>
      <c r="H48" s="266"/>
      <c r="I48" s="89"/>
      <c r="J48" s="90"/>
      <c r="K48" s="90"/>
      <c r="L48" s="90"/>
      <c r="M48" s="90"/>
      <c r="N48" s="90"/>
      <c r="O48" s="90"/>
      <c r="P48" s="90"/>
      <c r="Q48" s="90"/>
      <c r="R48" s="90"/>
      <c r="S48" s="91"/>
      <c r="T48" s="91"/>
      <c r="U48" s="90"/>
      <c r="V48" s="90"/>
      <c r="W48" s="92"/>
      <c r="X48" s="93"/>
      <c r="Y48" s="264">
        <f>SUM(I48:X49)</f>
        <v>0</v>
      </c>
      <c r="Z48" s="222">
        <f>COUNTIF(I48:X49,"&gt;0")</f>
        <v>0</v>
      </c>
      <c r="AA48" s="266">
        <f>H48*Y48</f>
        <v>0</v>
      </c>
      <c r="AB48" s="94">
        <f>IF(AO48&lt;1000, 0, AO48)</f>
        <v>0</v>
      </c>
      <c r="AC48" s="95">
        <f ca="1">IF(IFERROR($AN48&lt;65,FALSE), IF(B48&lt;&gt;"외국인", ROUNDDOWN(AA48*$AH$1%,-1), IF(AND(AM48&lt;&gt;"", ISNUMBER(SEARCH(LEFT(SUBSTITUTE(AM48, "-",""),2), "F2_F5_F6"))), ROUNDDOWN(AA48*$AH$1%,-1), 0)),0)</f>
        <v>0</v>
      </c>
      <c r="AD48" s="96">
        <f>IF(Z48&gt;=$AJ$1,ROUNDDOWN(AA48*$AH$2%,-1),0)</f>
        <v>0</v>
      </c>
      <c r="AE48" s="266">
        <f ca="1">AB48+AC48+AB49+AC49+AD48+AD49</f>
        <v>0</v>
      </c>
      <c r="AF48" s="266">
        <f ca="1">AA48-AE48</f>
        <v>0</v>
      </c>
      <c r="AG48" s="222"/>
      <c r="AH48" s="222"/>
      <c r="AI48" s="222"/>
      <c r="AJ48" s="222"/>
      <c r="AK48" s="250"/>
      <c r="AL48" s="250"/>
      <c r="AM48" s="251"/>
      <c r="AN48" s="252" t="str">
        <f ca="1">IFERROR(DATEDIF(DATE(IF(ISNUMBER(FIND(MID( SUBSTITUTE(D48, "-",""), 7, 1), "3478")), 2000, 1900)+MID(D48,1,2), MID(D48,3,2), MID(D48,5,2)), TODAY(), "Y"),"")</f>
        <v/>
      </c>
      <c r="AO48" s="266">
        <f>ROUNDDOWN(SUM(AP48:BE49),-1)</f>
        <v>0</v>
      </c>
      <c r="AP48" s="97">
        <f t="shared" ref="AP48:BD48" si="153">IF($H48*I48&gt;150000,ROUNDDOWN(($H48*I48-150000)*6%*45%,0),0)</f>
        <v>0</v>
      </c>
      <c r="AQ48" s="98">
        <f t="shared" si="153"/>
        <v>0</v>
      </c>
      <c r="AR48" s="98">
        <f t="shared" si="153"/>
        <v>0</v>
      </c>
      <c r="AS48" s="98">
        <f t="shared" si="153"/>
        <v>0</v>
      </c>
      <c r="AT48" s="98">
        <f t="shared" si="153"/>
        <v>0</v>
      </c>
      <c r="AU48" s="98">
        <f t="shared" si="153"/>
        <v>0</v>
      </c>
      <c r="AV48" s="98">
        <f t="shared" si="153"/>
        <v>0</v>
      </c>
      <c r="AW48" s="98">
        <f t="shared" si="153"/>
        <v>0</v>
      </c>
      <c r="AX48" s="98">
        <f t="shared" si="153"/>
        <v>0</v>
      </c>
      <c r="AY48" s="98">
        <f t="shared" si="153"/>
        <v>0</v>
      </c>
      <c r="AZ48" s="98">
        <f t="shared" si="153"/>
        <v>0</v>
      </c>
      <c r="BA48" s="98">
        <f t="shared" si="153"/>
        <v>0</v>
      </c>
      <c r="BB48" s="98">
        <f t="shared" si="153"/>
        <v>0</v>
      </c>
      <c r="BC48" s="98">
        <f t="shared" si="153"/>
        <v>0</v>
      </c>
      <c r="BD48" s="99">
        <f t="shared" si="153"/>
        <v>0</v>
      </c>
      <c r="BE48" s="100"/>
      <c r="BG48" s="222">
        <f t="shared" ref="BG48" si="154">C48</f>
        <v>0</v>
      </c>
      <c r="BH48" s="222"/>
      <c r="BI48" s="222"/>
      <c r="BJ48" s="269"/>
      <c r="BK48" s="265"/>
      <c r="BL48" s="222"/>
      <c r="BM48" s="249">
        <f t="shared" si="97"/>
        <v>0</v>
      </c>
      <c r="BN48" s="265"/>
      <c r="BO48" s="222"/>
      <c r="BP48" s="222"/>
      <c r="BQ48" s="265"/>
      <c r="BR48" s="265"/>
      <c r="BS48" s="265"/>
      <c r="BT48" s="244"/>
      <c r="BU48" s="222"/>
      <c r="BV48" s="244">
        <f t="shared" si="100"/>
        <v>0</v>
      </c>
      <c r="BW48" s="222"/>
    </row>
    <row r="49" spans="1:75" outlineLevel="1">
      <c r="A49" s="221"/>
      <c r="B49" s="222"/>
      <c r="C49" s="222"/>
      <c r="D49" s="225"/>
      <c r="E49" s="222"/>
      <c r="F49" s="222"/>
      <c r="G49" s="222"/>
      <c r="H49" s="266"/>
      <c r="I49" s="101"/>
      <c r="J49" s="102"/>
      <c r="K49" s="102"/>
      <c r="L49" s="102"/>
      <c r="M49" s="102"/>
      <c r="N49" s="102"/>
      <c r="O49" s="102"/>
      <c r="P49" s="102"/>
      <c r="Q49" s="102"/>
      <c r="R49" s="102"/>
      <c r="S49" s="102"/>
      <c r="T49" s="102"/>
      <c r="U49" s="102"/>
      <c r="V49" s="102"/>
      <c r="W49" s="102"/>
      <c r="X49" s="103"/>
      <c r="Y49" s="264"/>
      <c r="Z49" s="222"/>
      <c r="AA49" s="266"/>
      <c r="AB49" s="104">
        <f>ROUNDDOWN(AB48*10%,-1)</f>
        <v>0</v>
      </c>
      <c r="AC49" s="105">
        <f ca="1">IFERROR(IF(AND( OR(COUNTIF(I48:X49, "&gt;0")&gt;=$AJ$1, AA48&gt;=$AJ$4),AN48&lt;60,AA48&lt;=$AH$5),ROUNDDOWN(ROUNDDOWN(AA48,-3)*$AH$4%,-1),IF(AND(COUNTIF(I48:X49,"&gt;0")&gt;=$AJ$1,AN48&lt;60,AA48&gt;$AH$5),$AJ$5,0)),0)</f>
        <v>0</v>
      </c>
      <c r="AD49" s="106">
        <f>IF(Z48&gt;=$AJ$1,ROUNDDOWN(AD48*$AH$3%/($AH$2*2%),-1),0)</f>
        <v>0</v>
      </c>
      <c r="AE49" s="266"/>
      <c r="AF49" s="266"/>
      <c r="AG49" s="222"/>
      <c r="AH49" s="222"/>
      <c r="AI49" s="222"/>
      <c r="AJ49" s="222"/>
      <c r="AK49" s="250"/>
      <c r="AL49" s="250"/>
      <c r="AM49" s="251"/>
      <c r="AN49" s="252"/>
      <c r="AO49" s="266"/>
      <c r="AP49" s="107">
        <f t="shared" ref="AP49:BE49" si="155">IF($H48*I49&gt;150000,ROUNDDOWN(($H48*I49-150000)*6%*45%,0),0)</f>
        <v>0</v>
      </c>
      <c r="AQ49" s="108">
        <f t="shared" si="155"/>
        <v>0</v>
      </c>
      <c r="AR49" s="108">
        <f t="shared" si="155"/>
        <v>0</v>
      </c>
      <c r="AS49" s="108">
        <f t="shared" si="155"/>
        <v>0</v>
      </c>
      <c r="AT49" s="108">
        <f t="shared" si="155"/>
        <v>0</v>
      </c>
      <c r="AU49" s="108">
        <f t="shared" si="155"/>
        <v>0</v>
      </c>
      <c r="AV49" s="108">
        <f t="shared" si="155"/>
        <v>0</v>
      </c>
      <c r="AW49" s="108">
        <f t="shared" si="155"/>
        <v>0</v>
      </c>
      <c r="AX49" s="108">
        <f t="shared" si="155"/>
        <v>0</v>
      </c>
      <c r="AY49" s="108">
        <f t="shared" si="155"/>
        <v>0</v>
      </c>
      <c r="AZ49" s="108">
        <f t="shared" si="155"/>
        <v>0</v>
      </c>
      <c r="BA49" s="108">
        <f t="shared" si="155"/>
        <v>0</v>
      </c>
      <c r="BB49" s="108">
        <f t="shared" si="155"/>
        <v>0</v>
      </c>
      <c r="BC49" s="108">
        <f t="shared" si="155"/>
        <v>0</v>
      </c>
      <c r="BD49" s="108">
        <f t="shared" si="155"/>
        <v>0</v>
      </c>
      <c r="BE49" s="109">
        <f t="shared" si="155"/>
        <v>0</v>
      </c>
      <c r="BG49" s="222"/>
      <c r="BH49" s="222"/>
      <c r="BI49" s="222"/>
      <c r="BJ49" s="269"/>
      <c r="BK49" s="265"/>
      <c r="BL49" s="222"/>
      <c r="BM49" s="249"/>
      <c r="BN49" s="265"/>
      <c r="BO49" s="222"/>
      <c r="BP49" s="222"/>
      <c r="BQ49" s="265"/>
      <c r="BR49" s="265"/>
      <c r="BS49" s="265"/>
      <c r="BT49" s="244"/>
      <c r="BU49" s="222"/>
      <c r="BV49" s="244"/>
      <c r="BW49" s="222"/>
    </row>
    <row r="50" spans="1:75" outlineLevel="1">
      <c r="A50" s="221">
        <v>24</v>
      </c>
      <c r="B50" s="222" t="str">
        <f>IF(LEN(D50)&gt;1,IF(VALUE(MID(RIGHT(D50,7),1,1))&gt;4,"외국인",IF(VALUE(RIGHT(11-MOD((MID(D50,1,1)*2+MID(D50,2,1)*3+MID(D50,3,1)*4+MID(D50,4,1)*5+MID(D50,5,1)*6+MID(D50,6,1)*7+MID(RIGHT(D50,7),1,1)*8+MID(RIGHT(D50,7),2,1)*9+MID(RIGHT(D50,7),3,1)*2+MID(RIGHT(D50,7),4,1)*3+MID(RIGHT(D50,7),5,1)*4+MID(RIGHT(D50,7),6,1)*5),11),1))=VALUE(RIGHT(D50,1)),"","오류")),"")</f>
        <v/>
      </c>
      <c r="C50" s="222"/>
      <c r="D50" s="225"/>
      <c r="E50" s="222"/>
      <c r="F50" s="222"/>
      <c r="G50" s="222"/>
      <c r="H50" s="266"/>
      <c r="I50" s="89"/>
      <c r="J50" s="90"/>
      <c r="K50" s="90"/>
      <c r="L50" s="90"/>
      <c r="M50" s="90"/>
      <c r="N50" s="90"/>
      <c r="O50" s="90"/>
      <c r="P50" s="90"/>
      <c r="Q50" s="90"/>
      <c r="R50" s="90"/>
      <c r="S50" s="91"/>
      <c r="T50" s="91"/>
      <c r="U50" s="90"/>
      <c r="V50" s="90"/>
      <c r="W50" s="92"/>
      <c r="X50" s="93"/>
      <c r="Y50" s="264">
        <f>SUM(I50:X51)</f>
        <v>0</v>
      </c>
      <c r="Z50" s="222">
        <f>COUNTIF(I50:X51,"&gt;0")</f>
        <v>0</v>
      </c>
      <c r="AA50" s="266">
        <f>H50*Y50</f>
        <v>0</v>
      </c>
      <c r="AB50" s="94">
        <f>IF(AO50&lt;1000, 0, AO50)</f>
        <v>0</v>
      </c>
      <c r="AC50" s="95">
        <f ca="1">IF(IFERROR($AN50&lt;65,FALSE), IF(B50&lt;&gt;"외국인", ROUNDDOWN(AA50*$AH$1%,-1), IF(AND(AM50&lt;&gt;"", ISNUMBER(SEARCH(LEFT(SUBSTITUTE(AM50, "-",""),2), "F2_F5_F6"))), ROUNDDOWN(AA50*$AH$1%,-1), 0)),0)</f>
        <v>0</v>
      </c>
      <c r="AD50" s="96">
        <f>IF(Z50&gt;=$AJ$1,ROUNDDOWN(AA50*$AH$2%,-1),0)</f>
        <v>0</v>
      </c>
      <c r="AE50" s="266">
        <f ca="1">AB50+AC50+AB51+AC51+AD50+AD51</f>
        <v>0</v>
      </c>
      <c r="AF50" s="266">
        <f ca="1">AA50-AE50</f>
        <v>0</v>
      </c>
      <c r="AG50" s="222"/>
      <c r="AH50" s="222"/>
      <c r="AI50" s="222"/>
      <c r="AJ50" s="222"/>
      <c r="AK50" s="250"/>
      <c r="AL50" s="250"/>
      <c r="AM50" s="251"/>
      <c r="AN50" s="252" t="str">
        <f ca="1">IFERROR(DATEDIF(DATE(IF(ISNUMBER(FIND(MID( SUBSTITUTE(D50, "-",""), 7, 1), "3478")), 2000, 1900)+MID(D50,1,2), MID(D50,3,2), MID(D50,5,2)), TODAY(), "Y"),"")</f>
        <v/>
      </c>
      <c r="AO50" s="266">
        <f>ROUNDDOWN(SUM(AP50:BE51),-1)</f>
        <v>0</v>
      </c>
      <c r="AP50" s="97">
        <f t="shared" ref="AP50:BD50" si="156">IF($H50*I50&gt;150000,ROUNDDOWN(($H50*I50-150000)*6%*45%,0),0)</f>
        <v>0</v>
      </c>
      <c r="AQ50" s="98">
        <f t="shared" si="156"/>
        <v>0</v>
      </c>
      <c r="AR50" s="98">
        <f t="shared" si="156"/>
        <v>0</v>
      </c>
      <c r="AS50" s="98">
        <f t="shared" si="156"/>
        <v>0</v>
      </c>
      <c r="AT50" s="98">
        <f t="shared" si="156"/>
        <v>0</v>
      </c>
      <c r="AU50" s="98">
        <f t="shared" si="156"/>
        <v>0</v>
      </c>
      <c r="AV50" s="98">
        <f t="shared" si="156"/>
        <v>0</v>
      </c>
      <c r="AW50" s="98">
        <f t="shared" si="156"/>
        <v>0</v>
      </c>
      <c r="AX50" s="98">
        <f t="shared" si="156"/>
        <v>0</v>
      </c>
      <c r="AY50" s="98">
        <f t="shared" si="156"/>
        <v>0</v>
      </c>
      <c r="AZ50" s="98">
        <f t="shared" si="156"/>
        <v>0</v>
      </c>
      <c r="BA50" s="98">
        <f t="shared" si="156"/>
        <v>0</v>
      </c>
      <c r="BB50" s="98">
        <f t="shared" si="156"/>
        <v>0</v>
      </c>
      <c r="BC50" s="98">
        <f t="shared" si="156"/>
        <v>0</v>
      </c>
      <c r="BD50" s="99">
        <f t="shared" si="156"/>
        <v>0</v>
      </c>
      <c r="BE50" s="100"/>
      <c r="BG50" s="222">
        <f t="shared" ref="BG50" si="157">C50</f>
        <v>0</v>
      </c>
      <c r="BH50" s="222"/>
      <c r="BI50" s="222"/>
      <c r="BJ50" s="248"/>
      <c r="BK50" s="265"/>
      <c r="BL50" s="222"/>
      <c r="BM50" s="249">
        <f t="shared" si="97"/>
        <v>0</v>
      </c>
      <c r="BN50" s="265"/>
      <c r="BO50" s="222"/>
      <c r="BP50" s="222"/>
      <c r="BQ50" s="265"/>
      <c r="BR50" s="265"/>
      <c r="BS50" s="265"/>
      <c r="BT50" s="244"/>
      <c r="BU50" s="222"/>
      <c r="BV50" s="244">
        <f t="shared" si="100"/>
        <v>0</v>
      </c>
      <c r="BW50" s="222"/>
    </row>
    <row r="51" spans="1:75" outlineLevel="1">
      <c r="A51" s="221"/>
      <c r="B51" s="222"/>
      <c r="C51" s="222"/>
      <c r="D51" s="225"/>
      <c r="E51" s="222"/>
      <c r="F51" s="222"/>
      <c r="G51" s="222"/>
      <c r="H51" s="266"/>
      <c r="I51" s="101"/>
      <c r="J51" s="102"/>
      <c r="K51" s="102"/>
      <c r="L51" s="102"/>
      <c r="M51" s="102"/>
      <c r="N51" s="102"/>
      <c r="O51" s="102"/>
      <c r="P51" s="102"/>
      <c r="Q51" s="102"/>
      <c r="R51" s="102"/>
      <c r="S51" s="102"/>
      <c r="T51" s="102"/>
      <c r="U51" s="102"/>
      <c r="V51" s="102"/>
      <c r="W51" s="102"/>
      <c r="X51" s="103"/>
      <c r="Y51" s="264"/>
      <c r="Z51" s="222"/>
      <c r="AA51" s="266"/>
      <c r="AB51" s="104">
        <f>ROUNDDOWN(AB50*10%,-1)</f>
        <v>0</v>
      </c>
      <c r="AC51" s="105">
        <f ca="1">IFERROR(IF(AND( OR(COUNTIF(I50:X51, "&gt;0")&gt;=$AJ$1, AA50&gt;=$AJ$4),AN50&lt;60,AA50&lt;=$AH$5),ROUNDDOWN(ROUNDDOWN(AA50,-3)*$AH$4%,-1),IF(AND(COUNTIF(I50:X51,"&gt;0")&gt;=$AJ$1,AN50&lt;60,AA50&gt;$AH$5),$AJ$5,0)),0)</f>
        <v>0</v>
      </c>
      <c r="AD51" s="106">
        <f>IF(Z50&gt;=$AJ$1,ROUNDDOWN(AD50*$AH$3%/($AH$2*2%),-1),0)</f>
        <v>0</v>
      </c>
      <c r="AE51" s="266"/>
      <c r="AF51" s="266"/>
      <c r="AG51" s="222"/>
      <c r="AH51" s="222"/>
      <c r="AI51" s="222"/>
      <c r="AJ51" s="222"/>
      <c r="AK51" s="250"/>
      <c r="AL51" s="250"/>
      <c r="AM51" s="251"/>
      <c r="AN51" s="252"/>
      <c r="AO51" s="266"/>
      <c r="AP51" s="107">
        <f t="shared" ref="AP51:BE51" si="158">IF($H50*I51&gt;150000,ROUNDDOWN(($H50*I51-150000)*6%*45%,0),0)</f>
        <v>0</v>
      </c>
      <c r="AQ51" s="108">
        <f t="shared" si="158"/>
        <v>0</v>
      </c>
      <c r="AR51" s="108">
        <f t="shared" si="158"/>
        <v>0</v>
      </c>
      <c r="AS51" s="108">
        <f t="shared" si="158"/>
        <v>0</v>
      </c>
      <c r="AT51" s="108">
        <f t="shared" si="158"/>
        <v>0</v>
      </c>
      <c r="AU51" s="108">
        <f t="shared" si="158"/>
        <v>0</v>
      </c>
      <c r="AV51" s="108">
        <f t="shared" si="158"/>
        <v>0</v>
      </c>
      <c r="AW51" s="108">
        <f t="shared" si="158"/>
        <v>0</v>
      </c>
      <c r="AX51" s="108">
        <f t="shared" si="158"/>
        <v>0</v>
      </c>
      <c r="AY51" s="108">
        <f t="shared" si="158"/>
        <v>0</v>
      </c>
      <c r="AZ51" s="108">
        <f t="shared" si="158"/>
        <v>0</v>
      </c>
      <c r="BA51" s="108">
        <f t="shared" si="158"/>
        <v>0</v>
      </c>
      <c r="BB51" s="108">
        <f t="shared" si="158"/>
        <v>0</v>
      </c>
      <c r="BC51" s="108">
        <f t="shared" si="158"/>
        <v>0</v>
      </c>
      <c r="BD51" s="108">
        <f t="shared" si="158"/>
        <v>0</v>
      </c>
      <c r="BE51" s="109">
        <f t="shared" si="158"/>
        <v>0</v>
      </c>
      <c r="BG51" s="222"/>
      <c r="BH51" s="222"/>
      <c r="BI51" s="222"/>
      <c r="BJ51" s="248"/>
      <c r="BK51" s="265"/>
      <c r="BL51" s="222"/>
      <c r="BM51" s="249"/>
      <c r="BN51" s="265"/>
      <c r="BO51" s="222"/>
      <c r="BP51" s="222"/>
      <c r="BQ51" s="265"/>
      <c r="BR51" s="265"/>
      <c r="BS51" s="265"/>
      <c r="BT51" s="244"/>
      <c r="BU51" s="222"/>
      <c r="BV51" s="244"/>
      <c r="BW51" s="222"/>
    </row>
    <row r="52" spans="1:75" outlineLevel="1">
      <c r="A52" s="221">
        <v>25</v>
      </c>
      <c r="B52" s="222" t="str">
        <f>IF(LEN(D52)&gt;1,IF(VALUE(MID(RIGHT(D52,7),1,1))&gt;4,"외국인",IF(VALUE(RIGHT(11-MOD((MID(D52,1,1)*2+MID(D52,2,1)*3+MID(D52,3,1)*4+MID(D52,4,1)*5+MID(D52,5,1)*6+MID(D52,6,1)*7+MID(RIGHT(D52,7),1,1)*8+MID(RIGHT(D52,7),2,1)*9+MID(RIGHT(D52,7),3,1)*2+MID(RIGHT(D52,7),4,1)*3+MID(RIGHT(D52,7),5,1)*4+MID(RIGHT(D52,7),6,1)*5),11),1))=VALUE(RIGHT(D52,1)),"","오류")),"")</f>
        <v/>
      </c>
      <c r="C52" s="222"/>
      <c r="D52" s="225"/>
      <c r="E52" s="222"/>
      <c r="F52" s="222"/>
      <c r="G52" s="222"/>
      <c r="H52" s="266"/>
      <c r="I52" s="89"/>
      <c r="J52" s="90"/>
      <c r="K52" s="90"/>
      <c r="L52" s="90"/>
      <c r="M52" s="90"/>
      <c r="N52" s="90"/>
      <c r="O52" s="90"/>
      <c r="P52" s="90"/>
      <c r="Q52" s="90"/>
      <c r="R52" s="90"/>
      <c r="S52" s="91"/>
      <c r="T52" s="91"/>
      <c r="U52" s="90"/>
      <c r="V52" s="90"/>
      <c r="W52" s="92"/>
      <c r="X52" s="93"/>
      <c r="Y52" s="264">
        <f>SUM(I52:X53)</f>
        <v>0</v>
      </c>
      <c r="Z52" s="222">
        <f>COUNTIF(I52:X53,"&gt;0")</f>
        <v>0</v>
      </c>
      <c r="AA52" s="266">
        <f>H52*Y52</f>
        <v>0</v>
      </c>
      <c r="AB52" s="94">
        <f>IF(AO52&lt;1000, 0, AO52)</f>
        <v>0</v>
      </c>
      <c r="AC52" s="95">
        <f ca="1">IF(IFERROR($AN52&lt;65,FALSE), IF(B52&lt;&gt;"외국인", ROUNDDOWN(AA52*$AH$1%,-1), IF(AND(AM52&lt;&gt;"", ISNUMBER(SEARCH(LEFT(SUBSTITUTE(AM52, "-",""),2), "F2_F5_F6"))), ROUNDDOWN(AA52*$AH$1%,-1), 0)),0)</f>
        <v>0</v>
      </c>
      <c r="AD52" s="96">
        <f>IF(Z52&gt;=$AJ$1,ROUNDDOWN(AA52*$AH$2%,-1),0)</f>
        <v>0</v>
      </c>
      <c r="AE52" s="266">
        <f ca="1">AB52+AC52+AB53+AC53+AD52+AD53</f>
        <v>0</v>
      </c>
      <c r="AF52" s="266">
        <f ca="1">AA52-AE52</f>
        <v>0</v>
      </c>
      <c r="AG52" s="222"/>
      <c r="AH52" s="222"/>
      <c r="AI52" s="222"/>
      <c r="AJ52" s="222"/>
      <c r="AK52" s="250"/>
      <c r="AL52" s="250"/>
      <c r="AM52" s="251"/>
      <c r="AN52" s="252" t="str">
        <f ca="1">IFERROR(DATEDIF(DATE(IF(ISNUMBER(FIND(MID( SUBSTITUTE(D52, "-",""), 7, 1), "3478")), 2000, 1900)+MID(D52,1,2), MID(D52,3,2), MID(D52,5,2)), TODAY(), "Y"),"")</f>
        <v/>
      </c>
      <c r="AO52" s="266">
        <f>ROUNDDOWN(SUM(AP52:BE53),-1)</f>
        <v>0</v>
      </c>
      <c r="AP52" s="97">
        <f t="shared" ref="AP52:BD52" si="159">IF($H52*I52&gt;150000,ROUNDDOWN(($H52*I52-150000)*6%*45%,0),0)</f>
        <v>0</v>
      </c>
      <c r="AQ52" s="98">
        <f t="shared" si="159"/>
        <v>0</v>
      </c>
      <c r="AR52" s="98">
        <f t="shared" si="159"/>
        <v>0</v>
      </c>
      <c r="AS52" s="98">
        <f t="shared" si="159"/>
        <v>0</v>
      </c>
      <c r="AT52" s="98">
        <f t="shared" si="159"/>
        <v>0</v>
      </c>
      <c r="AU52" s="98">
        <f t="shared" si="159"/>
        <v>0</v>
      </c>
      <c r="AV52" s="98">
        <f t="shared" si="159"/>
        <v>0</v>
      </c>
      <c r="AW52" s="98">
        <f t="shared" si="159"/>
        <v>0</v>
      </c>
      <c r="AX52" s="98">
        <f t="shared" si="159"/>
        <v>0</v>
      </c>
      <c r="AY52" s="98">
        <f t="shared" si="159"/>
        <v>0</v>
      </c>
      <c r="AZ52" s="98">
        <f t="shared" si="159"/>
        <v>0</v>
      </c>
      <c r="BA52" s="98">
        <f t="shared" si="159"/>
        <v>0</v>
      </c>
      <c r="BB52" s="98">
        <f t="shared" si="159"/>
        <v>0</v>
      </c>
      <c r="BC52" s="98">
        <f t="shared" si="159"/>
        <v>0</v>
      </c>
      <c r="BD52" s="99">
        <f t="shared" si="159"/>
        <v>0</v>
      </c>
      <c r="BE52" s="100"/>
      <c r="BG52" s="222">
        <f t="shared" ref="BG52" si="160">C52</f>
        <v>0</v>
      </c>
      <c r="BH52" s="222"/>
      <c r="BI52" s="222"/>
      <c r="BJ52" s="269"/>
      <c r="BK52" s="265"/>
      <c r="BL52" s="222"/>
      <c r="BM52" s="249">
        <f t="shared" si="97"/>
        <v>0</v>
      </c>
      <c r="BN52" s="265"/>
      <c r="BO52" s="222"/>
      <c r="BP52" s="222"/>
      <c r="BQ52" s="265"/>
      <c r="BR52" s="265"/>
      <c r="BS52" s="265"/>
      <c r="BT52" s="244"/>
      <c r="BU52" s="222"/>
      <c r="BV52" s="244">
        <f t="shared" si="100"/>
        <v>0</v>
      </c>
      <c r="BW52" s="222"/>
    </row>
    <row r="53" spans="1:75" outlineLevel="1">
      <c r="A53" s="221"/>
      <c r="B53" s="222"/>
      <c r="C53" s="222"/>
      <c r="D53" s="225"/>
      <c r="E53" s="222"/>
      <c r="F53" s="222"/>
      <c r="G53" s="222"/>
      <c r="H53" s="266"/>
      <c r="I53" s="101"/>
      <c r="J53" s="102"/>
      <c r="K53" s="102"/>
      <c r="L53" s="102"/>
      <c r="M53" s="102"/>
      <c r="N53" s="102"/>
      <c r="O53" s="102"/>
      <c r="P53" s="102"/>
      <c r="Q53" s="102"/>
      <c r="R53" s="102"/>
      <c r="S53" s="102"/>
      <c r="T53" s="102"/>
      <c r="U53" s="102"/>
      <c r="V53" s="102"/>
      <c r="W53" s="102"/>
      <c r="X53" s="103"/>
      <c r="Y53" s="264"/>
      <c r="Z53" s="222"/>
      <c r="AA53" s="266"/>
      <c r="AB53" s="104">
        <f>ROUNDDOWN(AB52*10%,-1)</f>
        <v>0</v>
      </c>
      <c r="AC53" s="105">
        <f ca="1">IFERROR(IF(AND( OR(COUNTIF(I52:X53, "&gt;0")&gt;=$AJ$1, AA52&gt;=$AJ$4),AN52&lt;60,AA52&lt;=$AH$5),ROUNDDOWN(ROUNDDOWN(AA52,-3)*$AH$4%,-1),IF(AND(COUNTIF(I52:X53,"&gt;0")&gt;=$AJ$1,AN52&lt;60,AA52&gt;$AH$5),$AJ$5,0)),0)</f>
        <v>0</v>
      </c>
      <c r="AD53" s="106">
        <f>IF(Z52&gt;=$AJ$1,ROUNDDOWN(AD52*$AH$3%/($AH$2*2%),-1),0)</f>
        <v>0</v>
      </c>
      <c r="AE53" s="266"/>
      <c r="AF53" s="266"/>
      <c r="AG53" s="222"/>
      <c r="AH53" s="222"/>
      <c r="AI53" s="222"/>
      <c r="AJ53" s="222"/>
      <c r="AK53" s="250"/>
      <c r="AL53" s="250"/>
      <c r="AM53" s="251"/>
      <c r="AN53" s="252"/>
      <c r="AO53" s="266"/>
      <c r="AP53" s="107">
        <f t="shared" ref="AP53:BE53" si="161">IF($H52*I53&gt;150000,ROUNDDOWN(($H52*I53-150000)*6%*45%,0),0)</f>
        <v>0</v>
      </c>
      <c r="AQ53" s="108">
        <f t="shared" si="161"/>
        <v>0</v>
      </c>
      <c r="AR53" s="108">
        <f t="shared" si="161"/>
        <v>0</v>
      </c>
      <c r="AS53" s="108">
        <f t="shared" si="161"/>
        <v>0</v>
      </c>
      <c r="AT53" s="108">
        <f t="shared" si="161"/>
        <v>0</v>
      </c>
      <c r="AU53" s="108">
        <f t="shared" si="161"/>
        <v>0</v>
      </c>
      <c r="AV53" s="108">
        <f t="shared" si="161"/>
        <v>0</v>
      </c>
      <c r="AW53" s="108">
        <f t="shared" si="161"/>
        <v>0</v>
      </c>
      <c r="AX53" s="108">
        <f t="shared" si="161"/>
        <v>0</v>
      </c>
      <c r="AY53" s="108">
        <f t="shared" si="161"/>
        <v>0</v>
      </c>
      <c r="AZ53" s="108">
        <f t="shared" si="161"/>
        <v>0</v>
      </c>
      <c r="BA53" s="108">
        <f t="shared" si="161"/>
        <v>0</v>
      </c>
      <c r="BB53" s="108">
        <f t="shared" si="161"/>
        <v>0</v>
      </c>
      <c r="BC53" s="108">
        <f t="shared" si="161"/>
        <v>0</v>
      </c>
      <c r="BD53" s="108">
        <f t="shared" si="161"/>
        <v>0</v>
      </c>
      <c r="BE53" s="109">
        <f t="shared" si="161"/>
        <v>0</v>
      </c>
      <c r="BG53" s="222"/>
      <c r="BH53" s="222"/>
      <c r="BI53" s="222"/>
      <c r="BJ53" s="269"/>
      <c r="BK53" s="265"/>
      <c r="BL53" s="222"/>
      <c r="BM53" s="249"/>
      <c r="BN53" s="265"/>
      <c r="BO53" s="222"/>
      <c r="BP53" s="222"/>
      <c r="BQ53" s="265"/>
      <c r="BR53" s="265"/>
      <c r="BS53" s="265"/>
      <c r="BT53" s="244"/>
      <c r="BU53" s="222"/>
      <c r="BV53" s="244"/>
      <c r="BW53" s="222"/>
    </row>
    <row r="54" spans="1:75" outlineLevel="1">
      <c r="A54" s="221">
        <v>26</v>
      </c>
      <c r="B54" s="222" t="str">
        <f>IF(LEN(D54)&gt;1,IF(VALUE(MID(RIGHT(D54,7),1,1))&gt;4,"외국인",IF(VALUE(RIGHT(11-MOD((MID(D54,1,1)*2+MID(D54,2,1)*3+MID(D54,3,1)*4+MID(D54,4,1)*5+MID(D54,5,1)*6+MID(D54,6,1)*7+MID(RIGHT(D54,7),1,1)*8+MID(RIGHT(D54,7),2,1)*9+MID(RIGHT(D54,7),3,1)*2+MID(RIGHT(D54,7),4,1)*3+MID(RIGHT(D54,7),5,1)*4+MID(RIGHT(D54,7),6,1)*5),11),1))=VALUE(RIGHT(D54,1)),"","오류")),"")</f>
        <v/>
      </c>
      <c r="C54" s="222"/>
      <c r="D54" s="225"/>
      <c r="E54" s="222"/>
      <c r="F54" s="222"/>
      <c r="G54" s="222"/>
      <c r="H54" s="266"/>
      <c r="I54" s="89"/>
      <c r="J54" s="90"/>
      <c r="K54" s="90"/>
      <c r="L54" s="90"/>
      <c r="M54" s="90"/>
      <c r="N54" s="90"/>
      <c r="O54" s="90"/>
      <c r="P54" s="90"/>
      <c r="Q54" s="90"/>
      <c r="R54" s="90"/>
      <c r="S54" s="91"/>
      <c r="T54" s="91"/>
      <c r="U54" s="90"/>
      <c r="V54" s="90"/>
      <c r="W54" s="92"/>
      <c r="X54" s="93"/>
      <c r="Y54" s="264">
        <f>SUM(I54:X55)</f>
        <v>0</v>
      </c>
      <c r="Z54" s="222">
        <f>COUNTIF(I54:X55,"&gt;0")</f>
        <v>0</v>
      </c>
      <c r="AA54" s="266">
        <f>H54*Y54</f>
        <v>0</v>
      </c>
      <c r="AB54" s="94">
        <f>IF(AO54&lt;1000, 0, AO54)</f>
        <v>0</v>
      </c>
      <c r="AC54" s="95">
        <f ca="1">IF(IFERROR($AN54&lt;65,FALSE), IF(B54&lt;&gt;"외국인", ROUNDDOWN(AA54*$AH$1%,-1), IF(AND(AM54&lt;&gt;"", ISNUMBER(SEARCH(LEFT(SUBSTITUTE(AM54, "-",""),2), "F2_F5_F6"))), ROUNDDOWN(AA54*$AH$1%,-1), 0)),0)</f>
        <v>0</v>
      </c>
      <c r="AD54" s="96">
        <f>IF(Z54&gt;=$AJ$1,ROUNDDOWN(AA54*$AH$2%,-1),0)</f>
        <v>0</v>
      </c>
      <c r="AE54" s="266">
        <f ca="1">AB54+AC54+AB55+AC55+AD54+AD55</f>
        <v>0</v>
      </c>
      <c r="AF54" s="266">
        <f ca="1">AA54-AE54</f>
        <v>0</v>
      </c>
      <c r="AG54" s="222"/>
      <c r="AH54" s="222"/>
      <c r="AI54" s="222"/>
      <c r="AJ54" s="222"/>
      <c r="AK54" s="250"/>
      <c r="AL54" s="250"/>
      <c r="AM54" s="251"/>
      <c r="AN54" s="252" t="str">
        <f ca="1">IFERROR(DATEDIF(DATE(IF(ISNUMBER(FIND(MID( SUBSTITUTE(D54, "-",""), 7, 1), "3478")), 2000, 1900)+MID(D54,1,2), MID(D54,3,2), MID(D54,5,2)), TODAY(), "Y"),"")</f>
        <v/>
      </c>
      <c r="AO54" s="266">
        <f>ROUNDDOWN(SUM(AP54:BE55),-1)</f>
        <v>0</v>
      </c>
      <c r="AP54" s="97">
        <f t="shared" ref="AP54:BD54" si="162">IF($H54*I54&gt;150000,ROUNDDOWN(($H54*I54-150000)*6%*45%,0),0)</f>
        <v>0</v>
      </c>
      <c r="AQ54" s="98">
        <f t="shared" si="162"/>
        <v>0</v>
      </c>
      <c r="AR54" s="98">
        <f t="shared" si="162"/>
        <v>0</v>
      </c>
      <c r="AS54" s="98">
        <f t="shared" si="162"/>
        <v>0</v>
      </c>
      <c r="AT54" s="98">
        <f t="shared" si="162"/>
        <v>0</v>
      </c>
      <c r="AU54" s="98">
        <f t="shared" si="162"/>
        <v>0</v>
      </c>
      <c r="AV54" s="98">
        <f t="shared" si="162"/>
        <v>0</v>
      </c>
      <c r="AW54" s="98">
        <f t="shared" si="162"/>
        <v>0</v>
      </c>
      <c r="AX54" s="98">
        <f t="shared" si="162"/>
        <v>0</v>
      </c>
      <c r="AY54" s="98">
        <f t="shared" si="162"/>
        <v>0</v>
      </c>
      <c r="AZ54" s="98">
        <f t="shared" si="162"/>
        <v>0</v>
      </c>
      <c r="BA54" s="98">
        <f t="shared" si="162"/>
        <v>0</v>
      </c>
      <c r="BB54" s="98">
        <f t="shared" si="162"/>
        <v>0</v>
      </c>
      <c r="BC54" s="98">
        <f t="shared" si="162"/>
        <v>0</v>
      </c>
      <c r="BD54" s="99">
        <f t="shared" si="162"/>
        <v>0</v>
      </c>
      <c r="BE54" s="100"/>
      <c r="BG54" s="222">
        <f t="shared" ref="BG54" si="163">C54</f>
        <v>0</v>
      </c>
      <c r="BH54" s="222"/>
      <c r="BI54" s="222"/>
      <c r="BJ54" s="248"/>
      <c r="BK54" s="265"/>
      <c r="BL54" s="222"/>
      <c r="BM54" s="249">
        <f t="shared" si="97"/>
        <v>0</v>
      </c>
      <c r="BN54" s="265"/>
      <c r="BO54" s="222"/>
      <c r="BP54" s="222"/>
      <c r="BQ54" s="265"/>
      <c r="BR54" s="265"/>
      <c r="BS54" s="265"/>
      <c r="BT54" s="244"/>
      <c r="BU54" s="222"/>
      <c r="BV54" s="244">
        <f t="shared" si="100"/>
        <v>0</v>
      </c>
      <c r="BW54" s="222"/>
    </row>
    <row r="55" spans="1:75" outlineLevel="1">
      <c r="A55" s="221"/>
      <c r="B55" s="222"/>
      <c r="C55" s="222"/>
      <c r="D55" s="225"/>
      <c r="E55" s="222"/>
      <c r="F55" s="222"/>
      <c r="G55" s="222"/>
      <c r="H55" s="266"/>
      <c r="I55" s="101"/>
      <c r="J55" s="102"/>
      <c r="K55" s="102"/>
      <c r="L55" s="102"/>
      <c r="M55" s="102"/>
      <c r="N55" s="102"/>
      <c r="O55" s="102"/>
      <c r="P55" s="102"/>
      <c r="Q55" s="102"/>
      <c r="R55" s="102"/>
      <c r="S55" s="102"/>
      <c r="T55" s="102"/>
      <c r="U55" s="102"/>
      <c r="V55" s="102"/>
      <c r="W55" s="102"/>
      <c r="X55" s="103"/>
      <c r="Y55" s="264"/>
      <c r="Z55" s="222"/>
      <c r="AA55" s="266"/>
      <c r="AB55" s="104">
        <f>ROUNDDOWN(AB54*10%,-1)</f>
        <v>0</v>
      </c>
      <c r="AC55" s="105">
        <f ca="1">IFERROR(IF(AND( OR(COUNTIF(I54:X55, "&gt;0")&gt;=$AJ$1, AA54&gt;=$AJ$4),AN54&lt;60,AA54&lt;=$AH$5),ROUNDDOWN(ROUNDDOWN(AA54,-3)*$AH$4%,-1),IF(AND(COUNTIF(I54:X55,"&gt;0")&gt;=$AJ$1,AN54&lt;60,AA54&gt;$AH$5),$AJ$5,0)),0)</f>
        <v>0</v>
      </c>
      <c r="AD55" s="106">
        <f>IF(Z54&gt;=$AJ$1,ROUNDDOWN(AD54*$AH$3%/($AH$2*2%),-1),0)</f>
        <v>0</v>
      </c>
      <c r="AE55" s="266"/>
      <c r="AF55" s="266"/>
      <c r="AG55" s="222"/>
      <c r="AH55" s="222"/>
      <c r="AI55" s="222"/>
      <c r="AJ55" s="222"/>
      <c r="AK55" s="250"/>
      <c r="AL55" s="250"/>
      <c r="AM55" s="251"/>
      <c r="AN55" s="252"/>
      <c r="AO55" s="266"/>
      <c r="AP55" s="107">
        <f t="shared" ref="AP55:BE55" si="164">IF($H54*I55&gt;150000,ROUNDDOWN(($H54*I55-150000)*6%*45%,0),0)</f>
        <v>0</v>
      </c>
      <c r="AQ55" s="108">
        <f t="shared" si="164"/>
        <v>0</v>
      </c>
      <c r="AR55" s="108">
        <f t="shared" si="164"/>
        <v>0</v>
      </c>
      <c r="AS55" s="108">
        <f t="shared" si="164"/>
        <v>0</v>
      </c>
      <c r="AT55" s="108">
        <f t="shared" si="164"/>
        <v>0</v>
      </c>
      <c r="AU55" s="108">
        <f t="shared" si="164"/>
        <v>0</v>
      </c>
      <c r="AV55" s="108">
        <f t="shared" si="164"/>
        <v>0</v>
      </c>
      <c r="AW55" s="108">
        <f t="shared" si="164"/>
        <v>0</v>
      </c>
      <c r="AX55" s="108">
        <f t="shared" si="164"/>
        <v>0</v>
      </c>
      <c r="AY55" s="108">
        <f t="shared" si="164"/>
        <v>0</v>
      </c>
      <c r="AZ55" s="108">
        <f t="shared" si="164"/>
        <v>0</v>
      </c>
      <c r="BA55" s="108">
        <f t="shared" si="164"/>
        <v>0</v>
      </c>
      <c r="BB55" s="108">
        <f t="shared" si="164"/>
        <v>0</v>
      </c>
      <c r="BC55" s="108">
        <f t="shared" si="164"/>
        <v>0</v>
      </c>
      <c r="BD55" s="108">
        <f t="shared" si="164"/>
        <v>0</v>
      </c>
      <c r="BE55" s="109">
        <f t="shared" si="164"/>
        <v>0</v>
      </c>
      <c r="BG55" s="222"/>
      <c r="BH55" s="222"/>
      <c r="BI55" s="222"/>
      <c r="BJ55" s="248"/>
      <c r="BK55" s="265"/>
      <c r="BL55" s="222"/>
      <c r="BM55" s="249"/>
      <c r="BN55" s="265"/>
      <c r="BO55" s="222"/>
      <c r="BP55" s="222"/>
      <c r="BQ55" s="265"/>
      <c r="BR55" s="265"/>
      <c r="BS55" s="265"/>
      <c r="BT55" s="244"/>
      <c r="BU55" s="222"/>
      <c r="BV55" s="244"/>
      <c r="BW55" s="222"/>
    </row>
    <row r="56" spans="1:75" outlineLevel="1">
      <c r="A56" s="221">
        <v>27</v>
      </c>
      <c r="B56" s="222" t="str">
        <f>IF(LEN(D56)&gt;1,IF(VALUE(MID(RIGHT(D56,7),1,1))&gt;4,"외국인",IF(VALUE(RIGHT(11-MOD((MID(D56,1,1)*2+MID(D56,2,1)*3+MID(D56,3,1)*4+MID(D56,4,1)*5+MID(D56,5,1)*6+MID(D56,6,1)*7+MID(RIGHT(D56,7),1,1)*8+MID(RIGHT(D56,7),2,1)*9+MID(RIGHT(D56,7),3,1)*2+MID(RIGHT(D56,7),4,1)*3+MID(RIGHT(D56,7),5,1)*4+MID(RIGHT(D56,7),6,1)*5),11),1))=VALUE(RIGHT(D56,1)),"","오류")),"")</f>
        <v/>
      </c>
      <c r="C56" s="222"/>
      <c r="D56" s="225"/>
      <c r="E56" s="222"/>
      <c r="F56" s="222"/>
      <c r="G56" s="222"/>
      <c r="H56" s="266"/>
      <c r="I56" s="89"/>
      <c r="J56" s="90"/>
      <c r="K56" s="90"/>
      <c r="L56" s="90"/>
      <c r="M56" s="90"/>
      <c r="N56" s="90"/>
      <c r="O56" s="90"/>
      <c r="P56" s="90"/>
      <c r="Q56" s="90"/>
      <c r="R56" s="90"/>
      <c r="S56" s="91"/>
      <c r="T56" s="91"/>
      <c r="U56" s="90"/>
      <c r="V56" s="90"/>
      <c r="W56" s="92"/>
      <c r="X56" s="93"/>
      <c r="Y56" s="264">
        <f>SUM(I56:X57)</f>
        <v>0</v>
      </c>
      <c r="Z56" s="222">
        <f>COUNTIF(I56:X57,"&gt;0")</f>
        <v>0</v>
      </c>
      <c r="AA56" s="266">
        <f>H56*Y56</f>
        <v>0</v>
      </c>
      <c r="AB56" s="94">
        <f>IF(AO56&lt;1000, 0, AO56)</f>
        <v>0</v>
      </c>
      <c r="AC56" s="95">
        <f ca="1">IF(IFERROR($AN56&lt;65,FALSE), IF(B56&lt;&gt;"외국인", ROUNDDOWN(AA56*$AH$1%,-1), IF(AND(AM56&lt;&gt;"", ISNUMBER(SEARCH(LEFT(SUBSTITUTE(AM56, "-",""),2), "F2_F5_F6"))), ROUNDDOWN(AA56*$AH$1%,-1), 0)),0)</f>
        <v>0</v>
      </c>
      <c r="AD56" s="96">
        <f>IF(Z56&gt;=$AJ$1,ROUNDDOWN(AA56*$AH$2%,-1),0)</f>
        <v>0</v>
      </c>
      <c r="AE56" s="266">
        <f ca="1">AB56+AC56+AB57+AC57+AD56+AD57</f>
        <v>0</v>
      </c>
      <c r="AF56" s="266">
        <f ca="1">AA56-AE56</f>
        <v>0</v>
      </c>
      <c r="AG56" s="222"/>
      <c r="AH56" s="222"/>
      <c r="AI56" s="222"/>
      <c r="AJ56" s="222"/>
      <c r="AK56" s="250"/>
      <c r="AL56" s="250"/>
      <c r="AM56" s="251"/>
      <c r="AN56" s="252" t="str">
        <f ca="1">IFERROR(DATEDIF(DATE(IF(ISNUMBER(FIND(MID( SUBSTITUTE(D56, "-",""), 7, 1), "3478")), 2000, 1900)+MID(D56,1,2), MID(D56,3,2), MID(D56,5,2)), TODAY(), "Y"),"")</f>
        <v/>
      </c>
      <c r="AO56" s="266">
        <f>ROUNDDOWN(SUM(AP56:BE57),-1)</f>
        <v>0</v>
      </c>
      <c r="AP56" s="97">
        <f t="shared" ref="AP56:BD56" si="165">IF($H56*I56&gt;150000,ROUNDDOWN(($H56*I56-150000)*6%*45%,0),0)</f>
        <v>0</v>
      </c>
      <c r="AQ56" s="98">
        <f t="shared" si="165"/>
        <v>0</v>
      </c>
      <c r="AR56" s="98">
        <f t="shared" si="165"/>
        <v>0</v>
      </c>
      <c r="AS56" s="98">
        <f t="shared" si="165"/>
        <v>0</v>
      </c>
      <c r="AT56" s="98">
        <f t="shared" si="165"/>
        <v>0</v>
      </c>
      <c r="AU56" s="98">
        <f t="shared" si="165"/>
        <v>0</v>
      </c>
      <c r="AV56" s="98">
        <f t="shared" si="165"/>
        <v>0</v>
      </c>
      <c r="AW56" s="98">
        <f t="shared" si="165"/>
        <v>0</v>
      </c>
      <c r="AX56" s="98">
        <f t="shared" si="165"/>
        <v>0</v>
      </c>
      <c r="AY56" s="98">
        <f t="shared" si="165"/>
        <v>0</v>
      </c>
      <c r="AZ56" s="98">
        <f t="shared" si="165"/>
        <v>0</v>
      </c>
      <c r="BA56" s="98">
        <f t="shared" si="165"/>
        <v>0</v>
      </c>
      <c r="BB56" s="98">
        <f t="shared" si="165"/>
        <v>0</v>
      </c>
      <c r="BC56" s="98">
        <f t="shared" si="165"/>
        <v>0</v>
      </c>
      <c r="BD56" s="99">
        <f t="shared" si="165"/>
        <v>0</v>
      </c>
      <c r="BE56" s="100"/>
      <c r="BG56" s="222">
        <f t="shared" ref="BG56" si="166">C56</f>
        <v>0</v>
      </c>
      <c r="BH56" s="222"/>
      <c r="BI56" s="222"/>
      <c r="BJ56" s="248"/>
      <c r="BK56" s="265"/>
      <c r="BL56" s="222"/>
      <c r="BM56" s="249">
        <f t="shared" si="97"/>
        <v>0</v>
      </c>
      <c r="BN56" s="265"/>
      <c r="BO56" s="222"/>
      <c r="BP56" s="222"/>
      <c r="BQ56" s="265"/>
      <c r="BR56" s="265"/>
      <c r="BS56" s="265"/>
      <c r="BT56" s="244"/>
      <c r="BU56" s="222"/>
      <c r="BV56" s="244">
        <f t="shared" si="100"/>
        <v>0</v>
      </c>
      <c r="BW56" s="222"/>
    </row>
    <row r="57" spans="1:75" outlineLevel="1">
      <c r="A57" s="221"/>
      <c r="B57" s="222"/>
      <c r="C57" s="222"/>
      <c r="D57" s="225"/>
      <c r="E57" s="222"/>
      <c r="F57" s="222"/>
      <c r="G57" s="222"/>
      <c r="H57" s="266"/>
      <c r="I57" s="101"/>
      <c r="J57" s="102"/>
      <c r="K57" s="102"/>
      <c r="L57" s="102"/>
      <c r="M57" s="102"/>
      <c r="N57" s="102"/>
      <c r="O57" s="102"/>
      <c r="P57" s="102"/>
      <c r="Q57" s="102"/>
      <c r="R57" s="102"/>
      <c r="S57" s="102"/>
      <c r="T57" s="102"/>
      <c r="U57" s="102"/>
      <c r="V57" s="102"/>
      <c r="W57" s="102"/>
      <c r="X57" s="103"/>
      <c r="Y57" s="264"/>
      <c r="Z57" s="222"/>
      <c r="AA57" s="266"/>
      <c r="AB57" s="104">
        <f>ROUNDDOWN(AB56*10%,-1)</f>
        <v>0</v>
      </c>
      <c r="AC57" s="105">
        <f ca="1">IFERROR(IF(AND( OR(COUNTIF(I56:X57, "&gt;0")&gt;=$AJ$1, AA56&gt;=$AJ$4),AN56&lt;60,AA56&lt;=$AH$5),ROUNDDOWN(ROUNDDOWN(AA56,-3)*$AH$4%,-1),IF(AND(COUNTIF(I56:X57,"&gt;0")&gt;=$AJ$1,AN56&lt;60,AA56&gt;$AH$5),$AJ$5,0)),0)</f>
        <v>0</v>
      </c>
      <c r="AD57" s="106">
        <f>IF(Z56&gt;=$AJ$1,ROUNDDOWN(AD56*$AH$3%/($AH$2*2%),-1),0)</f>
        <v>0</v>
      </c>
      <c r="AE57" s="266"/>
      <c r="AF57" s="266"/>
      <c r="AG57" s="222"/>
      <c r="AH57" s="222"/>
      <c r="AI57" s="222"/>
      <c r="AJ57" s="222"/>
      <c r="AK57" s="250"/>
      <c r="AL57" s="250"/>
      <c r="AM57" s="251"/>
      <c r="AN57" s="252"/>
      <c r="AO57" s="266"/>
      <c r="AP57" s="107">
        <f t="shared" ref="AP57:BE57" si="167">IF($H56*I57&gt;150000,ROUNDDOWN(($H56*I57-150000)*6%*45%,0),0)</f>
        <v>0</v>
      </c>
      <c r="AQ57" s="108">
        <f t="shared" si="167"/>
        <v>0</v>
      </c>
      <c r="AR57" s="108">
        <f t="shared" si="167"/>
        <v>0</v>
      </c>
      <c r="AS57" s="108">
        <f t="shared" si="167"/>
        <v>0</v>
      </c>
      <c r="AT57" s="108">
        <f t="shared" si="167"/>
        <v>0</v>
      </c>
      <c r="AU57" s="108">
        <f t="shared" si="167"/>
        <v>0</v>
      </c>
      <c r="AV57" s="108">
        <f t="shared" si="167"/>
        <v>0</v>
      </c>
      <c r="AW57" s="108">
        <f t="shared" si="167"/>
        <v>0</v>
      </c>
      <c r="AX57" s="108">
        <f t="shared" si="167"/>
        <v>0</v>
      </c>
      <c r="AY57" s="108">
        <f t="shared" si="167"/>
        <v>0</v>
      </c>
      <c r="AZ57" s="108">
        <f t="shared" si="167"/>
        <v>0</v>
      </c>
      <c r="BA57" s="108">
        <f t="shared" si="167"/>
        <v>0</v>
      </c>
      <c r="BB57" s="108">
        <f t="shared" si="167"/>
        <v>0</v>
      </c>
      <c r="BC57" s="108">
        <f t="shared" si="167"/>
        <v>0</v>
      </c>
      <c r="BD57" s="108">
        <f t="shared" si="167"/>
        <v>0</v>
      </c>
      <c r="BE57" s="109">
        <f t="shared" si="167"/>
        <v>0</v>
      </c>
      <c r="BG57" s="222"/>
      <c r="BH57" s="222"/>
      <c r="BI57" s="222"/>
      <c r="BJ57" s="248"/>
      <c r="BK57" s="265"/>
      <c r="BL57" s="222"/>
      <c r="BM57" s="249"/>
      <c r="BN57" s="265"/>
      <c r="BO57" s="222"/>
      <c r="BP57" s="222"/>
      <c r="BQ57" s="265"/>
      <c r="BR57" s="265"/>
      <c r="BS57" s="265"/>
      <c r="BT57" s="244"/>
      <c r="BU57" s="222"/>
      <c r="BV57" s="244"/>
      <c r="BW57" s="222"/>
    </row>
    <row r="58" spans="1:75" outlineLevel="1">
      <c r="A58" s="221">
        <v>28</v>
      </c>
      <c r="B58" s="222" t="str">
        <f>IF(LEN(D58)&gt;1,IF(VALUE(MID(RIGHT(D58,7),1,1))&gt;4,"외국인",IF(VALUE(RIGHT(11-MOD((MID(D58,1,1)*2+MID(D58,2,1)*3+MID(D58,3,1)*4+MID(D58,4,1)*5+MID(D58,5,1)*6+MID(D58,6,1)*7+MID(RIGHT(D58,7),1,1)*8+MID(RIGHT(D58,7),2,1)*9+MID(RIGHT(D58,7),3,1)*2+MID(RIGHT(D58,7),4,1)*3+MID(RIGHT(D58,7),5,1)*4+MID(RIGHT(D58,7),6,1)*5),11),1))=VALUE(RIGHT(D58,1)),"","오류")),"")</f>
        <v/>
      </c>
      <c r="C58" s="222"/>
      <c r="D58" s="225"/>
      <c r="E58" s="222"/>
      <c r="F58" s="222"/>
      <c r="G58" s="222"/>
      <c r="H58" s="266"/>
      <c r="I58" s="89"/>
      <c r="J58" s="90"/>
      <c r="K58" s="90"/>
      <c r="L58" s="90"/>
      <c r="M58" s="90"/>
      <c r="N58" s="90"/>
      <c r="O58" s="90"/>
      <c r="P58" s="90"/>
      <c r="Q58" s="90"/>
      <c r="R58" s="90"/>
      <c r="S58" s="91"/>
      <c r="T58" s="91"/>
      <c r="U58" s="90"/>
      <c r="V58" s="90"/>
      <c r="W58" s="92"/>
      <c r="X58" s="93"/>
      <c r="Y58" s="264">
        <f>SUM(I58:X59)</f>
        <v>0</v>
      </c>
      <c r="Z58" s="222">
        <f>COUNTIF(I58:X59,"&gt;0")</f>
        <v>0</v>
      </c>
      <c r="AA58" s="266">
        <f>H58*Y58</f>
        <v>0</v>
      </c>
      <c r="AB58" s="94">
        <f>IF(AO58&lt;1000, 0, AO58)</f>
        <v>0</v>
      </c>
      <c r="AC58" s="95">
        <f ca="1">IF(IFERROR($AN58&lt;65,FALSE), IF(B58&lt;&gt;"외국인", ROUNDDOWN(AA58*$AH$1%,-1), IF(AND(AM58&lt;&gt;"", ISNUMBER(SEARCH(LEFT(SUBSTITUTE(AM58, "-",""),2), "F2_F5_F6"))), ROUNDDOWN(AA58*$AH$1%,-1), 0)),0)</f>
        <v>0</v>
      </c>
      <c r="AD58" s="96">
        <f>IF(Z58&gt;=$AJ$1,ROUNDDOWN(AA58*$AH$2%,-1),0)</f>
        <v>0</v>
      </c>
      <c r="AE58" s="266">
        <f ca="1">AB58+AC58+AB59+AC59+AD58+AD59</f>
        <v>0</v>
      </c>
      <c r="AF58" s="266">
        <f ca="1">AA58-AE58</f>
        <v>0</v>
      </c>
      <c r="AG58" s="222"/>
      <c r="AH58" s="222"/>
      <c r="AI58" s="222"/>
      <c r="AJ58" s="222"/>
      <c r="AK58" s="250"/>
      <c r="AL58" s="250"/>
      <c r="AM58" s="251"/>
      <c r="AN58" s="252" t="str">
        <f ca="1">IFERROR(DATEDIF(DATE(IF(ISNUMBER(FIND(MID( SUBSTITUTE(D58, "-",""), 7, 1), "3478")), 2000, 1900)+MID(D58,1,2), MID(D58,3,2), MID(D58,5,2)), TODAY(), "Y"),"")</f>
        <v/>
      </c>
      <c r="AO58" s="266">
        <f>ROUNDDOWN(SUM(AP58:BE59),-1)</f>
        <v>0</v>
      </c>
      <c r="AP58" s="97">
        <f t="shared" ref="AP58:BD58" si="168">IF($H58*I58&gt;150000,ROUNDDOWN(($H58*I58-150000)*6%*45%,0),0)</f>
        <v>0</v>
      </c>
      <c r="AQ58" s="98">
        <f t="shared" si="168"/>
        <v>0</v>
      </c>
      <c r="AR58" s="98">
        <f t="shared" si="168"/>
        <v>0</v>
      </c>
      <c r="AS58" s="98">
        <f t="shared" si="168"/>
        <v>0</v>
      </c>
      <c r="AT58" s="98">
        <f t="shared" si="168"/>
        <v>0</v>
      </c>
      <c r="AU58" s="98">
        <f t="shared" si="168"/>
        <v>0</v>
      </c>
      <c r="AV58" s="98">
        <f t="shared" si="168"/>
        <v>0</v>
      </c>
      <c r="AW58" s="98">
        <f t="shared" si="168"/>
        <v>0</v>
      </c>
      <c r="AX58" s="98">
        <f t="shared" si="168"/>
        <v>0</v>
      </c>
      <c r="AY58" s="98">
        <f t="shared" si="168"/>
        <v>0</v>
      </c>
      <c r="AZ58" s="98">
        <f t="shared" si="168"/>
        <v>0</v>
      </c>
      <c r="BA58" s="98">
        <f t="shared" si="168"/>
        <v>0</v>
      </c>
      <c r="BB58" s="98">
        <f t="shared" si="168"/>
        <v>0</v>
      </c>
      <c r="BC58" s="98">
        <f t="shared" si="168"/>
        <v>0</v>
      </c>
      <c r="BD58" s="99">
        <f t="shared" si="168"/>
        <v>0</v>
      </c>
      <c r="BE58" s="100"/>
      <c r="BG58" s="222">
        <f t="shared" ref="BG58" si="169">C58</f>
        <v>0</v>
      </c>
      <c r="BH58" s="222"/>
      <c r="BI58" s="222"/>
      <c r="BJ58" s="248"/>
      <c r="BK58" s="265"/>
      <c r="BL58" s="222"/>
      <c r="BM58" s="249">
        <f t="shared" si="97"/>
        <v>0</v>
      </c>
      <c r="BN58" s="265"/>
      <c r="BO58" s="222"/>
      <c r="BP58" s="222"/>
      <c r="BQ58" s="265"/>
      <c r="BR58" s="265"/>
      <c r="BS58" s="265"/>
      <c r="BT58" s="244"/>
      <c r="BU58" s="222"/>
      <c r="BV58" s="244">
        <f t="shared" si="100"/>
        <v>0</v>
      </c>
      <c r="BW58" s="222"/>
    </row>
    <row r="59" spans="1:75" outlineLevel="1">
      <c r="A59" s="221"/>
      <c r="B59" s="222"/>
      <c r="C59" s="222"/>
      <c r="D59" s="225"/>
      <c r="E59" s="222"/>
      <c r="F59" s="222"/>
      <c r="G59" s="222"/>
      <c r="H59" s="266"/>
      <c r="I59" s="101"/>
      <c r="J59" s="102"/>
      <c r="K59" s="102"/>
      <c r="L59" s="102"/>
      <c r="M59" s="102"/>
      <c r="N59" s="102"/>
      <c r="O59" s="102"/>
      <c r="P59" s="102"/>
      <c r="Q59" s="102"/>
      <c r="R59" s="102"/>
      <c r="S59" s="102"/>
      <c r="T59" s="102"/>
      <c r="U59" s="102"/>
      <c r="V59" s="102"/>
      <c r="W59" s="102"/>
      <c r="X59" s="103"/>
      <c r="Y59" s="264"/>
      <c r="Z59" s="222"/>
      <c r="AA59" s="266"/>
      <c r="AB59" s="104">
        <f>ROUNDDOWN(AB58*10%,-1)</f>
        <v>0</v>
      </c>
      <c r="AC59" s="105">
        <f ca="1">IFERROR(IF(AND( OR(COUNTIF(I58:X59, "&gt;0")&gt;=$AJ$1, AA58&gt;=$AJ$4),AN58&lt;60,AA58&lt;=$AH$5),ROUNDDOWN(ROUNDDOWN(AA58,-3)*$AH$4%,-1),IF(AND(COUNTIF(I58:X59,"&gt;0")&gt;=$AJ$1,AN58&lt;60,AA58&gt;$AH$5),$AJ$5,0)),0)</f>
        <v>0</v>
      </c>
      <c r="AD59" s="106">
        <f>IF(Z58&gt;=$AJ$1,ROUNDDOWN(AD58*$AH$3%/($AH$2*2%),-1),0)</f>
        <v>0</v>
      </c>
      <c r="AE59" s="266"/>
      <c r="AF59" s="266"/>
      <c r="AG59" s="222"/>
      <c r="AH59" s="222"/>
      <c r="AI59" s="222"/>
      <c r="AJ59" s="222"/>
      <c r="AK59" s="250"/>
      <c r="AL59" s="250"/>
      <c r="AM59" s="251"/>
      <c r="AN59" s="252"/>
      <c r="AO59" s="266"/>
      <c r="AP59" s="107">
        <f t="shared" ref="AP59:BE59" si="170">IF($H58*I59&gt;150000,ROUNDDOWN(($H58*I59-150000)*6%*45%,0),0)</f>
        <v>0</v>
      </c>
      <c r="AQ59" s="108">
        <f t="shared" si="170"/>
        <v>0</v>
      </c>
      <c r="AR59" s="108">
        <f t="shared" si="170"/>
        <v>0</v>
      </c>
      <c r="AS59" s="108">
        <f t="shared" si="170"/>
        <v>0</v>
      </c>
      <c r="AT59" s="108">
        <f t="shared" si="170"/>
        <v>0</v>
      </c>
      <c r="AU59" s="108">
        <f t="shared" si="170"/>
        <v>0</v>
      </c>
      <c r="AV59" s="108">
        <f t="shared" si="170"/>
        <v>0</v>
      </c>
      <c r="AW59" s="108">
        <f t="shared" si="170"/>
        <v>0</v>
      </c>
      <c r="AX59" s="108">
        <f t="shared" si="170"/>
        <v>0</v>
      </c>
      <c r="AY59" s="108">
        <f t="shared" si="170"/>
        <v>0</v>
      </c>
      <c r="AZ59" s="108">
        <f t="shared" si="170"/>
        <v>0</v>
      </c>
      <c r="BA59" s="108">
        <f t="shared" si="170"/>
        <v>0</v>
      </c>
      <c r="BB59" s="108">
        <f t="shared" si="170"/>
        <v>0</v>
      </c>
      <c r="BC59" s="108">
        <f t="shared" si="170"/>
        <v>0</v>
      </c>
      <c r="BD59" s="108">
        <f t="shared" si="170"/>
        <v>0</v>
      </c>
      <c r="BE59" s="109">
        <f t="shared" si="170"/>
        <v>0</v>
      </c>
      <c r="BG59" s="222"/>
      <c r="BH59" s="222"/>
      <c r="BI59" s="222"/>
      <c r="BJ59" s="248"/>
      <c r="BK59" s="265"/>
      <c r="BL59" s="222"/>
      <c r="BM59" s="249"/>
      <c r="BN59" s="265"/>
      <c r="BO59" s="222"/>
      <c r="BP59" s="222"/>
      <c r="BQ59" s="265"/>
      <c r="BR59" s="265"/>
      <c r="BS59" s="265"/>
      <c r="BT59" s="244"/>
      <c r="BU59" s="222"/>
      <c r="BV59" s="244"/>
      <c r="BW59" s="222"/>
    </row>
    <row r="60" spans="1:75" outlineLevel="1">
      <c r="A60" s="221">
        <v>29</v>
      </c>
      <c r="B60" s="222" t="str">
        <f>IF(LEN(D60)&gt;1,IF(VALUE(MID(RIGHT(D60,7),1,1))&gt;4,"외국인",IF(VALUE(RIGHT(11-MOD((MID(D60,1,1)*2+MID(D60,2,1)*3+MID(D60,3,1)*4+MID(D60,4,1)*5+MID(D60,5,1)*6+MID(D60,6,1)*7+MID(RIGHT(D60,7),1,1)*8+MID(RIGHT(D60,7),2,1)*9+MID(RIGHT(D60,7),3,1)*2+MID(RIGHT(D60,7),4,1)*3+MID(RIGHT(D60,7),5,1)*4+MID(RIGHT(D60,7),6,1)*5),11),1))=VALUE(RIGHT(D60,1)),"","오류")),"")</f>
        <v/>
      </c>
      <c r="C60" s="222"/>
      <c r="D60" s="225"/>
      <c r="E60" s="222"/>
      <c r="F60" s="222"/>
      <c r="G60" s="222"/>
      <c r="H60" s="266"/>
      <c r="I60" s="89"/>
      <c r="J60" s="90"/>
      <c r="K60" s="90"/>
      <c r="L60" s="90"/>
      <c r="M60" s="90"/>
      <c r="N60" s="90"/>
      <c r="O60" s="90"/>
      <c r="P60" s="90"/>
      <c r="Q60" s="90"/>
      <c r="R60" s="90"/>
      <c r="S60" s="91"/>
      <c r="T60" s="91"/>
      <c r="U60" s="90"/>
      <c r="V60" s="90"/>
      <c r="W60" s="92"/>
      <c r="X60" s="93"/>
      <c r="Y60" s="264">
        <f>SUM(I60:X61)</f>
        <v>0</v>
      </c>
      <c r="Z60" s="222">
        <f>COUNTIF(I60:X61,"&gt;0")</f>
        <v>0</v>
      </c>
      <c r="AA60" s="266">
        <f>H60*Y60</f>
        <v>0</v>
      </c>
      <c r="AB60" s="94">
        <f>IF(AO60&lt;1000, 0, AO60)</f>
        <v>0</v>
      </c>
      <c r="AC60" s="95">
        <f ca="1">IF(IFERROR($AN60&lt;65,FALSE), IF(B60&lt;&gt;"외국인", ROUNDDOWN(AA60*$AH$1%,-1), IF(AND(AM60&lt;&gt;"", ISNUMBER(SEARCH(LEFT(SUBSTITUTE(AM60, "-",""),2), "F2_F5_F6"))), ROUNDDOWN(AA60*$AH$1%,-1), 0)),0)</f>
        <v>0</v>
      </c>
      <c r="AD60" s="96">
        <f>IF(Z60&gt;=$AJ$1,ROUNDDOWN(AA60*$AH$2%,-1),0)</f>
        <v>0</v>
      </c>
      <c r="AE60" s="266">
        <f ca="1">AB60+AC60+AB61+AC61+AD60+AD61</f>
        <v>0</v>
      </c>
      <c r="AF60" s="266">
        <f ca="1">AA60-AE60</f>
        <v>0</v>
      </c>
      <c r="AG60" s="222"/>
      <c r="AH60" s="222"/>
      <c r="AI60" s="222"/>
      <c r="AJ60" s="222"/>
      <c r="AK60" s="250"/>
      <c r="AL60" s="250"/>
      <c r="AM60" s="251"/>
      <c r="AN60" s="252" t="str">
        <f ca="1">IFERROR(DATEDIF(DATE(IF(ISNUMBER(FIND(MID( SUBSTITUTE(D60, "-",""), 7, 1), "3478")), 2000, 1900)+MID(D60,1,2), MID(D60,3,2), MID(D60,5,2)), TODAY(), "Y"),"")</f>
        <v/>
      </c>
      <c r="AO60" s="266">
        <f>ROUNDDOWN(SUM(AP60:BE61),-1)</f>
        <v>0</v>
      </c>
      <c r="AP60" s="97">
        <f t="shared" ref="AP60:BD60" si="171">IF($H60*I60&gt;150000,ROUNDDOWN(($H60*I60-150000)*6%*45%,0),0)</f>
        <v>0</v>
      </c>
      <c r="AQ60" s="98">
        <f t="shared" si="171"/>
        <v>0</v>
      </c>
      <c r="AR60" s="98">
        <f t="shared" si="171"/>
        <v>0</v>
      </c>
      <c r="AS60" s="98">
        <f t="shared" si="171"/>
        <v>0</v>
      </c>
      <c r="AT60" s="98">
        <f t="shared" si="171"/>
        <v>0</v>
      </c>
      <c r="AU60" s="98">
        <f t="shared" si="171"/>
        <v>0</v>
      </c>
      <c r="AV60" s="98">
        <f t="shared" si="171"/>
        <v>0</v>
      </c>
      <c r="AW60" s="98">
        <f t="shared" si="171"/>
        <v>0</v>
      </c>
      <c r="AX60" s="98">
        <f t="shared" si="171"/>
        <v>0</v>
      </c>
      <c r="AY60" s="98">
        <f t="shared" si="171"/>
        <v>0</v>
      </c>
      <c r="AZ60" s="98">
        <f t="shared" si="171"/>
        <v>0</v>
      </c>
      <c r="BA60" s="98">
        <f t="shared" si="171"/>
        <v>0</v>
      </c>
      <c r="BB60" s="98">
        <f t="shared" si="171"/>
        <v>0</v>
      </c>
      <c r="BC60" s="98">
        <f t="shared" si="171"/>
        <v>0</v>
      </c>
      <c r="BD60" s="99">
        <f t="shared" si="171"/>
        <v>0</v>
      </c>
      <c r="BE60" s="100"/>
      <c r="BG60" s="222">
        <f t="shared" ref="BG60" si="172">C60</f>
        <v>0</v>
      </c>
      <c r="BH60" s="222"/>
      <c r="BI60" s="222"/>
      <c r="BJ60" s="248"/>
      <c r="BK60" s="265"/>
      <c r="BL60" s="222"/>
      <c r="BM60" s="249">
        <f t="shared" si="97"/>
        <v>0</v>
      </c>
      <c r="BN60" s="265"/>
      <c r="BO60" s="222"/>
      <c r="BP60" s="222"/>
      <c r="BQ60" s="265"/>
      <c r="BR60" s="265"/>
      <c r="BS60" s="265"/>
      <c r="BT60" s="244"/>
      <c r="BU60" s="222"/>
      <c r="BV60" s="244">
        <f t="shared" si="100"/>
        <v>0</v>
      </c>
      <c r="BW60" s="222"/>
    </row>
    <row r="61" spans="1:75" outlineLevel="1">
      <c r="A61" s="221"/>
      <c r="B61" s="222"/>
      <c r="C61" s="222"/>
      <c r="D61" s="225"/>
      <c r="E61" s="222"/>
      <c r="F61" s="222"/>
      <c r="G61" s="222"/>
      <c r="H61" s="266"/>
      <c r="I61" s="101"/>
      <c r="J61" s="102"/>
      <c r="K61" s="102"/>
      <c r="L61" s="102"/>
      <c r="M61" s="102"/>
      <c r="N61" s="102"/>
      <c r="O61" s="102"/>
      <c r="P61" s="102"/>
      <c r="Q61" s="102"/>
      <c r="R61" s="102"/>
      <c r="S61" s="102"/>
      <c r="T61" s="102"/>
      <c r="U61" s="102"/>
      <c r="V61" s="102"/>
      <c r="W61" s="102"/>
      <c r="X61" s="103"/>
      <c r="Y61" s="264"/>
      <c r="Z61" s="222"/>
      <c r="AA61" s="266"/>
      <c r="AB61" s="104">
        <f>ROUNDDOWN(AB60*10%,-1)</f>
        <v>0</v>
      </c>
      <c r="AC61" s="105">
        <f ca="1">IFERROR(IF(AND( OR(COUNTIF(I60:X61, "&gt;0")&gt;=$AJ$1, AA60&gt;=$AJ$4),AN60&lt;60,AA60&lt;=$AH$5),ROUNDDOWN(ROUNDDOWN(AA60,-3)*$AH$4%,-1),IF(AND(COUNTIF(I60:X61,"&gt;0")&gt;=$AJ$1,AN60&lt;60,AA60&gt;$AH$5),$AJ$5,0)),0)</f>
        <v>0</v>
      </c>
      <c r="AD61" s="106">
        <f>IF(Z60&gt;=$AJ$1,ROUNDDOWN(AD60*$AH$3%/($AH$2*2%),-1),0)</f>
        <v>0</v>
      </c>
      <c r="AE61" s="266"/>
      <c r="AF61" s="266"/>
      <c r="AG61" s="222"/>
      <c r="AH61" s="222"/>
      <c r="AI61" s="222"/>
      <c r="AJ61" s="222"/>
      <c r="AK61" s="250"/>
      <c r="AL61" s="250"/>
      <c r="AM61" s="251"/>
      <c r="AN61" s="252"/>
      <c r="AO61" s="266"/>
      <c r="AP61" s="107">
        <f t="shared" ref="AP61:BE61" si="173">IF($H60*I61&gt;150000,ROUNDDOWN(($H60*I61-150000)*6%*45%,0),0)</f>
        <v>0</v>
      </c>
      <c r="AQ61" s="108">
        <f t="shared" si="173"/>
        <v>0</v>
      </c>
      <c r="AR61" s="108">
        <f t="shared" si="173"/>
        <v>0</v>
      </c>
      <c r="AS61" s="108">
        <f t="shared" si="173"/>
        <v>0</v>
      </c>
      <c r="AT61" s="108">
        <f t="shared" si="173"/>
        <v>0</v>
      </c>
      <c r="AU61" s="108">
        <f t="shared" si="173"/>
        <v>0</v>
      </c>
      <c r="AV61" s="108">
        <f t="shared" si="173"/>
        <v>0</v>
      </c>
      <c r="AW61" s="108">
        <f t="shared" si="173"/>
        <v>0</v>
      </c>
      <c r="AX61" s="108">
        <f t="shared" si="173"/>
        <v>0</v>
      </c>
      <c r="AY61" s="108">
        <f t="shared" si="173"/>
        <v>0</v>
      </c>
      <c r="AZ61" s="108">
        <f t="shared" si="173"/>
        <v>0</v>
      </c>
      <c r="BA61" s="108">
        <f t="shared" si="173"/>
        <v>0</v>
      </c>
      <c r="BB61" s="108">
        <f t="shared" si="173"/>
        <v>0</v>
      </c>
      <c r="BC61" s="108">
        <f t="shared" si="173"/>
        <v>0</v>
      </c>
      <c r="BD61" s="108">
        <f t="shared" si="173"/>
        <v>0</v>
      </c>
      <c r="BE61" s="109">
        <f t="shared" si="173"/>
        <v>0</v>
      </c>
      <c r="BG61" s="222"/>
      <c r="BH61" s="222"/>
      <c r="BI61" s="222"/>
      <c r="BJ61" s="248"/>
      <c r="BK61" s="265"/>
      <c r="BL61" s="222"/>
      <c r="BM61" s="249"/>
      <c r="BN61" s="265"/>
      <c r="BO61" s="222"/>
      <c r="BP61" s="222"/>
      <c r="BQ61" s="265"/>
      <c r="BR61" s="265"/>
      <c r="BS61" s="265"/>
      <c r="BT61" s="244"/>
      <c r="BU61" s="222"/>
      <c r="BV61" s="244"/>
      <c r="BW61" s="222"/>
    </row>
    <row r="62" spans="1:75" outlineLevel="1">
      <c r="A62" s="221">
        <v>30</v>
      </c>
      <c r="B62" s="222" t="str">
        <f>IF(LEN(D62)&gt;1,IF(VALUE(MID(RIGHT(D62,7),1,1))&gt;4,"외국인",IF(VALUE(RIGHT(11-MOD((MID(D62,1,1)*2+MID(D62,2,1)*3+MID(D62,3,1)*4+MID(D62,4,1)*5+MID(D62,5,1)*6+MID(D62,6,1)*7+MID(RIGHT(D62,7),1,1)*8+MID(RIGHT(D62,7),2,1)*9+MID(RIGHT(D62,7),3,1)*2+MID(RIGHT(D62,7),4,1)*3+MID(RIGHT(D62,7),5,1)*4+MID(RIGHT(D62,7),6,1)*5),11),1))=VALUE(RIGHT(D62,1)),"","오류")),"")</f>
        <v/>
      </c>
      <c r="C62" s="222"/>
      <c r="D62" s="225"/>
      <c r="E62" s="222"/>
      <c r="F62" s="222"/>
      <c r="G62" s="222"/>
      <c r="H62" s="266"/>
      <c r="I62" s="89"/>
      <c r="J62" s="90"/>
      <c r="K62" s="90"/>
      <c r="L62" s="90"/>
      <c r="M62" s="90"/>
      <c r="N62" s="90"/>
      <c r="O62" s="90"/>
      <c r="P62" s="90"/>
      <c r="Q62" s="90"/>
      <c r="R62" s="90"/>
      <c r="S62" s="91"/>
      <c r="T62" s="91"/>
      <c r="U62" s="90"/>
      <c r="V62" s="90"/>
      <c r="W62" s="92"/>
      <c r="X62" s="93"/>
      <c r="Y62" s="264">
        <f>SUM(I62:X63)</f>
        <v>0</v>
      </c>
      <c r="Z62" s="222">
        <f>COUNTIF(I62:X63,"&gt;0")</f>
        <v>0</v>
      </c>
      <c r="AA62" s="266">
        <f>H62*Y62</f>
        <v>0</v>
      </c>
      <c r="AB62" s="94">
        <f>IF(AO62&lt;1000, 0, AO62)</f>
        <v>0</v>
      </c>
      <c r="AC62" s="95">
        <f ca="1">IF(IFERROR($AN62&lt;65,FALSE), IF(B62&lt;&gt;"외국인", ROUNDDOWN(AA62*$AH$1%,-1), IF(AND(AM62&lt;&gt;"", ISNUMBER(SEARCH(LEFT(SUBSTITUTE(AM62, "-",""),2), "F2_F5_F6"))), ROUNDDOWN(AA62*$AH$1%,-1), 0)),0)</f>
        <v>0</v>
      </c>
      <c r="AD62" s="96">
        <f>IF(Z62&gt;=$AJ$1,ROUNDDOWN(AA62*$AH$2%,-1),0)</f>
        <v>0</v>
      </c>
      <c r="AE62" s="266">
        <f ca="1">AB62+AC62+AB63+AC63+AD62+AD63</f>
        <v>0</v>
      </c>
      <c r="AF62" s="266">
        <f ca="1">AA62-AE62</f>
        <v>0</v>
      </c>
      <c r="AG62" s="222"/>
      <c r="AH62" s="222"/>
      <c r="AI62" s="222"/>
      <c r="AJ62" s="222"/>
      <c r="AK62" s="250"/>
      <c r="AL62" s="250"/>
      <c r="AM62" s="251"/>
      <c r="AN62" s="252" t="str">
        <f ca="1">IFERROR(DATEDIF(DATE(IF(ISNUMBER(FIND(MID( SUBSTITUTE(D62, "-",""), 7, 1), "3478")), 2000, 1900)+MID(D62,1,2), MID(D62,3,2), MID(D62,5,2)), TODAY(), "Y"),"")</f>
        <v/>
      </c>
      <c r="AO62" s="266">
        <f>ROUNDDOWN(SUM(AP62:BE63),-1)</f>
        <v>0</v>
      </c>
      <c r="AP62" s="97">
        <f t="shared" ref="AP62:BD62" si="174">IF($H62*I62&gt;150000,ROUNDDOWN(($H62*I62-150000)*6%*45%,0),0)</f>
        <v>0</v>
      </c>
      <c r="AQ62" s="98">
        <f t="shared" si="174"/>
        <v>0</v>
      </c>
      <c r="AR62" s="98">
        <f t="shared" si="174"/>
        <v>0</v>
      </c>
      <c r="AS62" s="98">
        <f t="shared" si="174"/>
        <v>0</v>
      </c>
      <c r="AT62" s="98">
        <f t="shared" si="174"/>
        <v>0</v>
      </c>
      <c r="AU62" s="98">
        <f t="shared" si="174"/>
        <v>0</v>
      </c>
      <c r="AV62" s="98">
        <f t="shared" si="174"/>
        <v>0</v>
      </c>
      <c r="AW62" s="98">
        <f t="shared" si="174"/>
        <v>0</v>
      </c>
      <c r="AX62" s="98">
        <f t="shared" si="174"/>
        <v>0</v>
      </c>
      <c r="AY62" s="98">
        <f t="shared" si="174"/>
        <v>0</v>
      </c>
      <c r="AZ62" s="98">
        <f t="shared" si="174"/>
        <v>0</v>
      </c>
      <c r="BA62" s="98">
        <f t="shared" si="174"/>
        <v>0</v>
      </c>
      <c r="BB62" s="98">
        <f t="shared" si="174"/>
        <v>0</v>
      </c>
      <c r="BC62" s="98">
        <f t="shared" si="174"/>
        <v>0</v>
      </c>
      <c r="BD62" s="99">
        <f t="shared" si="174"/>
        <v>0</v>
      </c>
      <c r="BE62" s="100"/>
      <c r="BG62" s="222">
        <f t="shared" ref="BG62" si="175">C62</f>
        <v>0</v>
      </c>
      <c r="BH62" s="222"/>
      <c r="BI62" s="222"/>
      <c r="BJ62" s="248"/>
      <c r="BK62" s="265"/>
      <c r="BL62" s="222"/>
      <c r="BM62" s="249">
        <f t="shared" si="97"/>
        <v>0</v>
      </c>
      <c r="BN62" s="265"/>
      <c r="BO62" s="222"/>
      <c r="BP62" s="222"/>
      <c r="BQ62" s="265"/>
      <c r="BR62" s="265"/>
      <c r="BS62" s="265"/>
      <c r="BT62" s="244"/>
      <c r="BU62" s="222"/>
      <c r="BV62" s="244">
        <f t="shared" si="100"/>
        <v>0</v>
      </c>
      <c r="BW62" s="222"/>
    </row>
    <row r="63" spans="1:75" outlineLevel="1">
      <c r="A63" s="221"/>
      <c r="B63" s="222"/>
      <c r="C63" s="222"/>
      <c r="D63" s="225"/>
      <c r="E63" s="222"/>
      <c r="F63" s="222"/>
      <c r="G63" s="222"/>
      <c r="H63" s="266"/>
      <c r="I63" s="101"/>
      <c r="J63" s="102"/>
      <c r="K63" s="102"/>
      <c r="L63" s="102"/>
      <c r="M63" s="102"/>
      <c r="N63" s="102"/>
      <c r="O63" s="102"/>
      <c r="P63" s="102"/>
      <c r="Q63" s="102"/>
      <c r="R63" s="102"/>
      <c r="S63" s="102"/>
      <c r="T63" s="102"/>
      <c r="U63" s="102"/>
      <c r="V63" s="102"/>
      <c r="W63" s="102"/>
      <c r="X63" s="103"/>
      <c r="Y63" s="264"/>
      <c r="Z63" s="222"/>
      <c r="AA63" s="266"/>
      <c r="AB63" s="104">
        <f>ROUNDDOWN(AB62*10%,-1)</f>
        <v>0</v>
      </c>
      <c r="AC63" s="105">
        <f ca="1">IFERROR(IF(AND( OR(COUNTIF(I62:X63, "&gt;0")&gt;=$AJ$1, AA62&gt;=$AJ$4),AN62&lt;60,AA62&lt;=$AH$5),ROUNDDOWN(ROUNDDOWN(AA62,-3)*$AH$4%,-1),IF(AND(COUNTIF(I62:X63,"&gt;0")&gt;=$AJ$1,AN62&lt;60,AA62&gt;$AH$5),$AJ$5,0)),0)</f>
        <v>0</v>
      </c>
      <c r="AD63" s="106">
        <f>IF(Z62&gt;=$AJ$1,ROUNDDOWN(AD62*$AH$3%/($AH$2*2%),-1),0)</f>
        <v>0</v>
      </c>
      <c r="AE63" s="266"/>
      <c r="AF63" s="266"/>
      <c r="AG63" s="222"/>
      <c r="AH63" s="222"/>
      <c r="AI63" s="222"/>
      <c r="AJ63" s="222"/>
      <c r="AK63" s="250"/>
      <c r="AL63" s="250"/>
      <c r="AM63" s="251"/>
      <c r="AN63" s="252"/>
      <c r="AO63" s="266"/>
      <c r="AP63" s="107">
        <f t="shared" ref="AP63:BE63" si="176">IF($H62*I63&gt;150000,ROUNDDOWN(($H62*I63-150000)*6%*45%,0),0)</f>
        <v>0</v>
      </c>
      <c r="AQ63" s="108">
        <f t="shared" si="176"/>
        <v>0</v>
      </c>
      <c r="AR63" s="108">
        <f t="shared" si="176"/>
        <v>0</v>
      </c>
      <c r="AS63" s="108">
        <f t="shared" si="176"/>
        <v>0</v>
      </c>
      <c r="AT63" s="108">
        <f t="shared" si="176"/>
        <v>0</v>
      </c>
      <c r="AU63" s="108">
        <f t="shared" si="176"/>
        <v>0</v>
      </c>
      <c r="AV63" s="108">
        <f t="shared" si="176"/>
        <v>0</v>
      </c>
      <c r="AW63" s="108">
        <f t="shared" si="176"/>
        <v>0</v>
      </c>
      <c r="AX63" s="108">
        <f t="shared" si="176"/>
        <v>0</v>
      </c>
      <c r="AY63" s="108">
        <f t="shared" si="176"/>
        <v>0</v>
      </c>
      <c r="AZ63" s="108">
        <f t="shared" si="176"/>
        <v>0</v>
      </c>
      <c r="BA63" s="108">
        <f t="shared" si="176"/>
        <v>0</v>
      </c>
      <c r="BB63" s="108">
        <f t="shared" si="176"/>
        <v>0</v>
      </c>
      <c r="BC63" s="108">
        <f t="shared" si="176"/>
        <v>0</v>
      </c>
      <c r="BD63" s="108">
        <f t="shared" si="176"/>
        <v>0</v>
      </c>
      <c r="BE63" s="109">
        <f t="shared" si="176"/>
        <v>0</v>
      </c>
      <c r="BG63" s="222"/>
      <c r="BH63" s="222"/>
      <c r="BI63" s="222"/>
      <c r="BJ63" s="248"/>
      <c r="BK63" s="265"/>
      <c r="BL63" s="222"/>
      <c r="BM63" s="249"/>
      <c r="BN63" s="265"/>
      <c r="BO63" s="222"/>
      <c r="BP63" s="222"/>
      <c r="BQ63" s="265"/>
      <c r="BR63" s="265"/>
      <c r="BS63" s="265"/>
      <c r="BT63" s="244"/>
      <c r="BU63" s="222"/>
      <c r="BV63" s="244"/>
      <c r="BW63" s="222"/>
    </row>
    <row r="64" spans="1:75" outlineLevel="1">
      <c r="A64" s="221">
        <v>31</v>
      </c>
      <c r="B64" s="222" t="str">
        <f>IF(LEN(D64)&gt;1,IF(VALUE(MID(RIGHT(D64,7),1,1))&gt;4,"외국인",IF(VALUE(RIGHT(11-MOD((MID(D64,1,1)*2+MID(D64,2,1)*3+MID(D64,3,1)*4+MID(D64,4,1)*5+MID(D64,5,1)*6+MID(D64,6,1)*7+MID(RIGHT(D64,7),1,1)*8+MID(RIGHT(D64,7),2,1)*9+MID(RIGHT(D64,7),3,1)*2+MID(RIGHT(D64,7),4,1)*3+MID(RIGHT(D64,7),5,1)*4+MID(RIGHT(D64,7),6,1)*5),11),1))=VALUE(RIGHT(D64,1)),"","오류")),"")</f>
        <v/>
      </c>
      <c r="C64" s="222"/>
      <c r="D64" s="225"/>
      <c r="E64" s="222"/>
      <c r="F64" s="222"/>
      <c r="G64" s="222"/>
      <c r="H64" s="266"/>
      <c r="I64" s="89"/>
      <c r="J64" s="90"/>
      <c r="K64" s="90"/>
      <c r="L64" s="90"/>
      <c r="M64" s="90"/>
      <c r="N64" s="90"/>
      <c r="O64" s="90"/>
      <c r="P64" s="90"/>
      <c r="Q64" s="90"/>
      <c r="R64" s="90"/>
      <c r="S64" s="91"/>
      <c r="T64" s="91"/>
      <c r="U64" s="90"/>
      <c r="V64" s="90"/>
      <c r="W64" s="92"/>
      <c r="X64" s="93"/>
      <c r="Y64" s="264">
        <f>SUM(I64:X65)</f>
        <v>0</v>
      </c>
      <c r="Z64" s="222">
        <f>COUNTIF(I64:X65,"&gt;0")</f>
        <v>0</v>
      </c>
      <c r="AA64" s="266">
        <f>H64*Y64</f>
        <v>0</v>
      </c>
      <c r="AB64" s="94">
        <f>IF(AO64&lt;1000, 0, AO64)</f>
        <v>0</v>
      </c>
      <c r="AC64" s="95">
        <f ca="1">IF(IFERROR($AN64&lt;65,FALSE), IF(B64&lt;&gt;"외국인", ROUNDDOWN(AA64*$AH$1%,-1), IF(AND(AM64&lt;&gt;"", ISNUMBER(SEARCH(LEFT(SUBSTITUTE(AM64, "-",""),2), "F2_F5_F6"))), ROUNDDOWN(AA64*$AH$1%,-1), 0)),0)</f>
        <v>0</v>
      </c>
      <c r="AD64" s="96">
        <f>IF(Z64&gt;=$AJ$1,ROUNDDOWN(AA64*$AH$2%,-1),0)</f>
        <v>0</v>
      </c>
      <c r="AE64" s="266">
        <f ca="1">AB64+AC64+AB65+AC65+AD64+AD65</f>
        <v>0</v>
      </c>
      <c r="AF64" s="266">
        <f ca="1">AA64-AE64</f>
        <v>0</v>
      </c>
      <c r="AG64" s="222"/>
      <c r="AH64" s="222"/>
      <c r="AI64" s="222"/>
      <c r="AJ64" s="222"/>
      <c r="AK64" s="250"/>
      <c r="AL64" s="250"/>
      <c r="AM64" s="251"/>
      <c r="AN64" s="252" t="str">
        <f ca="1">IFERROR(DATEDIF(DATE(IF(ISNUMBER(FIND(MID( SUBSTITUTE(D64, "-",""), 7, 1), "3478")), 2000, 1900)+MID(D64,1,2), MID(D64,3,2), MID(D64,5,2)), TODAY(), "Y"),"")</f>
        <v/>
      </c>
      <c r="AO64" s="266">
        <f>ROUNDDOWN(SUM(AP64:BE65),-1)</f>
        <v>0</v>
      </c>
      <c r="AP64" s="97">
        <f t="shared" ref="AP64:BD64" si="177">IF($H64*I64&gt;150000,ROUNDDOWN(($H64*I64-150000)*6%*45%,0),0)</f>
        <v>0</v>
      </c>
      <c r="AQ64" s="98">
        <f t="shared" si="177"/>
        <v>0</v>
      </c>
      <c r="AR64" s="98">
        <f t="shared" si="177"/>
        <v>0</v>
      </c>
      <c r="AS64" s="98">
        <f t="shared" si="177"/>
        <v>0</v>
      </c>
      <c r="AT64" s="98">
        <f t="shared" si="177"/>
        <v>0</v>
      </c>
      <c r="AU64" s="98">
        <f t="shared" si="177"/>
        <v>0</v>
      </c>
      <c r="AV64" s="98">
        <f t="shared" si="177"/>
        <v>0</v>
      </c>
      <c r="AW64" s="98">
        <f t="shared" si="177"/>
        <v>0</v>
      </c>
      <c r="AX64" s="98">
        <f t="shared" si="177"/>
        <v>0</v>
      </c>
      <c r="AY64" s="98">
        <f t="shared" si="177"/>
        <v>0</v>
      </c>
      <c r="AZ64" s="98">
        <f t="shared" si="177"/>
        <v>0</v>
      </c>
      <c r="BA64" s="98">
        <f t="shared" si="177"/>
        <v>0</v>
      </c>
      <c r="BB64" s="98">
        <f t="shared" si="177"/>
        <v>0</v>
      </c>
      <c r="BC64" s="98">
        <f t="shared" si="177"/>
        <v>0</v>
      </c>
      <c r="BD64" s="99">
        <f t="shared" si="177"/>
        <v>0</v>
      </c>
      <c r="BE64" s="100"/>
      <c r="BG64" s="222">
        <f t="shared" ref="BG64" si="178">C64</f>
        <v>0</v>
      </c>
      <c r="BH64" s="222"/>
      <c r="BI64" s="222"/>
      <c r="BJ64" s="270"/>
      <c r="BK64" s="265"/>
      <c r="BL64" s="222"/>
      <c r="BM64" s="249">
        <f t="shared" si="97"/>
        <v>0</v>
      </c>
      <c r="BN64" s="265"/>
      <c r="BO64" s="222"/>
      <c r="BP64" s="222"/>
      <c r="BQ64" s="265"/>
      <c r="BR64" s="265"/>
      <c r="BS64" s="265"/>
      <c r="BT64" s="244"/>
      <c r="BU64" s="222"/>
      <c r="BV64" s="244">
        <f t="shared" si="100"/>
        <v>0</v>
      </c>
      <c r="BW64" s="222"/>
    </row>
    <row r="65" spans="1:75" outlineLevel="1">
      <c r="A65" s="221"/>
      <c r="B65" s="222"/>
      <c r="C65" s="222"/>
      <c r="D65" s="225"/>
      <c r="E65" s="222"/>
      <c r="F65" s="222"/>
      <c r="G65" s="222"/>
      <c r="H65" s="266"/>
      <c r="I65" s="101"/>
      <c r="J65" s="102"/>
      <c r="K65" s="102"/>
      <c r="L65" s="102"/>
      <c r="M65" s="102"/>
      <c r="N65" s="102"/>
      <c r="O65" s="102"/>
      <c r="P65" s="102"/>
      <c r="Q65" s="102"/>
      <c r="R65" s="102"/>
      <c r="S65" s="102"/>
      <c r="T65" s="102"/>
      <c r="U65" s="102"/>
      <c r="V65" s="102"/>
      <c r="W65" s="102"/>
      <c r="X65" s="103"/>
      <c r="Y65" s="264"/>
      <c r="Z65" s="222"/>
      <c r="AA65" s="266"/>
      <c r="AB65" s="104">
        <f>ROUNDDOWN(AB64*10%,-1)</f>
        <v>0</v>
      </c>
      <c r="AC65" s="105">
        <f ca="1">IFERROR(IF(AND( OR(COUNTIF(I64:X65, "&gt;0")&gt;=$AJ$1, AA64&gt;=$AJ$4),AN64&lt;60,AA64&lt;=$AH$5),ROUNDDOWN(ROUNDDOWN(AA64,-3)*$AH$4%,-1),IF(AND(COUNTIF(I64:X65,"&gt;0")&gt;=$AJ$1,AN64&lt;60,AA64&gt;$AH$5),$AJ$5,0)),0)</f>
        <v>0</v>
      </c>
      <c r="AD65" s="106">
        <f>IF(Z64&gt;=$AJ$1,ROUNDDOWN(AD64*$AH$3%/($AH$2*2%),-1),0)</f>
        <v>0</v>
      </c>
      <c r="AE65" s="266"/>
      <c r="AF65" s="266"/>
      <c r="AG65" s="222"/>
      <c r="AH65" s="222"/>
      <c r="AI65" s="222"/>
      <c r="AJ65" s="222"/>
      <c r="AK65" s="250"/>
      <c r="AL65" s="250"/>
      <c r="AM65" s="251"/>
      <c r="AN65" s="252"/>
      <c r="AO65" s="266"/>
      <c r="AP65" s="107">
        <f t="shared" ref="AP65:BE65" si="179">IF($H64*I65&gt;150000,ROUNDDOWN(($H64*I65-150000)*6%*45%,0),0)</f>
        <v>0</v>
      </c>
      <c r="AQ65" s="108">
        <f t="shared" si="179"/>
        <v>0</v>
      </c>
      <c r="AR65" s="108">
        <f t="shared" si="179"/>
        <v>0</v>
      </c>
      <c r="AS65" s="108">
        <f t="shared" si="179"/>
        <v>0</v>
      </c>
      <c r="AT65" s="108">
        <f t="shared" si="179"/>
        <v>0</v>
      </c>
      <c r="AU65" s="108">
        <f t="shared" si="179"/>
        <v>0</v>
      </c>
      <c r="AV65" s="108">
        <f t="shared" si="179"/>
        <v>0</v>
      </c>
      <c r="AW65" s="108">
        <f t="shared" si="179"/>
        <v>0</v>
      </c>
      <c r="AX65" s="108">
        <f t="shared" si="179"/>
        <v>0</v>
      </c>
      <c r="AY65" s="108">
        <f t="shared" si="179"/>
        <v>0</v>
      </c>
      <c r="AZ65" s="108">
        <f t="shared" si="179"/>
        <v>0</v>
      </c>
      <c r="BA65" s="108">
        <f t="shared" si="179"/>
        <v>0</v>
      </c>
      <c r="BB65" s="108">
        <f t="shared" si="179"/>
        <v>0</v>
      </c>
      <c r="BC65" s="108">
        <f t="shared" si="179"/>
        <v>0</v>
      </c>
      <c r="BD65" s="108">
        <f t="shared" si="179"/>
        <v>0</v>
      </c>
      <c r="BE65" s="109">
        <f t="shared" si="179"/>
        <v>0</v>
      </c>
      <c r="BG65" s="222"/>
      <c r="BH65" s="222"/>
      <c r="BI65" s="222"/>
      <c r="BJ65" s="269"/>
      <c r="BK65" s="265"/>
      <c r="BL65" s="222"/>
      <c r="BM65" s="249"/>
      <c r="BN65" s="265"/>
      <c r="BO65" s="222"/>
      <c r="BP65" s="222"/>
      <c r="BQ65" s="265"/>
      <c r="BR65" s="265"/>
      <c r="BS65" s="265"/>
      <c r="BT65" s="244"/>
      <c r="BU65" s="222"/>
      <c r="BV65" s="244"/>
      <c r="BW65" s="222"/>
    </row>
    <row r="66" spans="1:75" outlineLevel="1">
      <c r="A66" s="221">
        <v>32</v>
      </c>
      <c r="B66" s="222" t="str">
        <f>IF(LEN(D66)&gt;1,IF(VALUE(MID(RIGHT(D66,7),1,1))&gt;4,"외국인",IF(VALUE(RIGHT(11-MOD((MID(D66,1,1)*2+MID(D66,2,1)*3+MID(D66,3,1)*4+MID(D66,4,1)*5+MID(D66,5,1)*6+MID(D66,6,1)*7+MID(RIGHT(D66,7),1,1)*8+MID(RIGHT(D66,7),2,1)*9+MID(RIGHT(D66,7),3,1)*2+MID(RIGHT(D66,7),4,1)*3+MID(RIGHT(D66,7),5,1)*4+MID(RIGHT(D66,7),6,1)*5),11),1))=VALUE(RIGHT(D66,1)),"","오류")),"")</f>
        <v/>
      </c>
      <c r="C66" s="222"/>
      <c r="D66" s="225"/>
      <c r="E66" s="222"/>
      <c r="F66" s="222"/>
      <c r="G66" s="222"/>
      <c r="H66" s="266"/>
      <c r="I66" s="89"/>
      <c r="J66" s="90"/>
      <c r="K66" s="90"/>
      <c r="L66" s="90"/>
      <c r="M66" s="90"/>
      <c r="N66" s="90"/>
      <c r="O66" s="90"/>
      <c r="P66" s="90"/>
      <c r="Q66" s="90"/>
      <c r="R66" s="90"/>
      <c r="S66" s="91"/>
      <c r="T66" s="91"/>
      <c r="U66" s="90"/>
      <c r="V66" s="90"/>
      <c r="W66" s="92"/>
      <c r="X66" s="93"/>
      <c r="Y66" s="264">
        <f>SUM(I66:X67)</f>
        <v>0</v>
      </c>
      <c r="Z66" s="222">
        <f>COUNTIF(I66:X67,"&gt;0")</f>
        <v>0</v>
      </c>
      <c r="AA66" s="266">
        <f>H66*Y66</f>
        <v>0</v>
      </c>
      <c r="AB66" s="94">
        <f>IF(AO66&lt;1000, 0, AO66)</f>
        <v>0</v>
      </c>
      <c r="AC66" s="95">
        <f ca="1">IF(IFERROR($AN66&lt;65,FALSE), IF(B66&lt;&gt;"외국인", ROUNDDOWN(AA66*$AH$1%,-1), IF(AND(AM66&lt;&gt;"", ISNUMBER(SEARCH(LEFT(SUBSTITUTE(AM66, "-",""),2), "F2_F5_F6"))), ROUNDDOWN(AA66*$AH$1%,-1), 0)),0)</f>
        <v>0</v>
      </c>
      <c r="AD66" s="96">
        <f>IF(Z66&gt;=$AJ$1,ROUNDDOWN(AA66*$AH$2%,-1),0)</f>
        <v>0</v>
      </c>
      <c r="AE66" s="266">
        <f ca="1">AB66+AC66+AB67+AC67+AD66+AD67</f>
        <v>0</v>
      </c>
      <c r="AF66" s="266">
        <f ca="1">AA66-AE66</f>
        <v>0</v>
      </c>
      <c r="AG66" s="222"/>
      <c r="AH66" s="222"/>
      <c r="AI66" s="222"/>
      <c r="AJ66" s="222"/>
      <c r="AK66" s="250"/>
      <c r="AL66" s="250"/>
      <c r="AM66" s="251"/>
      <c r="AN66" s="252" t="str">
        <f ca="1">IFERROR(DATEDIF(DATE(IF(ISNUMBER(FIND(MID( SUBSTITUTE(D66, "-",""), 7, 1), "3478")), 2000, 1900)+MID(D66,1,2), MID(D66,3,2), MID(D66,5,2)), TODAY(), "Y"),"")</f>
        <v/>
      </c>
      <c r="AO66" s="266">
        <f>ROUNDDOWN(SUM(AP66:BE67),-1)</f>
        <v>0</v>
      </c>
      <c r="AP66" s="97">
        <f t="shared" ref="AP66:BD66" si="180">IF($H66*I66&gt;150000,ROUNDDOWN(($H66*I66-150000)*6%*45%,0),0)</f>
        <v>0</v>
      </c>
      <c r="AQ66" s="98">
        <f t="shared" si="180"/>
        <v>0</v>
      </c>
      <c r="AR66" s="98">
        <f t="shared" si="180"/>
        <v>0</v>
      </c>
      <c r="AS66" s="98">
        <f t="shared" si="180"/>
        <v>0</v>
      </c>
      <c r="AT66" s="98">
        <f t="shared" si="180"/>
        <v>0</v>
      </c>
      <c r="AU66" s="98">
        <f t="shared" si="180"/>
        <v>0</v>
      </c>
      <c r="AV66" s="98">
        <f t="shared" si="180"/>
        <v>0</v>
      </c>
      <c r="AW66" s="98">
        <f t="shared" si="180"/>
        <v>0</v>
      </c>
      <c r="AX66" s="98">
        <f t="shared" si="180"/>
        <v>0</v>
      </c>
      <c r="AY66" s="98">
        <f t="shared" si="180"/>
        <v>0</v>
      </c>
      <c r="AZ66" s="98">
        <f t="shared" si="180"/>
        <v>0</v>
      </c>
      <c r="BA66" s="98">
        <f t="shared" si="180"/>
        <v>0</v>
      </c>
      <c r="BB66" s="98">
        <f t="shared" si="180"/>
        <v>0</v>
      </c>
      <c r="BC66" s="98">
        <f t="shared" si="180"/>
        <v>0</v>
      </c>
      <c r="BD66" s="99">
        <f t="shared" si="180"/>
        <v>0</v>
      </c>
      <c r="BE66" s="100"/>
      <c r="BG66" s="222">
        <f t="shared" ref="BG66" si="181">C66</f>
        <v>0</v>
      </c>
      <c r="BH66" s="222"/>
      <c r="BI66" s="222"/>
      <c r="BJ66" s="227"/>
      <c r="BK66" s="265"/>
      <c r="BL66" s="222"/>
      <c r="BM66" s="249">
        <f t="shared" si="97"/>
        <v>0</v>
      </c>
      <c r="BN66" s="265"/>
      <c r="BO66" s="222"/>
      <c r="BP66" s="222"/>
      <c r="BQ66" s="265"/>
      <c r="BR66" s="265"/>
      <c r="BS66" s="265"/>
      <c r="BT66" s="244"/>
      <c r="BU66" s="222"/>
      <c r="BV66" s="244">
        <f t="shared" si="100"/>
        <v>0</v>
      </c>
      <c r="BW66" s="222"/>
    </row>
    <row r="67" spans="1:75" outlineLevel="1">
      <c r="A67" s="221"/>
      <c r="B67" s="222"/>
      <c r="C67" s="222"/>
      <c r="D67" s="225"/>
      <c r="E67" s="222"/>
      <c r="F67" s="222"/>
      <c r="G67" s="222"/>
      <c r="H67" s="266"/>
      <c r="I67" s="101"/>
      <c r="J67" s="102"/>
      <c r="K67" s="102"/>
      <c r="L67" s="102"/>
      <c r="M67" s="102"/>
      <c r="N67" s="102"/>
      <c r="O67" s="102"/>
      <c r="P67" s="102"/>
      <c r="Q67" s="102"/>
      <c r="R67" s="102"/>
      <c r="S67" s="102"/>
      <c r="T67" s="102"/>
      <c r="U67" s="102"/>
      <c r="V67" s="102"/>
      <c r="W67" s="102"/>
      <c r="X67" s="103"/>
      <c r="Y67" s="264"/>
      <c r="Z67" s="222"/>
      <c r="AA67" s="266"/>
      <c r="AB67" s="104">
        <f>ROUNDDOWN(AB66*10%,-1)</f>
        <v>0</v>
      </c>
      <c r="AC67" s="105">
        <f ca="1">IFERROR(IF(AND( OR(COUNTIF(I66:X67, "&gt;0")&gt;=$AJ$1, AA66&gt;=$AJ$4),AN66&lt;60,AA66&lt;=$AH$5),ROUNDDOWN(ROUNDDOWN(AA66,-3)*$AH$4%,-1),IF(AND(COUNTIF(I66:X67,"&gt;0")&gt;=$AJ$1,AN66&lt;60,AA66&gt;$AH$5),$AJ$5,0)),0)</f>
        <v>0</v>
      </c>
      <c r="AD67" s="106">
        <f>IF(Z66&gt;=$AJ$1,ROUNDDOWN(AD66*$AH$3%/($AH$2*2%),-1),0)</f>
        <v>0</v>
      </c>
      <c r="AE67" s="266"/>
      <c r="AF67" s="266"/>
      <c r="AG67" s="222"/>
      <c r="AH67" s="222"/>
      <c r="AI67" s="222"/>
      <c r="AJ67" s="222"/>
      <c r="AK67" s="250"/>
      <c r="AL67" s="250"/>
      <c r="AM67" s="251"/>
      <c r="AN67" s="252"/>
      <c r="AO67" s="266"/>
      <c r="AP67" s="107">
        <f t="shared" ref="AP67:BE67" si="182">IF($H66*I67&gt;150000,ROUNDDOWN(($H66*I67-150000)*6%*45%,0),0)</f>
        <v>0</v>
      </c>
      <c r="AQ67" s="108">
        <f t="shared" si="182"/>
        <v>0</v>
      </c>
      <c r="AR67" s="108">
        <f t="shared" si="182"/>
        <v>0</v>
      </c>
      <c r="AS67" s="108">
        <f t="shared" si="182"/>
        <v>0</v>
      </c>
      <c r="AT67" s="108">
        <f t="shared" si="182"/>
        <v>0</v>
      </c>
      <c r="AU67" s="108">
        <f t="shared" si="182"/>
        <v>0</v>
      </c>
      <c r="AV67" s="108">
        <f t="shared" si="182"/>
        <v>0</v>
      </c>
      <c r="AW67" s="108">
        <f t="shared" si="182"/>
        <v>0</v>
      </c>
      <c r="AX67" s="108">
        <f t="shared" si="182"/>
        <v>0</v>
      </c>
      <c r="AY67" s="108">
        <f t="shared" si="182"/>
        <v>0</v>
      </c>
      <c r="AZ67" s="108">
        <f t="shared" si="182"/>
        <v>0</v>
      </c>
      <c r="BA67" s="108">
        <f t="shared" si="182"/>
        <v>0</v>
      </c>
      <c r="BB67" s="108">
        <f t="shared" si="182"/>
        <v>0</v>
      </c>
      <c r="BC67" s="108">
        <f t="shared" si="182"/>
        <v>0</v>
      </c>
      <c r="BD67" s="108">
        <f t="shared" si="182"/>
        <v>0</v>
      </c>
      <c r="BE67" s="109">
        <f t="shared" si="182"/>
        <v>0</v>
      </c>
      <c r="BG67" s="222"/>
      <c r="BH67" s="222"/>
      <c r="BI67" s="222"/>
      <c r="BJ67" s="228"/>
      <c r="BK67" s="265"/>
      <c r="BL67" s="222"/>
      <c r="BM67" s="249"/>
      <c r="BN67" s="265"/>
      <c r="BO67" s="222"/>
      <c r="BP67" s="222"/>
      <c r="BQ67" s="265"/>
      <c r="BR67" s="265"/>
      <c r="BS67" s="265"/>
      <c r="BT67" s="244"/>
      <c r="BU67" s="222"/>
      <c r="BV67" s="244"/>
      <c r="BW67" s="222"/>
    </row>
    <row r="68" spans="1:75" outlineLevel="1">
      <c r="A68" s="221">
        <v>33</v>
      </c>
      <c r="B68" s="222" t="str">
        <f>IF(LEN(D68)&gt;1,IF(VALUE(MID(RIGHT(D68,7),1,1))&gt;4,"외국인",IF(VALUE(RIGHT(11-MOD((MID(D68,1,1)*2+MID(D68,2,1)*3+MID(D68,3,1)*4+MID(D68,4,1)*5+MID(D68,5,1)*6+MID(D68,6,1)*7+MID(RIGHT(D68,7),1,1)*8+MID(RIGHT(D68,7),2,1)*9+MID(RIGHT(D68,7),3,1)*2+MID(RIGHT(D68,7),4,1)*3+MID(RIGHT(D68,7),5,1)*4+MID(RIGHT(D68,7),6,1)*5),11),1))=VALUE(RIGHT(D68,1)),"","오류")),"")</f>
        <v/>
      </c>
      <c r="C68" s="222"/>
      <c r="D68" s="225"/>
      <c r="E68" s="222"/>
      <c r="F68" s="222"/>
      <c r="G68" s="222"/>
      <c r="H68" s="266"/>
      <c r="I68" s="89"/>
      <c r="J68" s="90"/>
      <c r="K68" s="90"/>
      <c r="L68" s="90"/>
      <c r="M68" s="90"/>
      <c r="N68" s="90"/>
      <c r="O68" s="90"/>
      <c r="P68" s="90"/>
      <c r="Q68" s="90"/>
      <c r="R68" s="90"/>
      <c r="S68" s="91"/>
      <c r="T68" s="91"/>
      <c r="U68" s="90"/>
      <c r="V68" s="90"/>
      <c r="W68" s="92"/>
      <c r="X68" s="93"/>
      <c r="Y68" s="264">
        <f>SUM(I68:X69)</f>
        <v>0</v>
      </c>
      <c r="Z68" s="222">
        <f>COUNTIF(I68:X69,"&gt;0")</f>
        <v>0</v>
      </c>
      <c r="AA68" s="266">
        <f>H68*Y68</f>
        <v>0</v>
      </c>
      <c r="AB68" s="94">
        <f>IF(AO68&lt;1000, 0, AO68)</f>
        <v>0</v>
      </c>
      <c r="AC68" s="95">
        <f ca="1">IF(IFERROR($AN68&lt;65,FALSE), IF(B68&lt;&gt;"외국인", ROUNDDOWN(AA68*$AH$1%,-1), IF(AND(AM68&lt;&gt;"", ISNUMBER(SEARCH(LEFT(SUBSTITUTE(AM68, "-",""),2), "F2_F5_F6"))), ROUNDDOWN(AA68*$AH$1%,-1), 0)),0)</f>
        <v>0</v>
      </c>
      <c r="AD68" s="96">
        <f>IF(Z68&gt;=$AJ$1,ROUNDDOWN(AA68*$AH$2%,-1),0)</f>
        <v>0</v>
      </c>
      <c r="AE68" s="266">
        <f ca="1">AB68+AC68+AB69+AC69+AD68+AD69</f>
        <v>0</v>
      </c>
      <c r="AF68" s="266">
        <f ca="1">AA68-AE68</f>
        <v>0</v>
      </c>
      <c r="AG68" s="222"/>
      <c r="AH68" s="222"/>
      <c r="AI68" s="222"/>
      <c r="AJ68" s="222"/>
      <c r="AK68" s="250"/>
      <c r="AL68" s="250"/>
      <c r="AM68" s="251"/>
      <c r="AN68" s="252" t="str">
        <f ca="1">IFERROR(DATEDIF(DATE(IF(ISNUMBER(FIND(MID( SUBSTITUTE(D68, "-",""), 7, 1), "3478")), 2000, 1900)+MID(D68,1,2), MID(D68,3,2), MID(D68,5,2)), TODAY(), "Y"),"")</f>
        <v/>
      </c>
      <c r="AO68" s="266">
        <f>ROUNDDOWN(SUM(AP68:BE69),-1)</f>
        <v>0</v>
      </c>
      <c r="AP68" s="97">
        <f t="shared" ref="AP68:BD68" si="183">IF($H68*I68&gt;150000,ROUNDDOWN(($H68*I68-150000)*6%*45%,0),0)</f>
        <v>0</v>
      </c>
      <c r="AQ68" s="98">
        <f t="shared" si="183"/>
        <v>0</v>
      </c>
      <c r="AR68" s="98">
        <f t="shared" si="183"/>
        <v>0</v>
      </c>
      <c r="AS68" s="98">
        <f t="shared" si="183"/>
        <v>0</v>
      </c>
      <c r="AT68" s="98">
        <f t="shared" si="183"/>
        <v>0</v>
      </c>
      <c r="AU68" s="98">
        <f t="shared" si="183"/>
        <v>0</v>
      </c>
      <c r="AV68" s="98">
        <f t="shared" si="183"/>
        <v>0</v>
      </c>
      <c r="AW68" s="98">
        <f t="shared" si="183"/>
        <v>0</v>
      </c>
      <c r="AX68" s="98">
        <f t="shared" si="183"/>
        <v>0</v>
      </c>
      <c r="AY68" s="98">
        <f t="shared" si="183"/>
        <v>0</v>
      </c>
      <c r="AZ68" s="98">
        <f t="shared" si="183"/>
        <v>0</v>
      </c>
      <c r="BA68" s="98">
        <f t="shared" si="183"/>
        <v>0</v>
      </c>
      <c r="BB68" s="98">
        <f t="shared" si="183"/>
        <v>0</v>
      </c>
      <c r="BC68" s="98">
        <f t="shared" si="183"/>
        <v>0</v>
      </c>
      <c r="BD68" s="99">
        <f t="shared" si="183"/>
        <v>0</v>
      </c>
      <c r="BE68" s="100"/>
      <c r="BG68" s="222">
        <f t="shared" ref="BG68" si="184">C68</f>
        <v>0</v>
      </c>
      <c r="BH68" s="222"/>
      <c r="BI68" s="222"/>
      <c r="BJ68" s="247"/>
      <c r="BK68" s="265"/>
      <c r="BL68" s="222"/>
      <c r="BM68" s="249">
        <f t="shared" si="97"/>
        <v>0</v>
      </c>
      <c r="BN68" s="265"/>
      <c r="BO68" s="222"/>
      <c r="BP68" s="222"/>
      <c r="BQ68" s="265"/>
      <c r="BR68" s="265"/>
      <c r="BS68" s="265"/>
      <c r="BT68" s="244"/>
      <c r="BU68" s="222"/>
      <c r="BV68" s="244">
        <f t="shared" si="100"/>
        <v>0</v>
      </c>
      <c r="BW68" s="222"/>
    </row>
    <row r="69" spans="1:75" outlineLevel="1">
      <c r="A69" s="221"/>
      <c r="B69" s="222"/>
      <c r="C69" s="222"/>
      <c r="D69" s="225"/>
      <c r="E69" s="222"/>
      <c r="F69" s="222"/>
      <c r="G69" s="222"/>
      <c r="H69" s="266"/>
      <c r="I69" s="101"/>
      <c r="J69" s="102"/>
      <c r="K69" s="102"/>
      <c r="L69" s="102"/>
      <c r="M69" s="102"/>
      <c r="N69" s="102"/>
      <c r="O69" s="102"/>
      <c r="P69" s="102"/>
      <c r="Q69" s="102"/>
      <c r="R69" s="102"/>
      <c r="S69" s="102"/>
      <c r="T69" s="102"/>
      <c r="U69" s="102"/>
      <c r="V69" s="102"/>
      <c r="W69" s="102"/>
      <c r="X69" s="103"/>
      <c r="Y69" s="264"/>
      <c r="Z69" s="222"/>
      <c r="AA69" s="266"/>
      <c r="AB69" s="104">
        <f>ROUNDDOWN(AB68*10%,-1)</f>
        <v>0</v>
      </c>
      <c r="AC69" s="105">
        <f ca="1">IFERROR(IF(AND( OR(COUNTIF(I68:X69, "&gt;0")&gt;=$AJ$1, AA68&gt;=$AJ$4),AN68&lt;60,AA68&lt;=$AH$5),ROUNDDOWN(ROUNDDOWN(AA68,-3)*$AH$4%,-1),IF(AND(COUNTIF(I68:X69,"&gt;0")&gt;=$AJ$1,AN68&lt;60,AA68&gt;$AH$5),$AJ$5,0)),0)</f>
        <v>0</v>
      </c>
      <c r="AD69" s="106">
        <f>IF(Z68&gt;=$AJ$1,ROUNDDOWN(AD68*$AH$3%/($AH$2*2%),-1),0)</f>
        <v>0</v>
      </c>
      <c r="AE69" s="266"/>
      <c r="AF69" s="266"/>
      <c r="AG69" s="222"/>
      <c r="AH69" s="222"/>
      <c r="AI69" s="222"/>
      <c r="AJ69" s="222"/>
      <c r="AK69" s="250"/>
      <c r="AL69" s="250"/>
      <c r="AM69" s="251"/>
      <c r="AN69" s="252"/>
      <c r="AO69" s="266"/>
      <c r="AP69" s="107">
        <f t="shared" ref="AP69:BE69" si="185">IF($H68*I69&gt;150000,ROUNDDOWN(($H68*I69-150000)*6%*45%,0),0)</f>
        <v>0</v>
      </c>
      <c r="AQ69" s="108">
        <f t="shared" si="185"/>
        <v>0</v>
      </c>
      <c r="AR69" s="108">
        <f t="shared" si="185"/>
        <v>0</v>
      </c>
      <c r="AS69" s="108">
        <f t="shared" si="185"/>
        <v>0</v>
      </c>
      <c r="AT69" s="108">
        <f t="shared" si="185"/>
        <v>0</v>
      </c>
      <c r="AU69" s="108">
        <f t="shared" si="185"/>
        <v>0</v>
      </c>
      <c r="AV69" s="108">
        <f t="shared" si="185"/>
        <v>0</v>
      </c>
      <c r="AW69" s="108">
        <f t="shared" si="185"/>
        <v>0</v>
      </c>
      <c r="AX69" s="108">
        <f t="shared" si="185"/>
        <v>0</v>
      </c>
      <c r="AY69" s="108">
        <f t="shared" si="185"/>
        <v>0</v>
      </c>
      <c r="AZ69" s="108">
        <f t="shared" si="185"/>
        <v>0</v>
      </c>
      <c r="BA69" s="108">
        <f t="shared" si="185"/>
        <v>0</v>
      </c>
      <c r="BB69" s="108">
        <f t="shared" si="185"/>
        <v>0</v>
      </c>
      <c r="BC69" s="108">
        <f t="shared" si="185"/>
        <v>0</v>
      </c>
      <c r="BD69" s="108">
        <f t="shared" si="185"/>
        <v>0</v>
      </c>
      <c r="BE69" s="109">
        <f t="shared" si="185"/>
        <v>0</v>
      </c>
      <c r="BG69" s="222"/>
      <c r="BH69" s="222"/>
      <c r="BI69" s="222"/>
      <c r="BJ69" s="248"/>
      <c r="BK69" s="265"/>
      <c r="BL69" s="222"/>
      <c r="BM69" s="249"/>
      <c r="BN69" s="265"/>
      <c r="BO69" s="222"/>
      <c r="BP69" s="222"/>
      <c r="BQ69" s="265"/>
      <c r="BR69" s="265"/>
      <c r="BS69" s="265"/>
      <c r="BT69" s="244"/>
      <c r="BU69" s="222"/>
      <c r="BV69" s="244"/>
      <c r="BW69" s="222"/>
    </row>
    <row r="70" spans="1:75" outlineLevel="1">
      <c r="A70" s="221">
        <v>34</v>
      </c>
      <c r="B70" s="222" t="str">
        <f>IF(LEN(D70)&gt;1,IF(VALUE(MID(RIGHT(D70,7),1,1))&gt;4,"외국인",IF(VALUE(RIGHT(11-MOD((MID(D70,1,1)*2+MID(D70,2,1)*3+MID(D70,3,1)*4+MID(D70,4,1)*5+MID(D70,5,1)*6+MID(D70,6,1)*7+MID(RIGHT(D70,7),1,1)*8+MID(RIGHT(D70,7),2,1)*9+MID(RIGHT(D70,7),3,1)*2+MID(RIGHT(D70,7),4,1)*3+MID(RIGHT(D70,7),5,1)*4+MID(RIGHT(D70,7),6,1)*5),11),1))=VALUE(RIGHT(D70,1)),"","오류")),"")</f>
        <v/>
      </c>
      <c r="C70" s="222"/>
      <c r="D70" s="225"/>
      <c r="E70" s="222"/>
      <c r="F70" s="222"/>
      <c r="G70" s="222"/>
      <c r="H70" s="266"/>
      <c r="I70" s="89"/>
      <c r="J70" s="90"/>
      <c r="K70" s="90"/>
      <c r="L70" s="90"/>
      <c r="M70" s="90"/>
      <c r="N70" s="90"/>
      <c r="O70" s="90"/>
      <c r="P70" s="90"/>
      <c r="Q70" s="90"/>
      <c r="R70" s="90"/>
      <c r="S70" s="91"/>
      <c r="T70" s="91"/>
      <c r="U70" s="90"/>
      <c r="V70" s="90"/>
      <c r="W70" s="92"/>
      <c r="X70" s="93"/>
      <c r="Y70" s="264">
        <f>SUM(I70:X71)</f>
        <v>0</v>
      </c>
      <c r="Z70" s="222">
        <f>COUNTIF(I70:X71,"&gt;0")</f>
        <v>0</v>
      </c>
      <c r="AA70" s="266">
        <f>H70*Y70</f>
        <v>0</v>
      </c>
      <c r="AB70" s="94">
        <f>IF(AO70&lt;1000, 0, AO70)</f>
        <v>0</v>
      </c>
      <c r="AC70" s="95">
        <f ca="1">IF(IFERROR($AN70&lt;65,FALSE), IF(B70&lt;&gt;"외국인", ROUNDDOWN(AA70*$AH$1%,-1), IF(AND(AM70&lt;&gt;"", ISNUMBER(SEARCH(LEFT(SUBSTITUTE(AM70, "-",""),2), "F2_F5_F6"))), ROUNDDOWN(AA70*$AH$1%,-1), 0)),0)</f>
        <v>0</v>
      </c>
      <c r="AD70" s="96">
        <f>IF(Z70&gt;=$AJ$1,ROUNDDOWN(AA70*$AH$2%,-1),0)</f>
        <v>0</v>
      </c>
      <c r="AE70" s="266">
        <f ca="1">AB70+AC70+AB71+AC71+AD70+AD71</f>
        <v>0</v>
      </c>
      <c r="AF70" s="266">
        <f ca="1">AA70-AE70</f>
        <v>0</v>
      </c>
      <c r="AG70" s="222"/>
      <c r="AH70" s="222"/>
      <c r="AI70" s="222"/>
      <c r="AJ70" s="222"/>
      <c r="AK70" s="250"/>
      <c r="AL70" s="250"/>
      <c r="AM70" s="251"/>
      <c r="AN70" s="252" t="str">
        <f ca="1">IFERROR(DATEDIF(DATE(IF(ISNUMBER(FIND(MID( SUBSTITUTE(D70, "-",""), 7, 1), "3478")), 2000, 1900)+MID(D70,1,2), MID(D70,3,2), MID(D70,5,2)), TODAY(), "Y"),"")</f>
        <v/>
      </c>
      <c r="AO70" s="266">
        <f>ROUNDDOWN(SUM(AP70:BE71),-1)</f>
        <v>0</v>
      </c>
      <c r="AP70" s="97">
        <f t="shared" ref="AP70:BD70" si="186">IF($H70*I70&gt;150000,ROUNDDOWN(($H70*I70-150000)*6%*45%,0),0)</f>
        <v>0</v>
      </c>
      <c r="AQ70" s="98">
        <f t="shared" si="186"/>
        <v>0</v>
      </c>
      <c r="AR70" s="98">
        <f t="shared" si="186"/>
        <v>0</v>
      </c>
      <c r="AS70" s="98">
        <f t="shared" si="186"/>
        <v>0</v>
      </c>
      <c r="AT70" s="98">
        <f t="shared" si="186"/>
        <v>0</v>
      </c>
      <c r="AU70" s="98">
        <f t="shared" si="186"/>
        <v>0</v>
      </c>
      <c r="AV70" s="98">
        <f t="shared" si="186"/>
        <v>0</v>
      </c>
      <c r="AW70" s="98">
        <f t="shared" si="186"/>
        <v>0</v>
      </c>
      <c r="AX70" s="98">
        <f t="shared" si="186"/>
        <v>0</v>
      </c>
      <c r="AY70" s="98">
        <f t="shared" si="186"/>
        <v>0</v>
      </c>
      <c r="AZ70" s="98">
        <f t="shared" si="186"/>
        <v>0</v>
      </c>
      <c r="BA70" s="98">
        <f t="shared" si="186"/>
        <v>0</v>
      </c>
      <c r="BB70" s="98">
        <f t="shared" si="186"/>
        <v>0</v>
      </c>
      <c r="BC70" s="98">
        <f t="shared" si="186"/>
        <v>0</v>
      </c>
      <c r="BD70" s="99">
        <f t="shared" si="186"/>
        <v>0</v>
      </c>
      <c r="BE70" s="100"/>
      <c r="BG70" s="222">
        <f t="shared" ref="BG70" si="187">C70</f>
        <v>0</v>
      </c>
      <c r="BH70" s="222"/>
      <c r="BI70" s="222"/>
      <c r="BJ70" s="248"/>
      <c r="BK70" s="265"/>
      <c r="BL70" s="222"/>
      <c r="BM70" s="249">
        <f t="shared" si="97"/>
        <v>0</v>
      </c>
      <c r="BN70" s="265"/>
      <c r="BO70" s="222"/>
      <c r="BP70" s="222"/>
      <c r="BQ70" s="265"/>
      <c r="BR70" s="265"/>
      <c r="BS70" s="265"/>
      <c r="BT70" s="244"/>
      <c r="BU70" s="222"/>
      <c r="BV70" s="244">
        <f t="shared" si="100"/>
        <v>0</v>
      </c>
      <c r="BW70" s="222"/>
    </row>
    <row r="71" spans="1:75" outlineLevel="1">
      <c r="A71" s="221"/>
      <c r="B71" s="222"/>
      <c r="C71" s="222"/>
      <c r="D71" s="225"/>
      <c r="E71" s="222"/>
      <c r="F71" s="222"/>
      <c r="G71" s="222"/>
      <c r="H71" s="266"/>
      <c r="I71" s="101"/>
      <c r="J71" s="102"/>
      <c r="K71" s="102"/>
      <c r="L71" s="102"/>
      <c r="M71" s="102"/>
      <c r="N71" s="102"/>
      <c r="O71" s="102"/>
      <c r="P71" s="102"/>
      <c r="Q71" s="102"/>
      <c r="R71" s="102"/>
      <c r="S71" s="102"/>
      <c r="T71" s="102"/>
      <c r="U71" s="102"/>
      <c r="V71" s="102"/>
      <c r="W71" s="102"/>
      <c r="X71" s="103"/>
      <c r="Y71" s="264"/>
      <c r="Z71" s="222"/>
      <c r="AA71" s="266"/>
      <c r="AB71" s="104">
        <f>ROUNDDOWN(AB70*10%,-1)</f>
        <v>0</v>
      </c>
      <c r="AC71" s="105">
        <f ca="1">IFERROR(IF(AND( OR(COUNTIF(I70:X71, "&gt;0")&gt;=$AJ$1, AA70&gt;=$AJ$4),AN70&lt;60,AA70&lt;=$AH$5),ROUNDDOWN(ROUNDDOWN(AA70,-3)*$AH$4%,-1),IF(AND(COUNTIF(I70:X71,"&gt;0")&gt;=$AJ$1,AN70&lt;60,AA70&gt;$AH$5),$AJ$5,0)),0)</f>
        <v>0</v>
      </c>
      <c r="AD71" s="106">
        <f>IF(Z70&gt;=$AJ$1,ROUNDDOWN(AD70*$AH$3%/($AH$2*2%),-1),0)</f>
        <v>0</v>
      </c>
      <c r="AE71" s="266"/>
      <c r="AF71" s="266"/>
      <c r="AG71" s="222"/>
      <c r="AH71" s="222"/>
      <c r="AI71" s="222"/>
      <c r="AJ71" s="222"/>
      <c r="AK71" s="250"/>
      <c r="AL71" s="250"/>
      <c r="AM71" s="251"/>
      <c r="AN71" s="252"/>
      <c r="AO71" s="266"/>
      <c r="AP71" s="107">
        <f t="shared" ref="AP71:BE71" si="188">IF($H70*I71&gt;150000,ROUNDDOWN(($H70*I71-150000)*6%*45%,0),0)</f>
        <v>0</v>
      </c>
      <c r="AQ71" s="108">
        <f t="shared" si="188"/>
        <v>0</v>
      </c>
      <c r="AR71" s="108">
        <f t="shared" si="188"/>
        <v>0</v>
      </c>
      <c r="AS71" s="108">
        <f t="shared" si="188"/>
        <v>0</v>
      </c>
      <c r="AT71" s="108">
        <f t="shared" si="188"/>
        <v>0</v>
      </c>
      <c r="AU71" s="108">
        <f t="shared" si="188"/>
        <v>0</v>
      </c>
      <c r="AV71" s="108">
        <f t="shared" si="188"/>
        <v>0</v>
      </c>
      <c r="AW71" s="108">
        <f t="shared" si="188"/>
        <v>0</v>
      </c>
      <c r="AX71" s="108">
        <f t="shared" si="188"/>
        <v>0</v>
      </c>
      <c r="AY71" s="108">
        <f t="shared" si="188"/>
        <v>0</v>
      </c>
      <c r="AZ71" s="108">
        <f t="shared" si="188"/>
        <v>0</v>
      </c>
      <c r="BA71" s="108">
        <f t="shared" si="188"/>
        <v>0</v>
      </c>
      <c r="BB71" s="108">
        <f t="shared" si="188"/>
        <v>0</v>
      </c>
      <c r="BC71" s="108">
        <f t="shared" si="188"/>
        <v>0</v>
      </c>
      <c r="BD71" s="108">
        <f t="shared" si="188"/>
        <v>0</v>
      </c>
      <c r="BE71" s="109">
        <f t="shared" si="188"/>
        <v>0</v>
      </c>
      <c r="BG71" s="222"/>
      <c r="BH71" s="222"/>
      <c r="BI71" s="222"/>
      <c r="BJ71" s="248"/>
      <c r="BK71" s="265"/>
      <c r="BL71" s="222"/>
      <c r="BM71" s="249"/>
      <c r="BN71" s="265"/>
      <c r="BO71" s="222"/>
      <c r="BP71" s="222"/>
      <c r="BQ71" s="265"/>
      <c r="BR71" s="265"/>
      <c r="BS71" s="265"/>
      <c r="BT71" s="244"/>
      <c r="BU71" s="222"/>
      <c r="BV71" s="244"/>
      <c r="BW71" s="222"/>
    </row>
    <row r="72" spans="1:75" outlineLevel="1">
      <c r="A72" s="221">
        <v>35</v>
      </c>
      <c r="B72" s="222" t="str">
        <f>IF(LEN(D72)&gt;1,IF(VALUE(MID(RIGHT(D72,7),1,1))&gt;4,"외국인",IF(VALUE(RIGHT(11-MOD((MID(D72,1,1)*2+MID(D72,2,1)*3+MID(D72,3,1)*4+MID(D72,4,1)*5+MID(D72,5,1)*6+MID(D72,6,1)*7+MID(RIGHT(D72,7),1,1)*8+MID(RIGHT(D72,7),2,1)*9+MID(RIGHT(D72,7),3,1)*2+MID(RIGHT(D72,7),4,1)*3+MID(RIGHT(D72,7),5,1)*4+MID(RIGHT(D72,7),6,1)*5),11),1))=VALUE(RIGHT(D72,1)),"","오류")),"")</f>
        <v/>
      </c>
      <c r="C72" s="222"/>
      <c r="D72" s="225"/>
      <c r="E72" s="222"/>
      <c r="F72" s="222"/>
      <c r="G72" s="222"/>
      <c r="H72" s="266"/>
      <c r="I72" s="89"/>
      <c r="J72" s="90"/>
      <c r="K72" s="90"/>
      <c r="L72" s="90"/>
      <c r="M72" s="90"/>
      <c r="N72" s="90"/>
      <c r="O72" s="90"/>
      <c r="P72" s="90"/>
      <c r="Q72" s="90"/>
      <c r="R72" s="90"/>
      <c r="S72" s="91"/>
      <c r="T72" s="91"/>
      <c r="U72" s="90"/>
      <c r="V72" s="90"/>
      <c r="W72" s="92"/>
      <c r="X72" s="93"/>
      <c r="Y72" s="264">
        <f>SUM(I72:X73)</f>
        <v>0</v>
      </c>
      <c r="Z72" s="222">
        <f>COUNTIF(I72:X73,"&gt;0")</f>
        <v>0</v>
      </c>
      <c r="AA72" s="266">
        <f>H72*Y72</f>
        <v>0</v>
      </c>
      <c r="AB72" s="94">
        <f>IF(AO72&lt;1000, 0, AO72)</f>
        <v>0</v>
      </c>
      <c r="AC72" s="95">
        <f ca="1">IF(IFERROR($AN72&lt;65,FALSE), IF(B72&lt;&gt;"외국인", ROUNDDOWN(AA72*$AH$1%,-1), IF(AND(AM72&lt;&gt;"", ISNUMBER(SEARCH(LEFT(SUBSTITUTE(AM72, "-",""),2), "F2_F5_F6"))), ROUNDDOWN(AA72*$AH$1%,-1), 0)),0)</f>
        <v>0</v>
      </c>
      <c r="AD72" s="96">
        <f>IF(Z72&gt;=$AJ$1,ROUNDDOWN(AA72*$AH$2%,-1),0)</f>
        <v>0</v>
      </c>
      <c r="AE72" s="266">
        <f ca="1">AB72+AC72+AB73+AC73+AD72+AD73</f>
        <v>0</v>
      </c>
      <c r="AF72" s="266">
        <f ca="1">AA72-AE72</f>
        <v>0</v>
      </c>
      <c r="AG72" s="222"/>
      <c r="AH72" s="222"/>
      <c r="AI72" s="222"/>
      <c r="AJ72" s="222"/>
      <c r="AK72" s="250"/>
      <c r="AL72" s="250"/>
      <c r="AM72" s="251"/>
      <c r="AN72" s="252" t="str">
        <f ca="1">IFERROR(DATEDIF(DATE(IF(ISNUMBER(FIND(MID( SUBSTITUTE(D72, "-",""), 7, 1), "3478")), 2000, 1900)+MID(D72,1,2), MID(D72,3,2), MID(D72,5,2)), TODAY(), "Y"),"")</f>
        <v/>
      </c>
      <c r="AO72" s="266">
        <f>ROUNDDOWN(SUM(AP72:BE73),-1)</f>
        <v>0</v>
      </c>
      <c r="AP72" s="97">
        <f t="shared" ref="AP72:BD72" si="189">IF($H72*I72&gt;150000,ROUNDDOWN(($H72*I72-150000)*6%*45%,0),0)</f>
        <v>0</v>
      </c>
      <c r="AQ72" s="98">
        <f t="shared" si="189"/>
        <v>0</v>
      </c>
      <c r="AR72" s="98">
        <f t="shared" si="189"/>
        <v>0</v>
      </c>
      <c r="AS72" s="98">
        <f t="shared" si="189"/>
        <v>0</v>
      </c>
      <c r="AT72" s="98">
        <f t="shared" si="189"/>
        <v>0</v>
      </c>
      <c r="AU72" s="98">
        <f t="shared" si="189"/>
        <v>0</v>
      </c>
      <c r="AV72" s="98">
        <f t="shared" si="189"/>
        <v>0</v>
      </c>
      <c r="AW72" s="98">
        <f t="shared" si="189"/>
        <v>0</v>
      </c>
      <c r="AX72" s="98">
        <f t="shared" si="189"/>
        <v>0</v>
      </c>
      <c r="AY72" s="98">
        <f t="shared" si="189"/>
        <v>0</v>
      </c>
      <c r="AZ72" s="98">
        <f t="shared" si="189"/>
        <v>0</v>
      </c>
      <c r="BA72" s="98">
        <f t="shared" si="189"/>
        <v>0</v>
      </c>
      <c r="BB72" s="98">
        <f t="shared" si="189"/>
        <v>0</v>
      </c>
      <c r="BC72" s="98">
        <f t="shared" si="189"/>
        <v>0</v>
      </c>
      <c r="BD72" s="99">
        <f t="shared" si="189"/>
        <v>0</v>
      </c>
      <c r="BE72" s="100"/>
      <c r="BG72" s="222">
        <f t="shared" ref="BG72" si="190">C72</f>
        <v>0</v>
      </c>
      <c r="BH72" s="222"/>
      <c r="BI72" s="222"/>
      <c r="BJ72" s="271"/>
      <c r="BK72" s="265"/>
      <c r="BL72" s="222"/>
      <c r="BM72" s="249">
        <f t="shared" si="97"/>
        <v>0</v>
      </c>
      <c r="BN72" s="265"/>
      <c r="BO72" s="222"/>
      <c r="BP72" s="222"/>
      <c r="BQ72" s="265"/>
      <c r="BR72" s="265"/>
      <c r="BS72" s="265"/>
      <c r="BT72" s="244"/>
      <c r="BU72" s="222"/>
      <c r="BV72" s="244">
        <f t="shared" si="100"/>
        <v>0</v>
      </c>
      <c r="BW72" s="222"/>
    </row>
    <row r="73" spans="1:75" outlineLevel="1">
      <c r="A73" s="221"/>
      <c r="B73" s="222"/>
      <c r="C73" s="222"/>
      <c r="D73" s="225"/>
      <c r="E73" s="222"/>
      <c r="F73" s="222"/>
      <c r="G73" s="222"/>
      <c r="H73" s="266"/>
      <c r="I73" s="101"/>
      <c r="J73" s="102"/>
      <c r="K73" s="102"/>
      <c r="L73" s="102"/>
      <c r="M73" s="102"/>
      <c r="N73" s="102"/>
      <c r="O73" s="102"/>
      <c r="P73" s="102"/>
      <c r="Q73" s="102"/>
      <c r="R73" s="102"/>
      <c r="S73" s="102"/>
      <c r="T73" s="102"/>
      <c r="U73" s="102"/>
      <c r="V73" s="102"/>
      <c r="W73" s="102"/>
      <c r="X73" s="103"/>
      <c r="Y73" s="264"/>
      <c r="Z73" s="222"/>
      <c r="AA73" s="266"/>
      <c r="AB73" s="104">
        <f>ROUNDDOWN(AB72*10%,-1)</f>
        <v>0</v>
      </c>
      <c r="AC73" s="105">
        <f ca="1">IFERROR(IF(AND( OR(COUNTIF(I72:X73, "&gt;0")&gt;=$AJ$1, AA72&gt;=$AJ$4),AN72&lt;60,AA72&lt;=$AH$5),ROUNDDOWN(ROUNDDOWN(AA72,-3)*$AH$4%,-1),IF(AND(COUNTIF(I72:X73,"&gt;0")&gt;=$AJ$1,AN72&lt;60,AA72&gt;$AH$5),$AJ$5,0)),0)</f>
        <v>0</v>
      </c>
      <c r="AD73" s="106">
        <f>IF(Z72&gt;=$AJ$1,ROUNDDOWN(AD72*$AH$3%/($AH$2*2%),-1),0)</f>
        <v>0</v>
      </c>
      <c r="AE73" s="266"/>
      <c r="AF73" s="266"/>
      <c r="AG73" s="222"/>
      <c r="AH73" s="222"/>
      <c r="AI73" s="222"/>
      <c r="AJ73" s="222"/>
      <c r="AK73" s="250"/>
      <c r="AL73" s="250"/>
      <c r="AM73" s="251"/>
      <c r="AN73" s="252"/>
      <c r="AO73" s="266"/>
      <c r="AP73" s="107">
        <f t="shared" ref="AP73:BE73" si="191">IF($H72*I73&gt;150000,ROUNDDOWN(($H72*I73-150000)*6%*45%,0),0)</f>
        <v>0</v>
      </c>
      <c r="AQ73" s="108">
        <f t="shared" si="191"/>
        <v>0</v>
      </c>
      <c r="AR73" s="108">
        <f t="shared" si="191"/>
        <v>0</v>
      </c>
      <c r="AS73" s="108">
        <f t="shared" si="191"/>
        <v>0</v>
      </c>
      <c r="AT73" s="108">
        <f t="shared" si="191"/>
        <v>0</v>
      </c>
      <c r="AU73" s="108">
        <f t="shared" si="191"/>
        <v>0</v>
      </c>
      <c r="AV73" s="108">
        <f t="shared" si="191"/>
        <v>0</v>
      </c>
      <c r="AW73" s="108">
        <f t="shared" si="191"/>
        <v>0</v>
      </c>
      <c r="AX73" s="108">
        <f t="shared" si="191"/>
        <v>0</v>
      </c>
      <c r="AY73" s="108">
        <f t="shared" si="191"/>
        <v>0</v>
      </c>
      <c r="AZ73" s="108">
        <f t="shared" si="191"/>
        <v>0</v>
      </c>
      <c r="BA73" s="108">
        <f t="shared" si="191"/>
        <v>0</v>
      </c>
      <c r="BB73" s="108">
        <f t="shared" si="191"/>
        <v>0</v>
      </c>
      <c r="BC73" s="108">
        <f t="shared" si="191"/>
        <v>0</v>
      </c>
      <c r="BD73" s="108">
        <f t="shared" si="191"/>
        <v>0</v>
      </c>
      <c r="BE73" s="109">
        <f t="shared" si="191"/>
        <v>0</v>
      </c>
      <c r="BG73" s="222"/>
      <c r="BH73" s="222"/>
      <c r="BI73" s="222"/>
      <c r="BJ73" s="271"/>
      <c r="BK73" s="265"/>
      <c r="BL73" s="222"/>
      <c r="BM73" s="249"/>
      <c r="BN73" s="265"/>
      <c r="BO73" s="222"/>
      <c r="BP73" s="222"/>
      <c r="BQ73" s="265"/>
      <c r="BR73" s="265"/>
      <c r="BS73" s="265"/>
      <c r="BT73" s="244"/>
      <c r="BU73" s="222"/>
      <c r="BV73" s="244"/>
      <c r="BW73" s="222"/>
    </row>
    <row r="74" spans="1:75" outlineLevel="1">
      <c r="A74" s="221">
        <v>36</v>
      </c>
      <c r="B74" s="222" t="str">
        <f>IF(LEN(D74)&gt;1,IF(VALUE(MID(RIGHT(D74,7),1,1))&gt;4,"외국인",IF(VALUE(RIGHT(11-MOD((MID(D74,1,1)*2+MID(D74,2,1)*3+MID(D74,3,1)*4+MID(D74,4,1)*5+MID(D74,5,1)*6+MID(D74,6,1)*7+MID(RIGHT(D74,7),1,1)*8+MID(RIGHT(D74,7),2,1)*9+MID(RIGHT(D74,7),3,1)*2+MID(RIGHT(D74,7),4,1)*3+MID(RIGHT(D74,7),5,1)*4+MID(RIGHT(D74,7),6,1)*5),11),1))=VALUE(RIGHT(D74,1)),"","오류")),"")</f>
        <v/>
      </c>
      <c r="C74" s="222"/>
      <c r="D74" s="225"/>
      <c r="E74" s="222"/>
      <c r="F74" s="222"/>
      <c r="G74" s="222"/>
      <c r="H74" s="266"/>
      <c r="I74" s="89"/>
      <c r="J74" s="90"/>
      <c r="K74" s="90"/>
      <c r="L74" s="90"/>
      <c r="M74" s="90"/>
      <c r="N74" s="90"/>
      <c r="O74" s="90"/>
      <c r="P74" s="90"/>
      <c r="Q74" s="90"/>
      <c r="R74" s="90"/>
      <c r="S74" s="91"/>
      <c r="T74" s="91"/>
      <c r="U74" s="90"/>
      <c r="V74" s="90"/>
      <c r="W74" s="92"/>
      <c r="X74" s="93"/>
      <c r="Y74" s="264">
        <f>SUM(I74:X75)</f>
        <v>0</v>
      </c>
      <c r="Z74" s="222">
        <f>COUNTIF(I74:X75,"&gt;0")</f>
        <v>0</v>
      </c>
      <c r="AA74" s="266">
        <f>H74*Y74</f>
        <v>0</v>
      </c>
      <c r="AB74" s="94">
        <f>IF(AO74&lt;1000, 0, AO74)</f>
        <v>0</v>
      </c>
      <c r="AC74" s="95">
        <f ca="1">IF(IFERROR($AN74&lt;65,FALSE), IF(B74&lt;&gt;"외국인", ROUNDDOWN(AA74*$AH$1%,-1), IF(AND(AM74&lt;&gt;"", ISNUMBER(SEARCH(LEFT(SUBSTITUTE(AM74, "-",""),2), "F2_F5_F6"))), ROUNDDOWN(AA74*$AH$1%,-1), 0)),0)</f>
        <v>0</v>
      </c>
      <c r="AD74" s="96">
        <f>IF(Z74&gt;=$AJ$1,ROUNDDOWN(AA74*$AH$2%,-1),0)</f>
        <v>0</v>
      </c>
      <c r="AE74" s="266">
        <f ca="1">AB74+AC74+AB75+AC75+AD74+AD75</f>
        <v>0</v>
      </c>
      <c r="AF74" s="266">
        <f ca="1">AA74-AE74</f>
        <v>0</v>
      </c>
      <c r="AG74" s="222"/>
      <c r="AH74" s="222"/>
      <c r="AI74" s="222"/>
      <c r="AJ74" s="222"/>
      <c r="AK74" s="250"/>
      <c r="AL74" s="250"/>
      <c r="AM74" s="251"/>
      <c r="AN74" s="252" t="str">
        <f ca="1">IFERROR(DATEDIF(DATE(IF(ISNUMBER(FIND(MID( SUBSTITUTE(D74, "-",""), 7, 1), "3478")), 2000, 1900)+MID(D74,1,2), MID(D74,3,2), MID(D74,5,2)), TODAY(), "Y"),"")</f>
        <v/>
      </c>
      <c r="AO74" s="266">
        <f>ROUNDDOWN(SUM(AP74:BE75),-1)</f>
        <v>0</v>
      </c>
      <c r="AP74" s="97">
        <f t="shared" ref="AP74:BD74" si="192">IF($H74*I74&gt;150000,ROUNDDOWN(($H74*I74-150000)*6%*45%,0),0)</f>
        <v>0</v>
      </c>
      <c r="AQ74" s="98">
        <f t="shared" si="192"/>
        <v>0</v>
      </c>
      <c r="AR74" s="98">
        <f t="shared" si="192"/>
        <v>0</v>
      </c>
      <c r="AS74" s="98">
        <f t="shared" si="192"/>
        <v>0</v>
      </c>
      <c r="AT74" s="98">
        <f t="shared" si="192"/>
        <v>0</v>
      </c>
      <c r="AU74" s="98">
        <f t="shared" si="192"/>
        <v>0</v>
      </c>
      <c r="AV74" s="98">
        <f t="shared" si="192"/>
        <v>0</v>
      </c>
      <c r="AW74" s="98">
        <f t="shared" si="192"/>
        <v>0</v>
      </c>
      <c r="AX74" s="98">
        <f t="shared" si="192"/>
        <v>0</v>
      </c>
      <c r="AY74" s="98">
        <f t="shared" si="192"/>
        <v>0</v>
      </c>
      <c r="AZ74" s="98">
        <f t="shared" si="192"/>
        <v>0</v>
      </c>
      <c r="BA74" s="98">
        <f t="shared" si="192"/>
        <v>0</v>
      </c>
      <c r="BB74" s="98">
        <f t="shared" si="192"/>
        <v>0</v>
      </c>
      <c r="BC74" s="98">
        <f t="shared" si="192"/>
        <v>0</v>
      </c>
      <c r="BD74" s="99">
        <f t="shared" si="192"/>
        <v>0</v>
      </c>
      <c r="BE74" s="100"/>
      <c r="BG74" s="222">
        <f t="shared" ref="BG74" si="193">C74</f>
        <v>0</v>
      </c>
      <c r="BH74" s="222"/>
      <c r="BI74" s="222"/>
      <c r="BJ74" s="267"/>
      <c r="BK74" s="265"/>
      <c r="BL74" s="222"/>
      <c r="BM74" s="249">
        <f t="shared" si="97"/>
        <v>0</v>
      </c>
      <c r="BN74" s="265"/>
      <c r="BO74" s="222"/>
      <c r="BP74" s="222"/>
      <c r="BQ74" s="265"/>
      <c r="BR74" s="265"/>
      <c r="BS74" s="265"/>
      <c r="BT74" s="244"/>
      <c r="BU74" s="222"/>
      <c r="BV74" s="244">
        <f t="shared" si="100"/>
        <v>0</v>
      </c>
      <c r="BW74" s="222"/>
    </row>
    <row r="75" spans="1:75" outlineLevel="1">
      <c r="A75" s="221"/>
      <c r="B75" s="222"/>
      <c r="C75" s="222"/>
      <c r="D75" s="225"/>
      <c r="E75" s="222"/>
      <c r="F75" s="222"/>
      <c r="G75" s="222"/>
      <c r="H75" s="266"/>
      <c r="I75" s="101"/>
      <c r="J75" s="102"/>
      <c r="K75" s="102"/>
      <c r="L75" s="102"/>
      <c r="M75" s="102"/>
      <c r="N75" s="102"/>
      <c r="O75" s="102"/>
      <c r="P75" s="102"/>
      <c r="Q75" s="102"/>
      <c r="R75" s="102"/>
      <c r="S75" s="102"/>
      <c r="T75" s="102"/>
      <c r="U75" s="102"/>
      <c r="V75" s="102"/>
      <c r="W75" s="102"/>
      <c r="X75" s="103"/>
      <c r="Y75" s="264"/>
      <c r="Z75" s="222"/>
      <c r="AA75" s="266"/>
      <c r="AB75" s="104">
        <f>ROUNDDOWN(AB74*10%,-1)</f>
        <v>0</v>
      </c>
      <c r="AC75" s="105">
        <f ca="1">IFERROR(IF(AND( OR(COUNTIF(I74:X75, "&gt;0")&gt;=$AJ$1, AA74&gt;=$AJ$4),AN74&lt;60,AA74&lt;=$AH$5),ROUNDDOWN(ROUNDDOWN(AA74,-3)*$AH$4%,-1),IF(AND(COUNTIF(I74:X75,"&gt;0")&gt;=$AJ$1,AN74&lt;60,AA74&gt;$AH$5),$AJ$5,0)),0)</f>
        <v>0</v>
      </c>
      <c r="AD75" s="106">
        <f>IF(Z74&gt;=$AJ$1,ROUNDDOWN(AD74*$AH$3%/($AH$2*2%),-1),0)</f>
        <v>0</v>
      </c>
      <c r="AE75" s="266"/>
      <c r="AF75" s="266"/>
      <c r="AG75" s="222"/>
      <c r="AH75" s="222"/>
      <c r="AI75" s="222"/>
      <c r="AJ75" s="222"/>
      <c r="AK75" s="250"/>
      <c r="AL75" s="250"/>
      <c r="AM75" s="251"/>
      <c r="AN75" s="252"/>
      <c r="AO75" s="266"/>
      <c r="AP75" s="107">
        <f t="shared" ref="AP75:BE75" si="194">IF($H74*I75&gt;150000,ROUNDDOWN(($H74*I75-150000)*6%*45%,0),0)</f>
        <v>0</v>
      </c>
      <c r="AQ75" s="108">
        <f t="shared" si="194"/>
        <v>0</v>
      </c>
      <c r="AR75" s="108">
        <f t="shared" si="194"/>
        <v>0</v>
      </c>
      <c r="AS75" s="108">
        <f t="shared" si="194"/>
        <v>0</v>
      </c>
      <c r="AT75" s="108">
        <f t="shared" si="194"/>
        <v>0</v>
      </c>
      <c r="AU75" s="108">
        <f t="shared" si="194"/>
        <v>0</v>
      </c>
      <c r="AV75" s="108">
        <f t="shared" si="194"/>
        <v>0</v>
      </c>
      <c r="AW75" s="108">
        <f t="shared" si="194"/>
        <v>0</v>
      </c>
      <c r="AX75" s="108">
        <f t="shared" si="194"/>
        <v>0</v>
      </c>
      <c r="AY75" s="108">
        <f t="shared" si="194"/>
        <v>0</v>
      </c>
      <c r="AZ75" s="108">
        <f t="shared" si="194"/>
        <v>0</v>
      </c>
      <c r="BA75" s="108">
        <f t="shared" si="194"/>
        <v>0</v>
      </c>
      <c r="BB75" s="108">
        <f t="shared" si="194"/>
        <v>0</v>
      </c>
      <c r="BC75" s="108">
        <f t="shared" si="194"/>
        <v>0</v>
      </c>
      <c r="BD75" s="108">
        <f t="shared" si="194"/>
        <v>0</v>
      </c>
      <c r="BE75" s="109">
        <f t="shared" si="194"/>
        <v>0</v>
      </c>
      <c r="BG75" s="222"/>
      <c r="BH75" s="222"/>
      <c r="BI75" s="222"/>
      <c r="BJ75" s="268"/>
      <c r="BK75" s="265"/>
      <c r="BL75" s="222"/>
      <c r="BM75" s="249"/>
      <c r="BN75" s="265"/>
      <c r="BO75" s="222"/>
      <c r="BP75" s="222"/>
      <c r="BQ75" s="265"/>
      <c r="BR75" s="265"/>
      <c r="BS75" s="265"/>
      <c r="BT75" s="244"/>
      <c r="BU75" s="222"/>
      <c r="BV75" s="244"/>
      <c r="BW75" s="222"/>
    </row>
    <row r="76" spans="1:75" outlineLevel="1">
      <c r="A76" s="221">
        <v>37</v>
      </c>
      <c r="B76" s="222" t="str">
        <f>IF(LEN(D76)&gt;1,IF(VALUE(MID(RIGHT(D76,7),1,1))&gt;4,"외국인",IF(VALUE(RIGHT(11-MOD((MID(D76,1,1)*2+MID(D76,2,1)*3+MID(D76,3,1)*4+MID(D76,4,1)*5+MID(D76,5,1)*6+MID(D76,6,1)*7+MID(RIGHT(D76,7),1,1)*8+MID(RIGHT(D76,7),2,1)*9+MID(RIGHT(D76,7),3,1)*2+MID(RIGHT(D76,7),4,1)*3+MID(RIGHT(D76,7),5,1)*4+MID(RIGHT(D76,7),6,1)*5),11),1))=VALUE(RIGHT(D76,1)),"","오류")),"")</f>
        <v/>
      </c>
      <c r="C76" s="222"/>
      <c r="D76" s="225"/>
      <c r="E76" s="222"/>
      <c r="F76" s="222"/>
      <c r="G76" s="222"/>
      <c r="H76" s="266"/>
      <c r="I76" s="89"/>
      <c r="J76" s="90"/>
      <c r="K76" s="90"/>
      <c r="L76" s="90"/>
      <c r="M76" s="90"/>
      <c r="N76" s="90"/>
      <c r="O76" s="90"/>
      <c r="P76" s="90"/>
      <c r="Q76" s="90"/>
      <c r="R76" s="90"/>
      <c r="S76" s="91"/>
      <c r="T76" s="91"/>
      <c r="U76" s="90"/>
      <c r="V76" s="90"/>
      <c r="W76" s="92"/>
      <c r="X76" s="93"/>
      <c r="Y76" s="264">
        <f>SUM(I76:X77)</f>
        <v>0</v>
      </c>
      <c r="Z76" s="222">
        <f>COUNTIF(I76:X77,"&gt;0")</f>
        <v>0</v>
      </c>
      <c r="AA76" s="266">
        <f>H76*Y76</f>
        <v>0</v>
      </c>
      <c r="AB76" s="94">
        <f>IF(AO76&lt;1000, 0, AO76)</f>
        <v>0</v>
      </c>
      <c r="AC76" s="95">
        <f ca="1">IF(IFERROR($AN76&lt;65,FALSE), IF(B76&lt;&gt;"외국인", ROUNDDOWN(AA76*$AH$1%,-1), IF(AND(AM76&lt;&gt;"", ISNUMBER(SEARCH(LEFT(SUBSTITUTE(AM76, "-",""),2), "F2_F5_F6"))), ROUNDDOWN(AA76*$AH$1%,-1), 0)),0)</f>
        <v>0</v>
      </c>
      <c r="AD76" s="96">
        <f>IF(Z76&gt;=$AJ$1,ROUNDDOWN(AA76*$AH$2%,-1),0)</f>
        <v>0</v>
      </c>
      <c r="AE76" s="266">
        <f ca="1">AB76+AC76+AB77+AC77+AD76+AD77</f>
        <v>0</v>
      </c>
      <c r="AF76" s="266">
        <f ca="1">AA76-AE76</f>
        <v>0</v>
      </c>
      <c r="AG76" s="222"/>
      <c r="AH76" s="222"/>
      <c r="AI76" s="222"/>
      <c r="AJ76" s="222"/>
      <c r="AK76" s="250"/>
      <c r="AL76" s="250"/>
      <c r="AM76" s="251"/>
      <c r="AN76" s="252" t="str">
        <f ca="1">IFERROR(DATEDIF(DATE(IF(ISNUMBER(FIND(MID( SUBSTITUTE(D76, "-",""), 7, 1), "3478")), 2000, 1900)+MID(D76,1,2), MID(D76,3,2), MID(D76,5,2)), TODAY(), "Y"),"")</f>
        <v/>
      </c>
      <c r="AO76" s="266">
        <f>ROUNDDOWN(SUM(AP76:BE77),-1)</f>
        <v>0</v>
      </c>
      <c r="AP76" s="97">
        <f t="shared" ref="AP76:BD76" si="195">IF($H76*I76&gt;150000,ROUNDDOWN(($H76*I76-150000)*6%*45%,0),0)</f>
        <v>0</v>
      </c>
      <c r="AQ76" s="98">
        <f t="shared" si="195"/>
        <v>0</v>
      </c>
      <c r="AR76" s="98">
        <f t="shared" si="195"/>
        <v>0</v>
      </c>
      <c r="AS76" s="98">
        <f t="shared" si="195"/>
        <v>0</v>
      </c>
      <c r="AT76" s="98">
        <f t="shared" si="195"/>
        <v>0</v>
      </c>
      <c r="AU76" s="98">
        <f t="shared" si="195"/>
        <v>0</v>
      </c>
      <c r="AV76" s="98">
        <f t="shared" si="195"/>
        <v>0</v>
      </c>
      <c r="AW76" s="98">
        <f t="shared" si="195"/>
        <v>0</v>
      </c>
      <c r="AX76" s="98">
        <f t="shared" si="195"/>
        <v>0</v>
      </c>
      <c r="AY76" s="98">
        <f t="shared" si="195"/>
        <v>0</v>
      </c>
      <c r="AZ76" s="98">
        <f t="shared" si="195"/>
        <v>0</v>
      </c>
      <c r="BA76" s="98">
        <f t="shared" si="195"/>
        <v>0</v>
      </c>
      <c r="BB76" s="98">
        <f t="shared" si="195"/>
        <v>0</v>
      </c>
      <c r="BC76" s="98">
        <f t="shared" si="195"/>
        <v>0</v>
      </c>
      <c r="BD76" s="99">
        <f t="shared" si="195"/>
        <v>0</v>
      </c>
      <c r="BE76" s="100"/>
      <c r="BG76" s="222">
        <f t="shared" ref="BG76" si="196">C76</f>
        <v>0</v>
      </c>
      <c r="BH76" s="222"/>
      <c r="BI76" s="222"/>
      <c r="BJ76" s="248"/>
      <c r="BK76" s="265"/>
      <c r="BL76" s="222"/>
      <c r="BM76" s="249">
        <f t="shared" si="97"/>
        <v>0</v>
      </c>
      <c r="BN76" s="265"/>
      <c r="BO76" s="222"/>
      <c r="BP76" s="222"/>
      <c r="BQ76" s="265"/>
      <c r="BR76" s="265"/>
      <c r="BS76" s="265"/>
      <c r="BT76" s="244"/>
      <c r="BU76" s="222"/>
      <c r="BV76" s="244">
        <f t="shared" si="100"/>
        <v>0</v>
      </c>
      <c r="BW76" s="222"/>
    </row>
    <row r="77" spans="1:75" outlineLevel="1">
      <c r="A77" s="221"/>
      <c r="B77" s="222"/>
      <c r="C77" s="222"/>
      <c r="D77" s="225"/>
      <c r="E77" s="222"/>
      <c r="F77" s="222"/>
      <c r="G77" s="222"/>
      <c r="H77" s="266"/>
      <c r="I77" s="101"/>
      <c r="J77" s="102"/>
      <c r="K77" s="102"/>
      <c r="L77" s="102"/>
      <c r="M77" s="102"/>
      <c r="N77" s="102"/>
      <c r="O77" s="102"/>
      <c r="P77" s="102"/>
      <c r="Q77" s="102"/>
      <c r="R77" s="102"/>
      <c r="S77" s="102"/>
      <c r="T77" s="102"/>
      <c r="U77" s="102"/>
      <c r="V77" s="102"/>
      <c r="W77" s="102"/>
      <c r="X77" s="103"/>
      <c r="Y77" s="264"/>
      <c r="Z77" s="222"/>
      <c r="AA77" s="266"/>
      <c r="AB77" s="104">
        <f>ROUNDDOWN(AB76*10%,-1)</f>
        <v>0</v>
      </c>
      <c r="AC77" s="105">
        <f ca="1">IFERROR(IF(AND( OR(COUNTIF(I76:X77, "&gt;0")&gt;=$AJ$1, AA76&gt;=$AJ$4),AN76&lt;60,AA76&lt;=$AH$5),ROUNDDOWN(ROUNDDOWN(AA76,-3)*$AH$4%,-1),IF(AND(COUNTIF(I76:X77,"&gt;0")&gt;=$AJ$1,AN76&lt;60,AA76&gt;$AH$5),$AJ$5,0)),0)</f>
        <v>0</v>
      </c>
      <c r="AD77" s="106">
        <f>IF(Z76&gt;=$AJ$1,ROUNDDOWN(AD76*$AH$3%/($AH$2*2%),-1),0)</f>
        <v>0</v>
      </c>
      <c r="AE77" s="266"/>
      <c r="AF77" s="266"/>
      <c r="AG77" s="222"/>
      <c r="AH77" s="222"/>
      <c r="AI77" s="222"/>
      <c r="AJ77" s="222"/>
      <c r="AK77" s="250"/>
      <c r="AL77" s="250"/>
      <c r="AM77" s="251"/>
      <c r="AN77" s="252"/>
      <c r="AO77" s="266"/>
      <c r="AP77" s="107">
        <f t="shared" ref="AP77:BE77" si="197">IF($H76*I77&gt;150000,ROUNDDOWN(($H76*I77-150000)*6%*45%,0),0)</f>
        <v>0</v>
      </c>
      <c r="AQ77" s="108">
        <f t="shared" si="197"/>
        <v>0</v>
      </c>
      <c r="AR77" s="108">
        <f t="shared" si="197"/>
        <v>0</v>
      </c>
      <c r="AS77" s="108">
        <f t="shared" si="197"/>
        <v>0</v>
      </c>
      <c r="AT77" s="108">
        <f t="shared" si="197"/>
        <v>0</v>
      </c>
      <c r="AU77" s="108">
        <f t="shared" si="197"/>
        <v>0</v>
      </c>
      <c r="AV77" s="108">
        <f t="shared" si="197"/>
        <v>0</v>
      </c>
      <c r="AW77" s="108">
        <f t="shared" si="197"/>
        <v>0</v>
      </c>
      <c r="AX77" s="108">
        <f t="shared" si="197"/>
        <v>0</v>
      </c>
      <c r="AY77" s="108">
        <f t="shared" si="197"/>
        <v>0</v>
      </c>
      <c r="AZ77" s="108">
        <f t="shared" si="197"/>
        <v>0</v>
      </c>
      <c r="BA77" s="108">
        <f t="shared" si="197"/>
        <v>0</v>
      </c>
      <c r="BB77" s="108">
        <f t="shared" si="197"/>
        <v>0</v>
      </c>
      <c r="BC77" s="108">
        <f t="shared" si="197"/>
        <v>0</v>
      </c>
      <c r="BD77" s="108">
        <f t="shared" si="197"/>
        <v>0</v>
      </c>
      <c r="BE77" s="109">
        <f t="shared" si="197"/>
        <v>0</v>
      </c>
      <c r="BG77" s="222"/>
      <c r="BH77" s="222"/>
      <c r="BI77" s="222"/>
      <c r="BJ77" s="248"/>
      <c r="BK77" s="265"/>
      <c r="BL77" s="222"/>
      <c r="BM77" s="249"/>
      <c r="BN77" s="265"/>
      <c r="BO77" s="222"/>
      <c r="BP77" s="222"/>
      <c r="BQ77" s="265"/>
      <c r="BR77" s="265"/>
      <c r="BS77" s="265"/>
      <c r="BT77" s="244"/>
      <c r="BU77" s="222"/>
      <c r="BV77" s="244"/>
      <c r="BW77" s="222"/>
    </row>
    <row r="78" spans="1:75" outlineLevel="1">
      <c r="A78" s="221">
        <v>38</v>
      </c>
      <c r="B78" s="222" t="str">
        <f>IF(LEN(D78)&gt;1,IF(VALUE(MID(RIGHT(D78,7),1,1))&gt;4,"외국인",IF(VALUE(RIGHT(11-MOD((MID(D78,1,1)*2+MID(D78,2,1)*3+MID(D78,3,1)*4+MID(D78,4,1)*5+MID(D78,5,1)*6+MID(D78,6,1)*7+MID(RIGHT(D78,7),1,1)*8+MID(RIGHT(D78,7),2,1)*9+MID(RIGHT(D78,7),3,1)*2+MID(RIGHT(D78,7),4,1)*3+MID(RIGHT(D78,7),5,1)*4+MID(RIGHT(D78,7),6,1)*5),11),1))=VALUE(RIGHT(D78,1)),"","오류")),"")</f>
        <v/>
      </c>
      <c r="C78" s="222"/>
      <c r="D78" s="225"/>
      <c r="E78" s="222"/>
      <c r="F78" s="222"/>
      <c r="G78" s="222"/>
      <c r="H78" s="266"/>
      <c r="I78" s="89"/>
      <c r="J78" s="90"/>
      <c r="K78" s="90"/>
      <c r="L78" s="90"/>
      <c r="M78" s="90"/>
      <c r="N78" s="90"/>
      <c r="O78" s="90"/>
      <c r="P78" s="90"/>
      <c r="Q78" s="90"/>
      <c r="R78" s="90"/>
      <c r="S78" s="91"/>
      <c r="T78" s="91"/>
      <c r="U78" s="90"/>
      <c r="V78" s="90"/>
      <c r="W78" s="92"/>
      <c r="X78" s="93"/>
      <c r="Y78" s="264">
        <f>SUM(I78:X79)</f>
        <v>0</v>
      </c>
      <c r="Z78" s="222">
        <f>COUNTIF(I78:X79,"&gt;0")</f>
        <v>0</v>
      </c>
      <c r="AA78" s="266">
        <f>H78*Y78</f>
        <v>0</v>
      </c>
      <c r="AB78" s="94">
        <f>IF(AO78&lt;1000, 0, AO78)</f>
        <v>0</v>
      </c>
      <c r="AC78" s="95">
        <f ca="1">IF(IFERROR($AN78&lt;65,FALSE), IF(B78&lt;&gt;"외국인", ROUNDDOWN(AA78*$AH$1%,-1), IF(AND(AM78&lt;&gt;"", ISNUMBER(SEARCH(LEFT(SUBSTITUTE(AM78, "-",""),2), "F2_F5_F6"))), ROUNDDOWN(AA78*$AH$1%,-1), 0)),0)</f>
        <v>0</v>
      </c>
      <c r="AD78" s="96">
        <f>IF(Z78&gt;=$AJ$1,ROUNDDOWN(AA78*$AH$2%,-1),0)</f>
        <v>0</v>
      </c>
      <c r="AE78" s="266">
        <f ca="1">AB78+AC78+AB79+AC79+AD78+AD79</f>
        <v>0</v>
      </c>
      <c r="AF78" s="266">
        <f ca="1">AA78-AE78</f>
        <v>0</v>
      </c>
      <c r="AG78" s="222"/>
      <c r="AH78" s="222"/>
      <c r="AI78" s="222"/>
      <c r="AJ78" s="222"/>
      <c r="AK78" s="250"/>
      <c r="AL78" s="250"/>
      <c r="AM78" s="251"/>
      <c r="AN78" s="252" t="str">
        <f ca="1">IFERROR(DATEDIF(DATE(IF(ISNUMBER(FIND(MID( SUBSTITUTE(D78, "-",""), 7, 1), "3478")), 2000, 1900)+MID(D78,1,2), MID(D78,3,2), MID(D78,5,2)), TODAY(), "Y"),"")</f>
        <v/>
      </c>
      <c r="AO78" s="266">
        <f>ROUNDDOWN(SUM(AP78:BE79),-1)</f>
        <v>0</v>
      </c>
      <c r="AP78" s="97">
        <f t="shared" ref="AP78:BD78" si="198">IF($H78*I78&gt;150000,ROUNDDOWN(($H78*I78-150000)*6%*45%,0),0)</f>
        <v>0</v>
      </c>
      <c r="AQ78" s="98">
        <f t="shared" si="198"/>
        <v>0</v>
      </c>
      <c r="AR78" s="98">
        <f t="shared" si="198"/>
        <v>0</v>
      </c>
      <c r="AS78" s="98">
        <f t="shared" si="198"/>
        <v>0</v>
      </c>
      <c r="AT78" s="98">
        <f t="shared" si="198"/>
        <v>0</v>
      </c>
      <c r="AU78" s="98">
        <f t="shared" si="198"/>
        <v>0</v>
      </c>
      <c r="AV78" s="98">
        <f t="shared" si="198"/>
        <v>0</v>
      </c>
      <c r="AW78" s="98">
        <f t="shared" si="198"/>
        <v>0</v>
      </c>
      <c r="AX78" s="98">
        <f t="shared" si="198"/>
        <v>0</v>
      </c>
      <c r="AY78" s="98">
        <f t="shared" si="198"/>
        <v>0</v>
      </c>
      <c r="AZ78" s="98">
        <f t="shared" si="198"/>
        <v>0</v>
      </c>
      <c r="BA78" s="98">
        <f t="shared" si="198"/>
        <v>0</v>
      </c>
      <c r="BB78" s="98">
        <f t="shared" si="198"/>
        <v>0</v>
      </c>
      <c r="BC78" s="98">
        <f t="shared" si="198"/>
        <v>0</v>
      </c>
      <c r="BD78" s="99">
        <f t="shared" si="198"/>
        <v>0</v>
      </c>
      <c r="BE78" s="100"/>
      <c r="BG78" s="222">
        <f t="shared" ref="BG78" si="199">C78</f>
        <v>0</v>
      </c>
      <c r="BH78" s="222"/>
      <c r="BI78" s="222"/>
      <c r="BJ78" s="269"/>
      <c r="BK78" s="265"/>
      <c r="BL78" s="222"/>
      <c r="BM78" s="249">
        <f t="shared" si="97"/>
        <v>0</v>
      </c>
      <c r="BN78" s="265"/>
      <c r="BO78" s="222"/>
      <c r="BP78" s="222"/>
      <c r="BQ78" s="265"/>
      <c r="BR78" s="265"/>
      <c r="BS78" s="265"/>
      <c r="BT78" s="244"/>
      <c r="BU78" s="222"/>
      <c r="BV78" s="244">
        <f t="shared" si="100"/>
        <v>0</v>
      </c>
      <c r="BW78" s="222"/>
    </row>
    <row r="79" spans="1:75" outlineLevel="1">
      <c r="A79" s="221"/>
      <c r="B79" s="222"/>
      <c r="C79" s="222"/>
      <c r="D79" s="225"/>
      <c r="E79" s="222"/>
      <c r="F79" s="222"/>
      <c r="G79" s="222"/>
      <c r="H79" s="266"/>
      <c r="I79" s="101"/>
      <c r="J79" s="102"/>
      <c r="K79" s="102"/>
      <c r="L79" s="102"/>
      <c r="M79" s="102"/>
      <c r="N79" s="102"/>
      <c r="O79" s="102"/>
      <c r="P79" s="102"/>
      <c r="Q79" s="102"/>
      <c r="R79" s="102"/>
      <c r="S79" s="102"/>
      <c r="T79" s="102"/>
      <c r="U79" s="102"/>
      <c r="V79" s="102"/>
      <c r="W79" s="102"/>
      <c r="X79" s="103"/>
      <c r="Y79" s="264"/>
      <c r="Z79" s="222"/>
      <c r="AA79" s="266"/>
      <c r="AB79" s="104">
        <f>ROUNDDOWN(AB78*10%,-1)</f>
        <v>0</v>
      </c>
      <c r="AC79" s="105">
        <f ca="1">IFERROR(IF(AND( OR(COUNTIF(I78:X79, "&gt;0")&gt;=$AJ$1, AA78&gt;=$AJ$4),AN78&lt;60,AA78&lt;=$AH$5),ROUNDDOWN(ROUNDDOWN(AA78,-3)*$AH$4%,-1),IF(AND(COUNTIF(I78:X79,"&gt;0")&gt;=$AJ$1,AN78&lt;60,AA78&gt;$AH$5),$AJ$5,0)),0)</f>
        <v>0</v>
      </c>
      <c r="AD79" s="106">
        <f>IF(Z78&gt;=$AJ$1,ROUNDDOWN(AD78*$AH$3%/($AH$2*2%),-1),0)</f>
        <v>0</v>
      </c>
      <c r="AE79" s="266"/>
      <c r="AF79" s="266"/>
      <c r="AG79" s="222"/>
      <c r="AH79" s="222"/>
      <c r="AI79" s="222"/>
      <c r="AJ79" s="222"/>
      <c r="AK79" s="250"/>
      <c r="AL79" s="250"/>
      <c r="AM79" s="251"/>
      <c r="AN79" s="252"/>
      <c r="AO79" s="266"/>
      <c r="AP79" s="107">
        <f t="shared" ref="AP79:BE79" si="200">IF($H78*I79&gt;150000,ROUNDDOWN(($H78*I79-150000)*6%*45%,0),0)</f>
        <v>0</v>
      </c>
      <c r="AQ79" s="108">
        <f t="shared" si="200"/>
        <v>0</v>
      </c>
      <c r="AR79" s="108">
        <f t="shared" si="200"/>
        <v>0</v>
      </c>
      <c r="AS79" s="108">
        <f t="shared" si="200"/>
        <v>0</v>
      </c>
      <c r="AT79" s="108">
        <f t="shared" si="200"/>
        <v>0</v>
      </c>
      <c r="AU79" s="108">
        <f t="shared" si="200"/>
        <v>0</v>
      </c>
      <c r="AV79" s="108">
        <f t="shared" si="200"/>
        <v>0</v>
      </c>
      <c r="AW79" s="108">
        <f t="shared" si="200"/>
        <v>0</v>
      </c>
      <c r="AX79" s="108">
        <f t="shared" si="200"/>
        <v>0</v>
      </c>
      <c r="AY79" s="108">
        <f t="shared" si="200"/>
        <v>0</v>
      </c>
      <c r="AZ79" s="108">
        <f t="shared" si="200"/>
        <v>0</v>
      </c>
      <c r="BA79" s="108">
        <f t="shared" si="200"/>
        <v>0</v>
      </c>
      <c r="BB79" s="108">
        <f t="shared" si="200"/>
        <v>0</v>
      </c>
      <c r="BC79" s="108">
        <f t="shared" si="200"/>
        <v>0</v>
      </c>
      <c r="BD79" s="108">
        <f t="shared" si="200"/>
        <v>0</v>
      </c>
      <c r="BE79" s="109">
        <f t="shared" si="200"/>
        <v>0</v>
      </c>
      <c r="BG79" s="222"/>
      <c r="BH79" s="222"/>
      <c r="BI79" s="222"/>
      <c r="BJ79" s="269"/>
      <c r="BK79" s="265"/>
      <c r="BL79" s="222"/>
      <c r="BM79" s="249"/>
      <c r="BN79" s="265"/>
      <c r="BO79" s="222"/>
      <c r="BP79" s="222"/>
      <c r="BQ79" s="265"/>
      <c r="BR79" s="265"/>
      <c r="BS79" s="265"/>
      <c r="BT79" s="244"/>
      <c r="BU79" s="222"/>
      <c r="BV79" s="244"/>
      <c r="BW79" s="222"/>
    </row>
    <row r="80" spans="1:75" outlineLevel="1">
      <c r="A80" s="221">
        <v>39</v>
      </c>
      <c r="B80" s="222" t="str">
        <f>IF(LEN(D80)&gt;1,IF(VALUE(MID(RIGHT(D80,7),1,1))&gt;4,"외국인",IF(VALUE(RIGHT(11-MOD((MID(D80,1,1)*2+MID(D80,2,1)*3+MID(D80,3,1)*4+MID(D80,4,1)*5+MID(D80,5,1)*6+MID(D80,6,1)*7+MID(RIGHT(D80,7),1,1)*8+MID(RIGHT(D80,7),2,1)*9+MID(RIGHT(D80,7),3,1)*2+MID(RIGHT(D80,7),4,1)*3+MID(RIGHT(D80,7),5,1)*4+MID(RIGHT(D80,7),6,1)*5),11),1))=VALUE(RIGHT(D80,1)),"","오류")),"")</f>
        <v/>
      </c>
      <c r="C80" s="222"/>
      <c r="D80" s="225"/>
      <c r="E80" s="222"/>
      <c r="F80" s="222"/>
      <c r="G80" s="222"/>
      <c r="H80" s="266"/>
      <c r="I80" s="89"/>
      <c r="J80" s="90"/>
      <c r="K80" s="90"/>
      <c r="L80" s="90"/>
      <c r="M80" s="90"/>
      <c r="N80" s="90"/>
      <c r="O80" s="90"/>
      <c r="P80" s="90"/>
      <c r="Q80" s="90"/>
      <c r="R80" s="90"/>
      <c r="S80" s="91"/>
      <c r="T80" s="91"/>
      <c r="U80" s="90"/>
      <c r="V80" s="90"/>
      <c r="W80" s="92"/>
      <c r="X80" s="93"/>
      <c r="Y80" s="264">
        <f>SUM(I80:X81)</f>
        <v>0</v>
      </c>
      <c r="Z80" s="222">
        <f>COUNTIF(I80:X81,"&gt;0")</f>
        <v>0</v>
      </c>
      <c r="AA80" s="266">
        <f>H80*Y80</f>
        <v>0</v>
      </c>
      <c r="AB80" s="94">
        <f>IF(AO80&lt;1000, 0, AO80)</f>
        <v>0</v>
      </c>
      <c r="AC80" s="95">
        <f ca="1">IF(IFERROR($AN80&lt;65,FALSE), IF(B80&lt;&gt;"외국인", ROUNDDOWN(AA80*$AH$1%,-1), IF(AND(AM80&lt;&gt;"", ISNUMBER(SEARCH(LEFT(SUBSTITUTE(AM80, "-",""),2), "F2_F5_F6"))), ROUNDDOWN(AA80*$AH$1%,-1), 0)),0)</f>
        <v>0</v>
      </c>
      <c r="AD80" s="96">
        <f>IF(Z80&gt;=$AJ$1,ROUNDDOWN(AA80*$AH$2%,-1),0)</f>
        <v>0</v>
      </c>
      <c r="AE80" s="266">
        <f ca="1">AB80+AC80+AB81+AC81+AD80+AD81</f>
        <v>0</v>
      </c>
      <c r="AF80" s="266">
        <f ca="1">AA80-AE80</f>
        <v>0</v>
      </c>
      <c r="AG80" s="222"/>
      <c r="AH80" s="222"/>
      <c r="AI80" s="222"/>
      <c r="AJ80" s="222"/>
      <c r="AK80" s="250"/>
      <c r="AL80" s="250"/>
      <c r="AM80" s="251"/>
      <c r="AN80" s="252" t="str">
        <f ca="1">IFERROR(DATEDIF(DATE(IF(ISNUMBER(FIND(MID( SUBSTITUTE(D80, "-",""), 7, 1), "3478")), 2000, 1900)+MID(D80,1,2), MID(D80,3,2), MID(D80,5,2)), TODAY(), "Y"),"")</f>
        <v/>
      </c>
      <c r="AO80" s="266">
        <f>ROUNDDOWN(SUM(AP80:BE81),-1)</f>
        <v>0</v>
      </c>
      <c r="AP80" s="97">
        <f t="shared" ref="AP80:BD80" si="201">IF($H80*I80&gt;150000,ROUNDDOWN(($H80*I80-150000)*6%*45%,0),0)</f>
        <v>0</v>
      </c>
      <c r="AQ80" s="98">
        <f t="shared" si="201"/>
        <v>0</v>
      </c>
      <c r="AR80" s="98">
        <f t="shared" si="201"/>
        <v>0</v>
      </c>
      <c r="AS80" s="98">
        <f t="shared" si="201"/>
        <v>0</v>
      </c>
      <c r="AT80" s="98">
        <f t="shared" si="201"/>
        <v>0</v>
      </c>
      <c r="AU80" s="98">
        <f t="shared" si="201"/>
        <v>0</v>
      </c>
      <c r="AV80" s="98">
        <f t="shared" si="201"/>
        <v>0</v>
      </c>
      <c r="AW80" s="98">
        <f t="shared" si="201"/>
        <v>0</v>
      </c>
      <c r="AX80" s="98">
        <f t="shared" si="201"/>
        <v>0</v>
      </c>
      <c r="AY80" s="98">
        <f t="shared" si="201"/>
        <v>0</v>
      </c>
      <c r="AZ80" s="98">
        <f t="shared" si="201"/>
        <v>0</v>
      </c>
      <c r="BA80" s="98">
        <f t="shared" si="201"/>
        <v>0</v>
      </c>
      <c r="BB80" s="98">
        <f t="shared" si="201"/>
        <v>0</v>
      </c>
      <c r="BC80" s="98">
        <f t="shared" si="201"/>
        <v>0</v>
      </c>
      <c r="BD80" s="99">
        <f t="shared" si="201"/>
        <v>0</v>
      </c>
      <c r="BE80" s="100"/>
      <c r="BG80" s="222">
        <f t="shared" ref="BG80" si="202">C80</f>
        <v>0</v>
      </c>
      <c r="BH80" s="222"/>
      <c r="BI80" s="222"/>
      <c r="BJ80" s="269"/>
      <c r="BK80" s="265"/>
      <c r="BL80" s="222"/>
      <c r="BM80" s="249">
        <f t="shared" si="97"/>
        <v>0</v>
      </c>
      <c r="BN80" s="265"/>
      <c r="BO80" s="222"/>
      <c r="BP80" s="222"/>
      <c r="BQ80" s="265"/>
      <c r="BR80" s="265"/>
      <c r="BS80" s="265"/>
      <c r="BT80" s="244"/>
      <c r="BU80" s="222"/>
      <c r="BV80" s="244">
        <f t="shared" si="100"/>
        <v>0</v>
      </c>
      <c r="BW80" s="222"/>
    </row>
    <row r="81" spans="1:75" outlineLevel="1">
      <c r="A81" s="221"/>
      <c r="B81" s="222"/>
      <c r="C81" s="222"/>
      <c r="D81" s="225"/>
      <c r="E81" s="222"/>
      <c r="F81" s="222"/>
      <c r="G81" s="222"/>
      <c r="H81" s="266"/>
      <c r="I81" s="101"/>
      <c r="J81" s="102"/>
      <c r="K81" s="102"/>
      <c r="L81" s="102"/>
      <c r="M81" s="102"/>
      <c r="N81" s="102"/>
      <c r="O81" s="102"/>
      <c r="P81" s="102"/>
      <c r="Q81" s="102"/>
      <c r="R81" s="102"/>
      <c r="S81" s="102"/>
      <c r="T81" s="102"/>
      <c r="U81" s="102"/>
      <c r="V81" s="102"/>
      <c r="W81" s="102"/>
      <c r="X81" s="103"/>
      <c r="Y81" s="264"/>
      <c r="Z81" s="222"/>
      <c r="AA81" s="266"/>
      <c r="AB81" s="104">
        <f>ROUNDDOWN(AB80*10%,-1)</f>
        <v>0</v>
      </c>
      <c r="AC81" s="105">
        <f ca="1">IFERROR(IF(AND( OR(COUNTIF(I80:X81, "&gt;0")&gt;=$AJ$1, AA80&gt;=$AJ$4),AN80&lt;60,AA80&lt;=$AH$5),ROUNDDOWN(ROUNDDOWN(AA80,-3)*$AH$4%,-1),IF(AND(COUNTIF(I80:X81,"&gt;0")&gt;=$AJ$1,AN80&lt;60,AA80&gt;$AH$5),$AJ$5,0)),0)</f>
        <v>0</v>
      </c>
      <c r="AD81" s="106">
        <f>IF(Z80&gt;=$AJ$1,ROUNDDOWN(AD80*$AH$3%/($AH$2*2%),-1),0)</f>
        <v>0</v>
      </c>
      <c r="AE81" s="266"/>
      <c r="AF81" s="266"/>
      <c r="AG81" s="222"/>
      <c r="AH81" s="222"/>
      <c r="AI81" s="222"/>
      <c r="AJ81" s="222"/>
      <c r="AK81" s="250"/>
      <c r="AL81" s="250"/>
      <c r="AM81" s="251"/>
      <c r="AN81" s="252"/>
      <c r="AO81" s="266"/>
      <c r="AP81" s="107">
        <f t="shared" ref="AP81:BE81" si="203">IF($H80*I81&gt;150000,ROUNDDOWN(($H80*I81-150000)*6%*45%,0),0)</f>
        <v>0</v>
      </c>
      <c r="AQ81" s="108">
        <f t="shared" si="203"/>
        <v>0</v>
      </c>
      <c r="AR81" s="108">
        <f t="shared" si="203"/>
        <v>0</v>
      </c>
      <c r="AS81" s="108">
        <f t="shared" si="203"/>
        <v>0</v>
      </c>
      <c r="AT81" s="108">
        <f t="shared" si="203"/>
        <v>0</v>
      </c>
      <c r="AU81" s="108">
        <f t="shared" si="203"/>
        <v>0</v>
      </c>
      <c r="AV81" s="108">
        <f t="shared" si="203"/>
        <v>0</v>
      </c>
      <c r="AW81" s="108">
        <f t="shared" si="203"/>
        <v>0</v>
      </c>
      <c r="AX81" s="108">
        <f t="shared" si="203"/>
        <v>0</v>
      </c>
      <c r="AY81" s="108">
        <f t="shared" si="203"/>
        <v>0</v>
      </c>
      <c r="AZ81" s="108">
        <f t="shared" si="203"/>
        <v>0</v>
      </c>
      <c r="BA81" s="108">
        <f t="shared" si="203"/>
        <v>0</v>
      </c>
      <c r="BB81" s="108">
        <f t="shared" si="203"/>
        <v>0</v>
      </c>
      <c r="BC81" s="108">
        <f t="shared" si="203"/>
        <v>0</v>
      </c>
      <c r="BD81" s="108">
        <f t="shared" si="203"/>
        <v>0</v>
      </c>
      <c r="BE81" s="109">
        <f t="shared" si="203"/>
        <v>0</v>
      </c>
      <c r="BG81" s="222"/>
      <c r="BH81" s="222"/>
      <c r="BI81" s="222"/>
      <c r="BJ81" s="269"/>
      <c r="BK81" s="265"/>
      <c r="BL81" s="222"/>
      <c r="BM81" s="249"/>
      <c r="BN81" s="265"/>
      <c r="BO81" s="222"/>
      <c r="BP81" s="222"/>
      <c r="BQ81" s="265"/>
      <c r="BR81" s="265"/>
      <c r="BS81" s="265"/>
      <c r="BT81" s="244"/>
      <c r="BU81" s="222"/>
      <c r="BV81" s="244"/>
      <c r="BW81" s="222"/>
    </row>
    <row r="82" spans="1:75" outlineLevel="1">
      <c r="A82" s="221">
        <v>40</v>
      </c>
      <c r="B82" s="222" t="str">
        <f>IF(LEN(D82)&gt;1,IF(VALUE(MID(RIGHT(D82,7),1,1))&gt;4,"외국인",IF(VALUE(RIGHT(11-MOD((MID(D82,1,1)*2+MID(D82,2,1)*3+MID(D82,3,1)*4+MID(D82,4,1)*5+MID(D82,5,1)*6+MID(D82,6,1)*7+MID(RIGHT(D82,7),1,1)*8+MID(RIGHT(D82,7),2,1)*9+MID(RIGHT(D82,7),3,1)*2+MID(RIGHT(D82,7),4,1)*3+MID(RIGHT(D82,7),5,1)*4+MID(RIGHT(D82,7),6,1)*5),11),1))=VALUE(RIGHT(D82,1)),"","오류")),"")</f>
        <v/>
      </c>
      <c r="C82" s="222"/>
      <c r="D82" s="225"/>
      <c r="E82" s="222"/>
      <c r="F82" s="222"/>
      <c r="G82" s="222"/>
      <c r="H82" s="266"/>
      <c r="I82" s="89"/>
      <c r="J82" s="90"/>
      <c r="K82" s="90"/>
      <c r="L82" s="90"/>
      <c r="M82" s="90"/>
      <c r="N82" s="90"/>
      <c r="O82" s="90"/>
      <c r="P82" s="90"/>
      <c r="Q82" s="90"/>
      <c r="R82" s="90"/>
      <c r="S82" s="91"/>
      <c r="T82" s="91"/>
      <c r="U82" s="90"/>
      <c r="V82" s="90"/>
      <c r="W82" s="92"/>
      <c r="X82" s="93"/>
      <c r="Y82" s="264">
        <f>SUM(I82:X83)</f>
        <v>0</v>
      </c>
      <c r="Z82" s="222">
        <f>COUNTIF(I82:X83,"&gt;0")</f>
        <v>0</v>
      </c>
      <c r="AA82" s="266">
        <f>H82*Y82</f>
        <v>0</v>
      </c>
      <c r="AB82" s="94">
        <f>IF(AO82&lt;1000, 0, AO82)</f>
        <v>0</v>
      </c>
      <c r="AC82" s="95">
        <f ca="1">IF(IFERROR($AN82&lt;65,FALSE), IF(B82&lt;&gt;"외국인", ROUNDDOWN(AA82*$AH$1%,-1), IF(AND(AM82&lt;&gt;"", ISNUMBER(SEARCH(LEFT(SUBSTITUTE(AM82, "-",""),2), "F2_F5_F6"))), ROUNDDOWN(AA82*$AH$1%,-1), 0)),0)</f>
        <v>0</v>
      </c>
      <c r="AD82" s="96">
        <f>IF(Z82&gt;=$AJ$1,ROUNDDOWN(AA82*$AH$2%,-1),0)</f>
        <v>0</v>
      </c>
      <c r="AE82" s="266">
        <f ca="1">AB82+AC82+AB83+AC83+AD82+AD83</f>
        <v>0</v>
      </c>
      <c r="AF82" s="266">
        <f ca="1">AA82-AE82</f>
        <v>0</v>
      </c>
      <c r="AG82" s="222"/>
      <c r="AH82" s="222"/>
      <c r="AI82" s="222"/>
      <c r="AJ82" s="222"/>
      <c r="AK82" s="250"/>
      <c r="AL82" s="250"/>
      <c r="AM82" s="251"/>
      <c r="AN82" s="252" t="str">
        <f ca="1">IFERROR(DATEDIF(DATE(IF(ISNUMBER(FIND(MID( SUBSTITUTE(D82, "-",""), 7, 1), "3478")), 2000, 1900)+MID(D82,1,2), MID(D82,3,2), MID(D82,5,2)), TODAY(), "Y"),"")</f>
        <v/>
      </c>
      <c r="AO82" s="266">
        <f>ROUNDDOWN(SUM(AP82:BE83),-1)</f>
        <v>0</v>
      </c>
      <c r="AP82" s="97">
        <f t="shared" ref="AP82:BD82" si="204">IF($H82*I82&gt;150000,ROUNDDOWN(($H82*I82-150000)*6%*45%,0),0)</f>
        <v>0</v>
      </c>
      <c r="AQ82" s="98">
        <f t="shared" si="204"/>
        <v>0</v>
      </c>
      <c r="AR82" s="98">
        <f t="shared" si="204"/>
        <v>0</v>
      </c>
      <c r="AS82" s="98">
        <f t="shared" si="204"/>
        <v>0</v>
      </c>
      <c r="AT82" s="98">
        <f t="shared" si="204"/>
        <v>0</v>
      </c>
      <c r="AU82" s="98">
        <f t="shared" si="204"/>
        <v>0</v>
      </c>
      <c r="AV82" s="98">
        <f t="shared" si="204"/>
        <v>0</v>
      </c>
      <c r="AW82" s="98">
        <f t="shared" si="204"/>
        <v>0</v>
      </c>
      <c r="AX82" s="98">
        <f t="shared" si="204"/>
        <v>0</v>
      </c>
      <c r="AY82" s="98">
        <f t="shared" si="204"/>
        <v>0</v>
      </c>
      <c r="AZ82" s="98">
        <f t="shared" si="204"/>
        <v>0</v>
      </c>
      <c r="BA82" s="98">
        <f t="shared" si="204"/>
        <v>0</v>
      </c>
      <c r="BB82" s="98">
        <f t="shared" si="204"/>
        <v>0</v>
      </c>
      <c r="BC82" s="98">
        <f t="shared" si="204"/>
        <v>0</v>
      </c>
      <c r="BD82" s="99">
        <f t="shared" si="204"/>
        <v>0</v>
      </c>
      <c r="BE82" s="100"/>
      <c r="BG82" s="222">
        <f t="shared" ref="BG82" si="205">C82</f>
        <v>0</v>
      </c>
      <c r="BH82" s="222"/>
      <c r="BI82" s="222"/>
      <c r="BJ82" s="248"/>
      <c r="BK82" s="265"/>
      <c r="BL82" s="222"/>
      <c r="BM82" s="249">
        <f t="shared" si="97"/>
        <v>0</v>
      </c>
      <c r="BN82" s="265"/>
      <c r="BO82" s="222"/>
      <c r="BP82" s="222"/>
      <c r="BQ82" s="265"/>
      <c r="BR82" s="265"/>
      <c r="BS82" s="265"/>
      <c r="BT82" s="244"/>
      <c r="BU82" s="222"/>
      <c r="BV82" s="244">
        <f t="shared" si="100"/>
        <v>0</v>
      </c>
      <c r="BW82" s="222"/>
    </row>
    <row r="83" spans="1:75" outlineLevel="1">
      <c r="A83" s="221"/>
      <c r="B83" s="222"/>
      <c r="C83" s="222"/>
      <c r="D83" s="225"/>
      <c r="E83" s="222"/>
      <c r="F83" s="222"/>
      <c r="G83" s="222"/>
      <c r="H83" s="266"/>
      <c r="I83" s="101"/>
      <c r="J83" s="102"/>
      <c r="K83" s="102"/>
      <c r="L83" s="102"/>
      <c r="M83" s="102"/>
      <c r="N83" s="102"/>
      <c r="O83" s="102"/>
      <c r="P83" s="102"/>
      <c r="Q83" s="102"/>
      <c r="R83" s="102"/>
      <c r="S83" s="102"/>
      <c r="T83" s="102"/>
      <c r="U83" s="102"/>
      <c r="V83" s="102"/>
      <c r="W83" s="102"/>
      <c r="X83" s="103"/>
      <c r="Y83" s="264"/>
      <c r="Z83" s="222"/>
      <c r="AA83" s="266"/>
      <c r="AB83" s="104">
        <f>ROUNDDOWN(AB82*10%,-1)</f>
        <v>0</v>
      </c>
      <c r="AC83" s="105">
        <f ca="1">IFERROR(IF(AND( OR(COUNTIF(I82:X83, "&gt;0")&gt;=$AJ$1, AA82&gt;=$AJ$4),AN82&lt;60,AA82&lt;=$AH$5),ROUNDDOWN(ROUNDDOWN(AA82,-3)*$AH$4%,-1),IF(AND(COUNTIF(I82:X83,"&gt;0")&gt;=$AJ$1,AN82&lt;60,AA82&gt;$AH$5),$AJ$5,0)),0)</f>
        <v>0</v>
      </c>
      <c r="AD83" s="106">
        <f>IF(Z82&gt;=$AJ$1,ROUNDDOWN(AD82*$AH$3%/($AH$2*2%),-1),0)</f>
        <v>0</v>
      </c>
      <c r="AE83" s="266"/>
      <c r="AF83" s="266"/>
      <c r="AG83" s="222"/>
      <c r="AH83" s="222"/>
      <c r="AI83" s="222"/>
      <c r="AJ83" s="222"/>
      <c r="AK83" s="250"/>
      <c r="AL83" s="250"/>
      <c r="AM83" s="251"/>
      <c r="AN83" s="252"/>
      <c r="AO83" s="266"/>
      <c r="AP83" s="107">
        <f t="shared" ref="AP83:BE83" si="206">IF($H82*I83&gt;150000,ROUNDDOWN(($H82*I83-150000)*6%*45%,0),0)</f>
        <v>0</v>
      </c>
      <c r="AQ83" s="108">
        <f t="shared" si="206"/>
        <v>0</v>
      </c>
      <c r="AR83" s="108">
        <f t="shared" si="206"/>
        <v>0</v>
      </c>
      <c r="AS83" s="108">
        <f t="shared" si="206"/>
        <v>0</v>
      </c>
      <c r="AT83" s="108">
        <f t="shared" si="206"/>
        <v>0</v>
      </c>
      <c r="AU83" s="108">
        <f t="shared" si="206"/>
        <v>0</v>
      </c>
      <c r="AV83" s="108">
        <f t="shared" si="206"/>
        <v>0</v>
      </c>
      <c r="AW83" s="108">
        <f t="shared" si="206"/>
        <v>0</v>
      </c>
      <c r="AX83" s="108">
        <f t="shared" si="206"/>
        <v>0</v>
      </c>
      <c r="AY83" s="108">
        <f t="shared" si="206"/>
        <v>0</v>
      </c>
      <c r="AZ83" s="108">
        <f t="shared" si="206"/>
        <v>0</v>
      </c>
      <c r="BA83" s="108">
        <f t="shared" si="206"/>
        <v>0</v>
      </c>
      <c r="BB83" s="108">
        <f t="shared" si="206"/>
        <v>0</v>
      </c>
      <c r="BC83" s="108">
        <f t="shared" si="206"/>
        <v>0</v>
      </c>
      <c r="BD83" s="108">
        <f t="shared" si="206"/>
        <v>0</v>
      </c>
      <c r="BE83" s="109">
        <f t="shared" si="206"/>
        <v>0</v>
      </c>
      <c r="BG83" s="222"/>
      <c r="BH83" s="222"/>
      <c r="BI83" s="222"/>
      <c r="BJ83" s="248"/>
      <c r="BK83" s="265"/>
      <c r="BL83" s="222"/>
      <c r="BM83" s="249"/>
      <c r="BN83" s="265"/>
      <c r="BO83" s="222"/>
      <c r="BP83" s="222"/>
      <c r="BQ83" s="265"/>
      <c r="BR83" s="265"/>
      <c r="BS83" s="265"/>
      <c r="BT83" s="244"/>
      <c r="BU83" s="222"/>
      <c r="BV83" s="244"/>
      <c r="BW83" s="222"/>
    </row>
    <row r="84" spans="1:75" outlineLevel="1">
      <c r="A84" s="221">
        <v>41</v>
      </c>
      <c r="B84" s="222" t="str">
        <f>IF(LEN(D84)&gt;1,IF(VALUE(MID(RIGHT(D84,7),1,1))&gt;4,"외국인",IF(VALUE(RIGHT(11-MOD((MID(D84,1,1)*2+MID(D84,2,1)*3+MID(D84,3,1)*4+MID(D84,4,1)*5+MID(D84,5,1)*6+MID(D84,6,1)*7+MID(RIGHT(D84,7),1,1)*8+MID(RIGHT(D84,7),2,1)*9+MID(RIGHT(D84,7),3,1)*2+MID(RIGHT(D84,7),4,1)*3+MID(RIGHT(D84,7),5,1)*4+MID(RIGHT(D84,7),6,1)*5),11),1))=VALUE(RIGHT(D84,1)),"","오류")),"")</f>
        <v/>
      </c>
      <c r="C84" s="222"/>
      <c r="D84" s="225"/>
      <c r="E84" s="222"/>
      <c r="F84" s="222"/>
      <c r="G84" s="222"/>
      <c r="H84" s="266"/>
      <c r="I84" s="89"/>
      <c r="J84" s="90"/>
      <c r="K84" s="90"/>
      <c r="L84" s="90"/>
      <c r="M84" s="90"/>
      <c r="N84" s="90"/>
      <c r="O84" s="90"/>
      <c r="P84" s="90"/>
      <c r="Q84" s="90"/>
      <c r="R84" s="90"/>
      <c r="S84" s="91"/>
      <c r="T84" s="91"/>
      <c r="U84" s="90"/>
      <c r="V84" s="90"/>
      <c r="W84" s="92"/>
      <c r="X84" s="93"/>
      <c r="Y84" s="264">
        <f>SUM(I84:X85)</f>
        <v>0</v>
      </c>
      <c r="Z84" s="222">
        <f>COUNTIF(I84:X85,"&gt;0")</f>
        <v>0</v>
      </c>
      <c r="AA84" s="266">
        <f>H84*Y84</f>
        <v>0</v>
      </c>
      <c r="AB84" s="94">
        <f>IF(AO84&lt;1000, 0, AO84)</f>
        <v>0</v>
      </c>
      <c r="AC84" s="95">
        <f ca="1">IF(IFERROR($AN84&lt;65,FALSE), IF(B84&lt;&gt;"외국인", ROUNDDOWN(AA84*$AH$1%,-1), IF(AND(AM84&lt;&gt;"", ISNUMBER(SEARCH(LEFT(SUBSTITUTE(AM84, "-",""),2), "F2_F5_F6"))), ROUNDDOWN(AA84*$AH$1%,-1), 0)),0)</f>
        <v>0</v>
      </c>
      <c r="AD84" s="96">
        <f>IF(Z84&gt;=$AJ$1,ROUNDDOWN(AA84*$AH$2%,-1),0)</f>
        <v>0</v>
      </c>
      <c r="AE84" s="266">
        <f ca="1">AB84+AC84+AB85+AC85+AD84+AD85</f>
        <v>0</v>
      </c>
      <c r="AF84" s="266">
        <f ca="1">AA84-AE84</f>
        <v>0</v>
      </c>
      <c r="AG84" s="222"/>
      <c r="AH84" s="222"/>
      <c r="AI84" s="222"/>
      <c r="AJ84" s="222"/>
      <c r="AK84" s="250"/>
      <c r="AL84" s="250"/>
      <c r="AM84" s="251"/>
      <c r="AN84" s="252" t="str">
        <f ca="1">IFERROR(DATEDIF(DATE(IF(ISNUMBER(FIND(MID( SUBSTITUTE(D84, "-",""), 7, 1), "3478")), 2000, 1900)+MID(D84,1,2), MID(D84,3,2), MID(D84,5,2)), TODAY(), "Y"),"")</f>
        <v/>
      </c>
      <c r="AO84" s="266">
        <f>ROUNDDOWN(SUM(AP84:BE85),-1)</f>
        <v>0</v>
      </c>
      <c r="AP84" s="97">
        <f t="shared" ref="AP84:BD84" si="207">IF($H84*I84&gt;150000,ROUNDDOWN(($H84*I84-150000)*6%*45%,0),0)</f>
        <v>0</v>
      </c>
      <c r="AQ84" s="98">
        <f t="shared" si="207"/>
        <v>0</v>
      </c>
      <c r="AR84" s="98">
        <f t="shared" si="207"/>
        <v>0</v>
      </c>
      <c r="AS84" s="98">
        <f t="shared" si="207"/>
        <v>0</v>
      </c>
      <c r="AT84" s="98">
        <f t="shared" si="207"/>
        <v>0</v>
      </c>
      <c r="AU84" s="98">
        <f t="shared" si="207"/>
        <v>0</v>
      </c>
      <c r="AV84" s="98">
        <f t="shared" si="207"/>
        <v>0</v>
      </c>
      <c r="AW84" s="98">
        <f t="shared" si="207"/>
        <v>0</v>
      </c>
      <c r="AX84" s="98">
        <f t="shared" si="207"/>
        <v>0</v>
      </c>
      <c r="AY84" s="98">
        <f t="shared" si="207"/>
        <v>0</v>
      </c>
      <c r="AZ84" s="98">
        <f t="shared" si="207"/>
        <v>0</v>
      </c>
      <c r="BA84" s="98">
        <f t="shared" si="207"/>
        <v>0</v>
      </c>
      <c r="BB84" s="98">
        <f t="shared" si="207"/>
        <v>0</v>
      </c>
      <c r="BC84" s="98">
        <f t="shared" si="207"/>
        <v>0</v>
      </c>
      <c r="BD84" s="99">
        <f t="shared" si="207"/>
        <v>0</v>
      </c>
      <c r="BE84" s="100"/>
      <c r="BG84" s="222">
        <f t="shared" ref="BG84" si="208">C84</f>
        <v>0</v>
      </c>
      <c r="BH84" s="222"/>
      <c r="BI84" s="222"/>
      <c r="BJ84" s="269"/>
      <c r="BK84" s="265"/>
      <c r="BL84" s="222"/>
      <c r="BM84" s="249">
        <f t="shared" si="97"/>
        <v>0</v>
      </c>
      <c r="BN84" s="265"/>
      <c r="BO84" s="222"/>
      <c r="BP84" s="222"/>
      <c r="BQ84" s="265"/>
      <c r="BR84" s="265"/>
      <c r="BS84" s="265"/>
      <c r="BT84" s="244"/>
      <c r="BU84" s="222"/>
      <c r="BV84" s="244">
        <f t="shared" si="100"/>
        <v>0</v>
      </c>
      <c r="BW84" s="222"/>
    </row>
    <row r="85" spans="1:75" outlineLevel="1">
      <c r="A85" s="221"/>
      <c r="B85" s="222"/>
      <c r="C85" s="222"/>
      <c r="D85" s="225"/>
      <c r="E85" s="222"/>
      <c r="F85" s="222"/>
      <c r="G85" s="222"/>
      <c r="H85" s="266"/>
      <c r="I85" s="101"/>
      <c r="J85" s="102"/>
      <c r="K85" s="102"/>
      <c r="L85" s="102"/>
      <c r="M85" s="102"/>
      <c r="N85" s="102"/>
      <c r="O85" s="102"/>
      <c r="P85" s="102"/>
      <c r="Q85" s="102"/>
      <c r="R85" s="102"/>
      <c r="S85" s="102"/>
      <c r="T85" s="102"/>
      <c r="U85" s="102"/>
      <c r="V85" s="102"/>
      <c r="W85" s="102"/>
      <c r="X85" s="103"/>
      <c r="Y85" s="264"/>
      <c r="Z85" s="222"/>
      <c r="AA85" s="266"/>
      <c r="AB85" s="104">
        <f>ROUNDDOWN(AB84*10%,-1)</f>
        <v>0</v>
      </c>
      <c r="AC85" s="105">
        <f ca="1">IFERROR(IF(AND( OR(COUNTIF(I84:X85, "&gt;0")&gt;=$AJ$1, AA84&gt;=$AJ$4),AN84&lt;60,AA84&lt;=$AH$5),ROUNDDOWN(ROUNDDOWN(AA84,-3)*$AH$4%,-1),IF(AND(COUNTIF(I84:X85,"&gt;0")&gt;=$AJ$1,AN84&lt;60,AA84&gt;$AH$5),$AJ$5,0)),0)</f>
        <v>0</v>
      </c>
      <c r="AD85" s="106">
        <f>IF(Z84&gt;=$AJ$1,ROUNDDOWN(AD84*$AH$3%/($AH$2*2%),-1),0)</f>
        <v>0</v>
      </c>
      <c r="AE85" s="266"/>
      <c r="AF85" s="266"/>
      <c r="AG85" s="222"/>
      <c r="AH85" s="222"/>
      <c r="AI85" s="222"/>
      <c r="AJ85" s="222"/>
      <c r="AK85" s="250"/>
      <c r="AL85" s="250"/>
      <c r="AM85" s="251"/>
      <c r="AN85" s="252"/>
      <c r="AO85" s="266"/>
      <c r="AP85" s="107">
        <f t="shared" ref="AP85:BE85" si="209">IF($H84*I85&gt;150000,ROUNDDOWN(($H84*I85-150000)*6%*45%,0),0)</f>
        <v>0</v>
      </c>
      <c r="AQ85" s="108">
        <f t="shared" si="209"/>
        <v>0</v>
      </c>
      <c r="AR85" s="108">
        <f t="shared" si="209"/>
        <v>0</v>
      </c>
      <c r="AS85" s="108">
        <f t="shared" si="209"/>
        <v>0</v>
      </c>
      <c r="AT85" s="108">
        <f t="shared" si="209"/>
        <v>0</v>
      </c>
      <c r="AU85" s="108">
        <f t="shared" si="209"/>
        <v>0</v>
      </c>
      <c r="AV85" s="108">
        <f t="shared" si="209"/>
        <v>0</v>
      </c>
      <c r="AW85" s="108">
        <f t="shared" si="209"/>
        <v>0</v>
      </c>
      <c r="AX85" s="108">
        <f t="shared" si="209"/>
        <v>0</v>
      </c>
      <c r="AY85" s="108">
        <f t="shared" si="209"/>
        <v>0</v>
      </c>
      <c r="AZ85" s="108">
        <f t="shared" si="209"/>
        <v>0</v>
      </c>
      <c r="BA85" s="108">
        <f t="shared" si="209"/>
        <v>0</v>
      </c>
      <c r="BB85" s="108">
        <f t="shared" si="209"/>
        <v>0</v>
      </c>
      <c r="BC85" s="108">
        <f t="shared" si="209"/>
        <v>0</v>
      </c>
      <c r="BD85" s="108">
        <f t="shared" si="209"/>
        <v>0</v>
      </c>
      <c r="BE85" s="109">
        <f t="shared" si="209"/>
        <v>0</v>
      </c>
      <c r="BG85" s="222"/>
      <c r="BH85" s="222"/>
      <c r="BI85" s="222"/>
      <c r="BJ85" s="269"/>
      <c r="BK85" s="265"/>
      <c r="BL85" s="222"/>
      <c r="BM85" s="249"/>
      <c r="BN85" s="265"/>
      <c r="BO85" s="222"/>
      <c r="BP85" s="222"/>
      <c r="BQ85" s="265"/>
      <c r="BR85" s="265"/>
      <c r="BS85" s="265"/>
      <c r="BT85" s="244"/>
      <c r="BU85" s="222"/>
      <c r="BV85" s="244"/>
      <c r="BW85" s="222"/>
    </row>
    <row r="86" spans="1:75" outlineLevel="1">
      <c r="A86" s="221">
        <v>42</v>
      </c>
      <c r="B86" s="222" t="str">
        <f>IF(LEN(D86)&gt;1,IF(VALUE(MID(RIGHT(D86,7),1,1))&gt;4,"외국인",IF(VALUE(RIGHT(11-MOD((MID(D86,1,1)*2+MID(D86,2,1)*3+MID(D86,3,1)*4+MID(D86,4,1)*5+MID(D86,5,1)*6+MID(D86,6,1)*7+MID(RIGHT(D86,7),1,1)*8+MID(RIGHT(D86,7),2,1)*9+MID(RIGHT(D86,7),3,1)*2+MID(RIGHT(D86,7),4,1)*3+MID(RIGHT(D86,7),5,1)*4+MID(RIGHT(D86,7),6,1)*5),11),1))=VALUE(RIGHT(D86,1)),"","오류")),"")</f>
        <v/>
      </c>
      <c r="C86" s="222"/>
      <c r="D86" s="225"/>
      <c r="E86" s="222"/>
      <c r="F86" s="222"/>
      <c r="G86" s="222"/>
      <c r="H86" s="266"/>
      <c r="I86" s="89"/>
      <c r="J86" s="90"/>
      <c r="K86" s="90"/>
      <c r="L86" s="90"/>
      <c r="M86" s="90"/>
      <c r="N86" s="90"/>
      <c r="O86" s="90"/>
      <c r="P86" s="90"/>
      <c r="Q86" s="90"/>
      <c r="R86" s="90"/>
      <c r="S86" s="91"/>
      <c r="T86" s="91"/>
      <c r="U86" s="90"/>
      <c r="V86" s="90"/>
      <c r="W86" s="92"/>
      <c r="X86" s="93"/>
      <c r="Y86" s="264">
        <f>SUM(I86:X87)</f>
        <v>0</v>
      </c>
      <c r="Z86" s="222">
        <f>COUNTIF(I86:X87,"&gt;0")</f>
        <v>0</v>
      </c>
      <c r="AA86" s="266">
        <f>H86*Y86</f>
        <v>0</v>
      </c>
      <c r="AB86" s="94">
        <f>IF(AO86&lt;1000, 0, AO86)</f>
        <v>0</v>
      </c>
      <c r="AC86" s="95">
        <f ca="1">IF(IFERROR($AN86&lt;65,FALSE), IF(B86&lt;&gt;"외국인", ROUNDDOWN(AA86*$AH$1%,-1), IF(AND(AM86&lt;&gt;"", ISNUMBER(SEARCH(LEFT(SUBSTITUTE(AM86, "-",""),2), "F2_F5_F6"))), ROUNDDOWN(AA86*$AH$1%,-1), 0)),0)</f>
        <v>0</v>
      </c>
      <c r="AD86" s="96">
        <f>IF(Z86&gt;=$AJ$1,ROUNDDOWN(AA86*$AH$2%,-1),0)</f>
        <v>0</v>
      </c>
      <c r="AE86" s="266">
        <f ca="1">AB86+AC86+AB87+AC87+AD86+AD87</f>
        <v>0</v>
      </c>
      <c r="AF86" s="266">
        <f ca="1">AA86-AE86</f>
        <v>0</v>
      </c>
      <c r="AG86" s="222"/>
      <c r="AH86" s="222"/>
      <c r="AI86" s="222"/>
      <c r="AJ86" s="222"/>
      <c r="AK86" s="250"/>
      <c r="AL86" s="250"/>
      <c r="AM86" s="251"/>
      <c r="AN86" s="252" t="str">
        <f ca="1">IFERROR(DATEDIF(DATE(IF(ISNUMBER(FIND(MID( SUBSTITUTE(D86, "-",""), 7, 1), "3478")), 2000, 1900)+MID(D86,1,2), MID(D86,3,2), MID(D86,5,2)), TODAY(), "Y"),"")</f>
        <v/>
      </c>
      <c r="AO86" s="266">
        <f>ROUNDDOWN(SUM(AP86:BE87),-1)</f>
        <v>0</v>
      </c>
      <c r="AP86" s="97">
        <f t="shared" ref="AP86:BD86" si="210">IF($H86*I86&gt;150000,ROUNDDOWN(($H86*I86-150000)*6%*45%,0),0)</f>
        <v>0</v>
      </c>
      <c r="AQ86" s="98">
        <f t="shared" si="210"/>
        <v>0</v>
      </c>
      <c r="AR86" s="98">
        <f t="shared" si="210"/>
        <v>0</v>
      </c>
      <c r="AS86" s="98">
        <f t="shared" si="210"/>
        <v>0</v>
      </c>
      <c r="AT86" s="98">
        <f t="shared" si="210"/>
        <v>0</v>
      </c>
      <c r="AU86" s="98">
        <f t="shared" si="210"/>
        <v>0</v>
      </c>
      <c r="AV86" s="98">
        <f t="shared" si="210"/>
        <v>0</v>
      </c>
      <c r="AW86" s="98">
        <f t="shared" si="210"/>
        <v>0</v>
      </c>
      <c r="AX86" s="98">
        <f t="shared" si="210"/>
        <v>0</v>
      </c>
      <c r="AY86" s="98">
        <f t="shared" si="210"/>
        <v>0</v>
      </c>
      <c r="AZ86" s="98">
        <f t="shared" si="210"/>
        <v>0</v>
      </c>
      <c r="BA86" s="98">
        <f t="shared" si="210"/>
        <v>0</v>
      </c>
      <c r="BB86" s="98">
        <f t="shared" si="210"/>
        <v>0</v>
      </c>
      <c r="BC86" s="98">
        <f t="shared" si="210"/>
        <v>0</v>
      </c>
      <c r="BD86" s="99">
        <f t="shared" si="210"/>
        <v>0</v>
      </c>
      <c r="BE86" s="100"/>
      <c r="BG86" s="222">
        <f t="shared" ref="BG86" si="211">C86</f>
        <v>0</v>
      </c>
      <c r="BH86" s="222"/>
      <c r="BI86" s="222"/>
      <c r="BJ86" s="248"/>
      <c r="BK86" s="265"/>
      <c r="BL86" s="222"/>
      <c r="BM86" s="249">
        <f t="shared" si="97"/>
        <v>0</v>
      </c>
      <c r="BN86" s="265"/>
      <c r="BO86" s="222"/>
      <c r="BP86" s="222"/>
      <c r="BQ86" s="265"/>
      <c r="BR86" s="265"/>
      <c r="BS86" s="265"/>
      <c r="BT86" s="244"/>
      <c r="BU86" s="222"/>
      <c r="BV86" s="244">
        <f t="shared" si="100"/>
        <v>0</v>
      </c>
      <c r="BW86" s="222"/>
    </row>
    <row r="87" spans="1:75" outlineLevel="1">
      <c r="A87" s="221"/>
      <c r="B87" s="222"/>
      <c r="C87" s="222"/>
      <c r="D87" s="225"/>
      <c r="E87" s="222"/>
      <c r="F87" s="222"/>
      <c r="G87" s="222"/>
      <c r="H87" s="266"/>
      <c r="I87" s="101"/>
      <c r="J87" s="102"/>
      <c r="K87" s="102"/>
      <c r="L87" s="102"/>
      <c r="M87" s="102"/>
      <c r="N87" s="102"/>
      <c r="O87" s="102"/>
      <c r="P87" s="102"/>
      <c r="Q87" s="102"/>
      <c r="R87" s="102"/>
      <c r="S87" s="102"/>
      <c r="T87" s="102"/>
      <c r="U87" s="102"/>
      <c r="V87" s="102"/>
      <c r="W87" s="102"/>
      <c r="X87" s="103"/>
      <c r="Y87" s="264"/>
      <c r="Z87" s="222"/>
      <c r="AA87" s="266"/>
      <c r="AB87" s="104">
        <f>ROUNDDOWN(AB86*10%,-1)</f>
        <v>0</v>
      </c>
      <c r="AC87" s="105">
        <f ca="1">IFERROR(IF(AND( OR(COUNTIF(I86:X87, "&gt;0")&gt;=$AJ$1, AA86&gt;=$AJ$4),AN86&lt;60,AA86&lt;=$AH$5),ROUNDDOWN(ROUNDDOWN(AA86,-3)*$AH$4%,-1),IF(AND(COUNTIF(I86:X87,"&gt;0")&gt;=$AJ$1,AN86&lt;60,AA86&gt;$AH$5),$AJ$5,0)),0)</f>
        <v>0</v>
      </c>
      <c r="AD87" s="106">
        <f>IF(Z86&gt;=$AJ$1,ROUNDDOWN(AD86*$AH$3%/($AH$2*2%),-1),0)</f>
        <v>0</v>
      </c>
      <c r="AE87" s="266"/>
      <c r="AF87" s="266"/>
      <c r="AG87" s="222"/>
      <c r="AH87" s="222"/>
      <c r="AI87" s="222"/>
      <c r="AJ87" s="222"/>
      <c r="AK87" s="250"/>
      <c r="AL87" s="250"/>
      <c r="AM87" s="251"/>
      <c r="AN87" s="252"/>
      <c r="AO87" s="266"/>
      <c r="AP87" s="107">
        <f t="shared" ref="AP87:BE87" si="212">IF($H86*I87&gt;150000,ROUNDDOWN(($H86*I87-150000)*6%*45%,0),0)</f>
        <v>0</v>
      </c>
      <c r="AQ87" s="108">
        <f t="shared" si="212"/>
        <v>0</v>
      </c>
      <c r="AR87" s="108">
        <f t="shared" si="212"/>
        <v>0</v>
      </c>
      <c r="AS87" s="108">
        <f t="shared" si="212"/>
        <v>0</v>
      </c>
      <c r="AT87" s="108">
        <f t="shared" si="212"/>
        <v>0</v>
      </c>
      <c r="AU87" s="108">
        <f t="shared" si="212"/>
        <v>0</v>
      </c>
      <c r="AV87" s="108">
        <f t="shared" si="212"/>
        <v>0</v>
      </c>
      <c r="AW87" s="108">
        <f t="shared" si="212"/>
        <v>0</v>
      </c>
      <c r="AX87" s="108">
        <f t="shared" si="212"/>
        <v>0</v>
      </c>
      <c r="AY87" s="108">
        <f t="shared" si="212"/>
        <v>0</v>
      </c>
      <c r="AZ87" s="108">
        <f t="shared" si="212"/>
        <v>0</v>
      </c>
      <c r="BA87" s="108">
        <f t="shared" si="212"/>
        <v>0</v>
      </c>
      <c r="BB87" s="108">
        <f t="shared" si="212"/>
        <v>0</v>
      </c>
      <c r="BC87" s="108">
        <f t="shared" si="212"/>
        <v>0</v>
      </c>
      <c r="BD87" s="108">
        <f t="shared" si="212"/>
        <v>0</v>
      </c>
      <c r="BE87" s="109">
        <f t="shared" si="212"/>
        <v>0</v>
      </c>
      <c r="BG87" s="222"/>
      <c r="BH87" s="222"/>
      <c r="BI87" s="222"/>
      <c r="BJ87" s="248"/>
      <c r="BK87" s="265"/>
      <c r="BL87" s="222"/>
      <c r="BM87" s="249"/>
      <c r="BN87" s="265"/>
      <c r="BO87" s="222"/>
      <c r="BP87" s="222"/>
      <c r="BQ87" s="265"/>
      <c r="BR87" s="265"/>
      <c r="BS87" s="265"/>
      <c r="BT87" s="244"/>
      <c r="BU87" s="222"/>
      <c r="BV87" s="244"/>
      <c r="BW87" s="222"/>
    </row>
    <row r="88" spans="1:75" outlineLevel="1">
      <c r="A88" s="221">
        <v>43</v>
      </c>
      <c r="B88" s="222" t="str">
        <f>IF(LEN(D88)&gt;1,IF(VALUE(MID(RIGHT(D88,7),1,1))&gt;4,"외국인",IF(VALUE(RIGHT(11-MOD((MID(D88,1,1)*2+MID(D88,2,1)*3+MID(D88,3,1)*4+MID(D88,4,1)*5+MID(D88,5,1)*6+MID(D88,6,1)*7+MID(RIGHT(D88,7),1,1)*8+MID(RIGHT(D88,7),2,1)*9+MID(RIGHT(D88,7),3,1)*2+MID(RIGHT(D88,7),4,1)*3+MID(RIGHT(D88,7),5,1)*4+MID(RIGHT(D88,7),6,1)*5),11),1))=VALUE(RIGHT(D88,1)),"","오류")),"")</f>
        <v/>
      </c>
      <c r="C88" s="222"/>
      <c r="D88" s="225"/>
      <c r="E88" s="222"/>
      <c r="F88" s="222"/>
      <c r="G88" s="222"/>
      <c r="H88" s="266"/>
      <c r="I88" s="89"/>
      <c r="J88" s="90"/>
      <c r="K88" s="90"/>
      <c r="L88" s="90"/>
      <c r="M88" s="90"/>
      <c r="N88" s="90"/>
      <c r="O88" s="90"/>
      <c r="P88" s="90"/>
      <c r="Q88" s="90"/>
      <c r="R88" s="90"/>
      <c r="S88" s="91"/>
      <c r="T88" s="91"/>
      <c r="U88" s="90"/>
      <c r="V88" s="90"/>
      <c r="W88" s="92"/>
      <c r="X88" s="93"/>
      <c r="Y88" s="264">
        <f>SUM(I88:X89)</f>
        <v>0</v>
      </c>
      <c r="Z88" s="222">
        <f>COUNTIF(I88:X89,"&gt;0")</f>
        <v>0</v>
      </c>
      <c r="AA88" s="266">
        <f>H88*Y88</f>
        <v>0</v>
      </c>
      <c r="AB88" s="94">
        <f>IF(AO88&lt;1000, 0, AO88)</f>
        <v>0</v>
      </c>
      <c r="AC88" s="95">
        <f ca="1">IF(IFERROR($AN88&lt;65,FALSE), IF(B88&lt;&gt;"외국인", ROUNDDOWN(AA88*$AH$1%,-1), IF(AND(AM88&lt;&gt;"", ISNUMBER(SEARCH(LEFT(SUBSTITUTE(AM88, "-",""),2), "F2_F5_F6"))), ROUNDDOWN(AA88*$AH$1%,-1), 0)),0)</f>
        <v>0</v>
      </c>
      <c r="AD88" s="96">
        <f>IF(Z88&gt;=$AJ$1,ROUNDDOWN(AA88*$AH$2%,-1),0)</f>
        <v>0</v>
      </c>
      <c r="AE88" s="266">
        <f ca="1">AB88+AC88+AB89+AC89+AD88+AD89</f>
        <v>0</v>
      </c>
      <c r="AF88" s="266">
        <f ca="1">AA88-AE88</f>
        <v>0</v>
      </c>
      <c r="AG88" s="222"/>
      <c r="AH88" s="222"/>
      <c r="AI88" s="222"/>
      <c r="AJ88" s="222"/>
      <c r="AK88" s="250"/>
      <c r="AL88" s="250"/>
      <c r="AM88" s="251"/>
      <c r="AN88" s="252" t="str">
        <f ca="1">IFERROR(DATEDIF(DATE(IF(ISNUMBER(FIND(MID( SUBSTITUTE(D88, "-",""), 7, 1), "3478")), 2000, 1900)+MID(D88,1,2), MID(D88,3,2), MID(D88,5,2)), TODAY(), "Y"),"")</f>
        <v/>
      </c>
      <c r="AO88" s="266">
        <f>ROUNDDOWN(SUM(AP88:BE89),-1)</f>
        <v>0</v>
      </c>
      <c r="AP88" s="97">
        <f t="shared" ref="AP88:BD88" si="213">IF($H88*I88&gt;150000,ROUNDDOWN(($H88*I88-150000)*6%*45%,0),0)</f>
        <v>0</v>
      </c>
      <c r="AQ88" s="98">
        <f t="shared" si="213"/>
        <v>0</v>
      </c>
      <c r="AR88" s="98">
        <f t="shared" si="213"/>
        <v>0</v>
      </c>
      <c r="AS88" s="98">
        <f t="shared" si="213"/>
        <v>0</v>
      </c>
      <c r="AT88" s="98">
        <f t="shared" si="213"/>
        <v>0</v>
      </c>
      <c r="AU88" s="98">
        <f t="shared" si="213"/>
        <v>0</v>
      </c>
      <c r="AV88" s="98">
        <f t="shared" si="213"/>
        <v>0</v>
      </c>
      <c r="AW88" s="98">
        <f t="shared" si="213"/>
        <v>0</v>
      </c>
      <c r="AX88" s="98">
        <f t="shared" si="213"/>
        <v>0</v>
      </c>
      <c r="AY88" s="98">
        <f t="shared" si="213"/>
        <v>0</v>
      </c>
      <c r="AZ88" s="98">
        <f t="shared" si="213"/>
        <v>0</v>
      </c>
      <c r="BA88" s="98">
        <f t="shared" si="213"/>
        <v>0</v>
      </c>
      <c r="BB88" s="98">
        <f t="shared" si="213"/>
        <v>0</v>
      </c>
      <c r="BC88" s="98">
        <f t="shared" si="213"/>
        <v>0</v>
      </c>
      <c r="BD88" s="99">
        <f t="shared" si="213"/>
        <v>0</v>
      </c>
      <c r="BE88" s="100"/>
      <c r="BG88" s="222">
        <f t="shared" ref="BG88" si="214">C88</f>
        <v>0</v>
      </c>
      <c r="BH88" s="222"/>
      <c r="BI88" s="222"/>
      <c r="BJ88" s="248"/>
      <c r="BK88" s="265"/>
      <c r="BL88" s="222"/>
      <c r="BM88" s="249">
        <f t="shared" si="97"/>
        <v>0</v>
      </c>
      <c r="BN88" s="265"/>
      <c r="BO88" s="222"/>
      <c r="BP88" s="222"/>
      <c r="BQ88" s="265"/>
      <c r="BR88" s="265"/>
      <c r="BS88" s="265"/>
      <c r="BT88" s="244"/>
      <c r="BU88" s="222"/>
      <c r="BV88" s="244">
        <f t="shared" si="100"/>
        <v>0</v>
      </c>
      <c r="BW88" s="222"/>
    </row>
    <row r="89" spans="1:75" outlineLevel="1">
      <c r="A89" s="221"/>
      <c r="B89" s="222"/>
      <c r="C89" s="222"/>
      <c r="D89" s="225"/>
      <c r="E89" s="222"/>
      <c r="F89" s="222"/>
      <c r="G89" s="222"/>
      <c r="H89" s="266"/>
      <c r="I89" s="101"/>
      <c r="J89" s="102"/>
      <c r="K89" s="102"/>
      <c r="L89" s="102"/>
      <c r="M89" s="102"/>
      <c r="N89" s="102"/>
      <c r="O89" s="102"/>
      <c r="P89" s="102"/>
      <c r="Q89" s="102"/>
      <c r="R89" s="102"/>
      <c r="S89" s="102"/>
      <c r="T89" s="102"/>
      <c r="U89" s="102"/>
      <c r="V89" s="102"/>
      <c r="W89" s="102"/>
      <c r="X89" s="103"/>
      <c r="Y89" s="264"/>
      <c r="Z89" s="222"/>
      <c r="AA89" s="266"/>
      <c r="AB89" s="104">
        <f>ROUNDDOWN(AB88*10%,-1)</f>
        <v>0</v>
      </c>
      <c r="AC89" s="105">
        <f ca="1">IFERROR(IF(AND( OR(COUNTIF(I88:X89, "&gt;0")&gt;=$AJ$1, AA88&gt;=$AJ$4),AN88&lt;60,AA88&lt;=$AH$5),ROUNDDOWN(ROUNDDOWN(AA88,-3)*$AH$4%,-1),IF(AND(COUNTIF(I88:X89,"&gt;0")&gt;=$AJ$1,AN88&lt;60,AA88&gt;$AH$5),$AJ$5,0)),0)</f>
        <v>0</v>
      </c>
      <c r="AD89" s="106">
        <f>IF(Z88&gt;=$AJ$1,ROUNDDOWN(AD88*$AH$3%/($AH$2*2%),-1),0)</f>
        <v>0</v>
      </c>
      <c r="AE89" s="266"/>
      <c r="AF89" s="266"/>
      <c r="AG89" s="222"/>
      <c r="AH89" s="222"/>
      <c r="AI89" s="222"/>
      <c r="AJ89" s="222"/>
      <c r="AK89" s="250"/>
      <c r="AL89" s="250"/>
      <c r="AM89" s="251"/>
      <c r="AN89" s="252"/>
      <c r="AO89" s="266"/>
      <c r="AP89" s="107">
        <f t="shared" ref="AP89:BE89" si="215">IF($H88*I89&gt;150000,ROUNDDOWN(($H88*I89-150000)*6%*45%,0),0)</f>
        <v>0</v>
      </c>
      <c r="AQ89" s="108">
        <f t="shared" si="215"/>
        <v>0</v>
      </c>
      <c r="AR89" s="108">
        <f t="shared" si="215"/>
        <v>0</v>
      </c>
      <c r="AS89" s="108">
        <f t="shared" si="215"/>
        <v>0</v>
      </c>
      <c r="AT89" s="108">
        <f t="shared" si="215"/>
        <v>0</v>
      </c>
      <c r="AU89" s="108">
        <f t="shared" si="215"/>
        <v>0</v>
      </c>
      <c r="AV89" s="108">
        <f t="shared" si="215"/>
        <v>0</v>
      </c>
      <c r="AW89" s="108">
        <f t="shared" si="215"/>
        <v>0</v>
      </c>
      <c r="AX89" s="108">
        <f t="shared" si="215"/>
        <v>0</v>
      </c>
      <c r="AY89" s="108">
        <f t="shared" si="215"/>
        <v>0</v>
      </c>
      <c r="AZ89" s="108">
        <f t="shared" si="215"/>
        <v>0</v>
      </c>
      <c r="BA89" s="108">
        <f t="shared" si="215"/>
        <v>0</v>
      </c>
      <c r="BB89" s="108">
        <f t="shared" si="215"/>
        <v>0</v>
      </c>
      <c r="BC89" s="108">
        <f t="shared" si="215"/>
        <v>0</v>
      </c>
      <c r="BD89" s="108">
        <f t="shared" si="215"/>
        <v>0</v>
      </c>
      <c r="BE89" s="109">
        <f t="shared" si="215"/>
        <v>0</v>
      </c>
      <c r="BG89" s="222"/>
      <c r="BH89" s="222"/>
      <c r="BI89" s="222"/>
      <c r="BJ89" s="248"/>
      <c r="BK89" s="265"/>
      <c r="BL89" s="222"/>
      <c r="BM89" s="249"/>
      <c r="BN89" s="265"/>
      <c r="BO89" s="222"/>
      <c r="BP89" s="222"/>
      <c r="BQ89" s="265"/>
      <c r="BR89" s="265"/>
      <c r="BS89" s="265"/>
      <c r="BT89" s="244"/>
      <c r="BU89" s="222"/>
      <c r="BV89" s="244"/>
      <c r="BW89" s="222"/>
    </row>
    <row r="90" spans="1:75" outlineLevel="1">
      <c r="A90" s="221">
        <v>44</v>
      </c>
      <c r="B90" s="222" t="str">
        <f>IF(LEN(D90)&gt;1,IF(VALUE(MID(RIGHT(D90,7),1,1))&gt;4,"외국인",IF(VALUE(RIGHT(11-MOD((MID(D90,1,1)*2+MID(D90,2,1)*3+MID(D90,3,1)*4+MID(D90,4,1)*5+MID(D90,5,1)*6+MID(D90,6,1)*7+MID(RIGHT(D90,7),1,1)*8+MID(RIGHT(D90,7),2,1)*9+MID(RIGHT(D90,7),3,1)*2+MID(RIGHT(D90,7),4,1)*3+MID(RIGHT(D90,7),5,1)*4+MID(RIGHT(D90,7),6,1)*5),11),1))=VALUE(RIGHT(D90,1)),"","오류")),"")</f>
        <v/>
      </c>
      <c r="C90" s="222"/>
      <c r="D90" s="225"/>
      <c r="E90" s="222"/>
      <c r="F90" s="222"/>
      <c r="G90" s="222"/>
      <c r="H90" s="266"/>
      <c r="I90" s="89"/>
      <c r="J90" s="90"/>
      <c r="K90" s="90"/>
      <c r="L90" s="90"/>
      <c r="M90" s="90"/>
      <c r="N90" s="90"/>
      <c r="O90" s="90"/>
      <c r="P90" s="90"/>
      <c r="Q90" s="90"/>
      <c r="R90" s="90"/>
      <c r="S90" s="91"/>
      <c r="T90" s="91"/>
      <c r="U90" s="90"/>
      <c r="V90" s="90"/>
      <c r="W90" s="92"/>
      <c r="X90" s="93"/>
      <c r="Y90" s="264">
        <f>SUM(I90:X91)</f>
        <v>0</v>
      </c>
      <c r="Z90" s="222">
        <f>COUNTIF(I90:X91,"&gt;0")</f>
        <v>0</v>
      </c>
      <c r="AA90" s="266">
        <f>H90*Y90</f>
        <v>0</v>
      </c>
      <c r="AB90" s="94">
        <f>IF(AO90&lt;1000, 0, AO90)</f>
        <v>0</v>
      </c>
      <c r="AC90" s="95">
        <f ca="1">IF(IFERROR($AN90&lt;65,FALSE), IF(B90&lt;&gt;"외국인", ROUNDDOWN(AA90*$AH$1%,-1), IF(AND(AM90&lt;&gt;"", ISNUMBER(SEARCH(LEFT(SUBSTITUTE(AM90, "-",""),2), "F2_F5_F6"))), ROUNDDOWN(AA90*$AH$1%,-1), 0)),0)</f>
        <v>0</v>
      </c>
      <c r="AD90" s="96">
        <f>IF(Z90&gt;=$AJ$1,ROUNDDOWN(AA90*$AH$2%,-1),0)</f>
        <v>0</v>
      </c>
      <c r="AE90" s="266">
        <f ca="1">AB90+AC90+AB91+AC91+AD90+AD91</f>
        <v>0</v>
      </c>
      <c r="AF90" s="266">
        <f ca="1">AA90-AE90</f>
        <v>0</v>
      </c>
      <c r="AG90" s="222"/>
      <c r="AH90" s="222"/>
      <c r="AI90" s="222"/>
      <c r="AJ90" s="222"/>
      <c r="AK90" s="250"/>
      <c r="AL90" s="250"/>
      <c r="AM90" s="251"/>
      <c r="AN90" s="252" t="str">
        <f ca="1">IFERROR(DATEDIF(DATE(IF(ISNUMBER(FIND(MID( SUBSTITUTE(D90, "-",""), 7, 1), "3478")), 2000, 1900)+MID(D90,1,2), MID(D90,3,2), MID(D90,5,2)), TODAY(), "Y"),"")</f>
        <v/>
      </c>
      <c r="AO90" s="266">
        <f>ROUNDDOWN(SUM(AP90:BE91),-1)</f>
        <v>0</v>
      </c>
      <c r="AP90" s="97">
        <f t="shared" ref="AP90:BD90" si="216">IF($H90*I90&gt;150000,ROUNDDOWN(($H90*I90-150000)*6%*45%,0),0)</f>
        <v>0</v>
      </c>
      <c r="AQ90" s="98">
        <f t="shared" si="216"/>
        <v>0</v>
      </c>
      <c r="AR90" s="98">
        <f t="shared" si="216"/>
        <v>0</v>
      </c>
      <c r="AS90" s="98">
        <f t="shared" si="216"/>
        <v>0</v>
      </c>
      <c r="AT90" s="98">
        <f t="shared" si="216"/>
        <v>0</v>
      </c>
      <c r="AU90" s="98">
        <f t="shared" si="216"/>
        <v>0</v>
      </c>
      <c r="AV90" s="98">
        <f t="shared" si="216"/>
        <v>0</v>
      </c>
      <c r="AW90" s="98">
        <f t="shared" si="216"/>
        <v>0</v>
      </c>
      <c r="AX90" s="98">
        <f t="shared" si="216"/>
        <v>0</v>
      </c>
      <c r="AY90" s="98">
        <f t="shared" si="216"/>
        <v>0</v>
      </c>
      <c r="AZ90" s="98">
        <f t="shared" si="216"/>
        <v>0</v>
      </c>
      <c r="BA90" s="98">
        <f t="shared" si="216"/>
        <v>0</v>
      </c>
      <c r="BB90" s="98">
        <f t="shared" si="216"/>
        <v>0</v>
      </c>
      <c r="BC90" s="98">
        <f t="shared" si="216"/>
        <v>0</v>
      </c>
      <c r="BD90" s="99">
        <f t="shared" si="216"/>
        <v>0</v>
      </c>
      <c r="BE90" s="100"/>
      <c r="BG90" s="222">
        <f t="shared" ref="BG90" si="217">C90</f>
        <v>0</v>
      </c>
      <c r="BH90" s="222"/>
      <c r="BI90" s="222"/>
      <c r="BJ90" s="248"/>
      <c r="BK90" s="265"/>
      <c r="BL90" s="222"/>
      <c r="BM90" s="249">
        <f t="shared" si="97"/>
        <v>0</v>
      </c>
      <c r="BN90" s="265"/>
      <c r="BO90" s="222"/>
      <c r="BP90" s="222"/>
      <c r="BQ90" s="265"/>
      <c r="BR90" s="265"/>
      <c r="BS90" s="265"/>
      <c r="BT90" s="244"/>
      <c r="BU90" s="222"/>
      <c r="BV90" s="244">
        <f t="shared" si="100"/>
        <v>0</v>
      </c>
      <c r="BW90" s="222"/>
    </row>
    <row r="91" spans="1:75" outlineLevel="1">
      <c r="A91" s="221"/>
      <c r="B91" s="222"/>
      <c r="C91" s="222"/>
      <c r="D91" s="225"/>
      <c r="E91" s="222"/>
      <c r="F91" s="222"/>
      <c r="G91" s="222"/>
      <c r="H91" s="266"/>
      <c r="I91" s="101"/>
      <c r="J91" s="102"/>
      <c r="K91" s="102"/>
      <c r="L91" s="102"/>
      <c r="M91" s="102"/>
      <c r="N91" s="102"/>
      <c r="O91" s="102"/>
      <c r="P91" s="102"/>
      <c r="Q91" s="102"/>
      <c r="R91" s="102"/>
      <c r="S91" s="102"/>
      <c r="T91" s="102"/>
      <c r="U91" s="102"/>
      <c r="V91" s="102"/>
      <c r="W91" s="102"/>
      <c r="X91" s="103"/>
      <c r="Y91" s="264"/>
      <c r="Z91" s="222"/>
      <c r="AA91" s="266"/>
      <c r="AB91" s="104">
        <f>ROUNDDOWN(AB90*10%,-1)</f>
        <v>0</v>
      </c>
      <c r="AC91" s="105">
        <f ca="1">IFERROR(IF(AND( OR(COUNTIF(I90:X91, "&gt;0")&gt;=$AJ$1, AA90&gt;=$AJ$4),AN90&lt;60,AA90&lt;=$AH$5),ROUNDDOWN(ROUNDDOWN(AA90,-3)*$AH$4%,-1),IF(AND(COUNTIF(I90:X91,"&gt;0")&gt;=$AJ$1,AN90&lt;60,AA90&gt;$AH$5),$AJ$5,0)),0)</f>
        <v>0</v>
      </c>
      <c r="AD91" s="106">
        <f>IF(Z90&gt;=$AJ$1,ROUNDDOWN(AD90*$AH$3%/($AH$2*2%),-1),0)</f>
        <v>0</v>
      </c>
      <c r="AE91" s="266"/>
      <c r="AF91" s="266"/>
      <c r="AG91" s="222"/>
      <c r="AH91" s="222"/>
      <c r="AI91" s="222"/>
      <c r="AJ91" s="222"/>
      <c r="AK91" s="250"/>
      <c r="AL91" s="250"/>
      <c r="AM91" s="251"/>
      <c r="AN91" s="252"/>
      <c r="AO91" s="266"/>
      <c r="AP91" s="107">
        <f t="shared" ref="AP91:BE91" si="218">IF($H90*I91&gt;150000,ROUNDDOWN(($H90*I91-150000)*6%*45%,0),0)</f>
        <v>0</v>
      </c>
      <c r="AQ91" s="108">
        <f t="shared" si="218"/>
        <v>0</v>
      </c>
      <c r="AR91" s="108">
        <f t="shared" si="218"/>
        <v>0</v>
      </c>
      <c r="AS91" s="108">
        <f t="shared" si="218"/>
        <v>0</v>
      </c>
      <c r="AT91" s="108">
        <f t="shared" si="218"/>
        <v>0</v>
      </c>
      <c r="AU91" s="108">
        <f t="shared" si="218"/>
        <v>0</v>
      </c>
      <c r="AV91" s="108">
        <f t="shared" si="218"/>
        <v>0</v>
      </c>
      <c r="AW91" s="108">
        <f t="shared" si="218"/>
        <v>0</v>
      </c>
      <c r="AX91" s="108">
        <f t="shared" si="218"/>
        <v>0</v>
      </c>
      <c r="AY91" s="108">
        <f t="shared" si="218"/>
        <v>0</v>
      </c>
      <c r="AZ91" s="108">
        <f t="shared" si="218"/>
        <v>0</v>
      </c>
      <c r="BA91" s="108">
        <f t="shared" si="218"/>
        <v>0</v>
      </c>
      <c r="BB91" s="108">
        <f t="shared" si="218"/>
        <v>0</v>
      </c>
      <c r="BC91" s="108">
        <f t="shared" si="218"/>
        <v>0</v>
      </c>
      <c r="BD91" s="108">
        <f t="shared" si="218"/>
        <v>0</v>
      </c>
      <c r="BE91" s="109">
        <f t="shared" si="218"/>
        <v>0</v>
      </c>
      <c r="BG91" s="222"/>
      <c r="BH91" s="222"/>
      <c r="BI91" s="222"/>
      <c r="BJ91" s="248"/>
      <c r="BK91" s="265"/>
      <c r="BL91" s="222"/>
      <c r="BM91" s="249"/>
      <c r="BN91" s="265"/>
      <c r="BO91" s="222"/>
      <c r="BP91" s="222"/>
      <c r="BQ91" s="265"/>
      <c r="BR91" s="265"/>
      <c r="BS91" s="265"/>
      <c r="BT91" s="244"/>
      <c r="BU91" s="222"/>
      <c r="BV91" s="244"/>
      <c r="BW91" s="222"/>
    </row>
    <row r="92" spans="1:75" outlineLevel="1">
      <c r="A92" s="221">
        <v>45</v>
      </c>
      <c r="B92" s="222" t="str">
        <f>IF(LEN(D92)&gt;1,IF(VALUE(MID(RIGHT(D92,7),1,1))&gt;4,"외국인",IF(VALUE(RIGHT(11-MOD((MID(D92,1,1)*2+MID(D92,2,1)*3+MID(D92,3,1)*4+MID(D92,4,1)*5+MID(D92,5,1)*6+MID(D92,6,1)*7+MID(RIGHT(D92,7),1,1)*8+MID(RIGHT(D92,7),2,1)*9+MID(RIGHT(D92,7),3,1)*2+MID(RIGHT(D92,7),4,1)*3+MID(RIGHT(D92,7),5,1)*4+MID(RIGHT(D92,7),6,1)*5),11),1))=VALUE(RIGHT(D92,1)),"","오류")),"")</f>
        <v/>
      </c>
      <c r="C92" s="222"/>
      <c r="D92" s="225"/>
      <c r="E92" s="222"/>
      <c r="F92" s="222"/>
      <c r="G92" s="222"/>
      <c r="H92" s="266"/>
      <c r="I92" s="89"/>
      <c r="J92" s="90"/>
      <c r="K92" s="90"/>
      <c r="L92" s="90"/>
      <c r="M92" s="90"/>
      <c r="N92" s="90"/>
      <c r="O92" s="90"/>
      <c r="P92" s="90"/>
      <c r="Q92" s="90"/>
      <c r="R92" s="90"/>
      <c r="S92" s="91"/>
      <c r="T92" s="91"/>
      <c r="U92" s="90"/>
      <c r="V92" s="90"/>
      <c r="W92" s="92"/>
      <c r="X92" s="93"/>
      <c r="Y92" s="264">
        <f>SUM(I92:X93)</f>
        <v>0</v>
      </c>
      <c r="Z92" s="222">
        <f>COUNTIF(I92:X93,"&gt;0")</f>
        <v>0</v>
      </c>
      <c r="AA92" s="266">
        <f>H92*Y92</f>
        <v>0</v>
      </c>
      <c r="AB92" s="94">
        <f>IF(AO92&lt;1000, 0, AO92)</f>
        <v>0</v>
      </c>
      <c r="AC92" s="95">
        <f ca="1">IF(IFERROR($AN92&lt;65,FALSE), IF(B92&lt;&gt;"외국인", ROUNDDOWN(AA92*$AH$1%,-1), IF(AND(AM92&lt;&gt;"", ISNUMBER(SEARCH(LEFT(SUBSTITUTE(AM92, "-",""),2), "F2_F5_F6"))), ROUNDDOWN(AA92*$AH$1%,-1), 0)),0)</f>
        <v>0</v>
      </c>
      <c r="AD92" s="96">
        <f>IF(Z92&gt;=$AJ$1,ROUNDDOWN(AA92*$AH$2%,-1),0)</f>
        <v>0</v>
      </c>
      <c r="AE92" s="266">
        <f ca="1">AB92+AC92+AB93+AC93+AD92+AD93</f>
        <v>0</v>
      </c>
      <c r="AF92" s="266">
        <f ca="1">AA92-AE92</f>
        <v>0</v>
      </c>
      <c r="AG92" s="222"/>
      <c r="AH92" s="222"/>
      <c r="AI92" s="222"/>
      <c r="AJ92" s="222"/>
      <c r="AK92" s="250"/>
      <c r="AL92" s="250"/>
      <c r="AM92" s="251"/>
      <c r="AN92" s="252" t="str">
        <f ca="1">IFERROR(DATEDIF(DATE(IF(ISNUMBER(FIND(MID( SUBSTITUTE(D92, "-",""), 7, 1), "3478")), 2000, 1900)+MID(D92,1,2), MID(D92,3,2), MID(D92,5,2)), TODAY(), "Y"),"")</f>
        <v/>
      </c>
      <c r="AO92" s="266">
        <f>ROUNDDOWN(SUM(AP92:BE93),-1)</f>
        <v>0</v>
      </c>
      <c r="AP92" s="97">
        <f t="shared" ref="AP92:BD92" si="219">IF($H92*I92&gt;150000,ROUNDDOWN(($H92*I92-150000)*6%*45%,0),0)</f>
        <v>0</v>
      </c>
      <c r="AQ92" s="98">
        <f t="shared" si="219"/>
        <v>0</v>
      </c>
      <c r="AR92" s="98">
        <f t="shared" si="219"/>
        <v>0</v>
      </c>
      <c r="AS92" s="98">
        <f t="shared" si="219"/>
        <v>0</v>
      </c>
      <c r="AT92" s="98">
        <f t="shared" si="219"/>
        <v>0</v>
      </c>
      <c r="AU92" s="98">
        <f t="shared" si="219"/>
        <v>0</v>
      </c>
      <c r="AV92" s="98">
        <f t="shared" si="219"/>
        <v>0</v>
      </c>
      <c r="AW92" s="98">
        <f t="shared" si="219"/>
        <v>0</v>
      </c>
      <c r="AX92" s="98">
        <f t="shared" si="219"/>
        <v>0</v>
      </c>
      <c r="AY92" s="98">
        <f t="shared" si="219"/>
        <v>0</v>
      </c>
      <c r="AZ92" s="98">
        <f t="shared" si="219"/>
        <v>0</v>
      </c>
      <c r="BA92" s="98">
        <f t="shared" si="219"/>
        <v>0</v>
      </c>
      <c r="BB92" s="98">
        <f t="shared" si="219"/>
        <v>0</v>
      </c>
      <c r="BC92" s="98">
        <f t="shared" si="219"/>
        <v>0</v>
      </c>
      <c r="BD92" s="99">
        <f t="shared" si="219"/>
        <v>0</v>
      </c>
      <c r="BE92" s="100"/>
      <c r="BG92" s="222">
        <f t="shared" ref="BG92" si="220">C92</f>
        <v>0</v>
      </c>
      <c r="BH92" s="222"/>
      <c r="BI92" s="222"/>
      <c r="BJ92" s="248"/>
      <c r="BK92" s="265"/>
      <c r="BL92" s="222"/>
      <c r="BM92" s="249">
        <f t="shared" si="97"/>
        <v>0</v>
      </c>
      <c r="BN92" s="265"/>
      <c r="BO92" s="222"/>
      <c r="BP92" s="222"/>
      <c r="BQ92" s="265"/>
      <c r="BR92" s="265"/>
      <c r="BS92" s="265"/>
      <c r="BT92" s="244"/>
      <c r="BU92" s="222"/>
      <c r="BV92" s="244">
        <f t="shared" si="100"/>
        <v>0</v>
      </c>
      <c r="BW92" s="222"/>
    </row>
    <row r="93" spans="1:75" outlineLevel="1">
      <c r="A93" s="221"/>
      <c r="B93" s="222"/>
      <c r="C93" s="222"/>
      <c r="D93" s="225"/>
      <c r="E93" s="222"/>
      <c r="F93" s="222"/>
      <c r="G93" s="222"/>
      <c r="H93" s="266"/>
      <c r="I93" s="101"/>
      <c r="J93" s="102"/>
      <c r="K93" s="102"/>
      <c r="L93" s="102"/>
      <c r="M93" s="102"/>
      <c r="N93" s="102"/>
      <c r="O93" s="102"/>
      <c r="P93" s="102"/>
      <c r="Q93" s="102"/>
      <c r="R93" s="102"/>
      <c r="S93" s="102"/>
      <c r="T93" s="102"/>
      <c r="U93" s="102"/>
      <c r="V93" s="102"/>
      <c r="W93" s="102"/>
      <c r="X93" s="103"/>
      <c r="Y93" s="264"/>
      <c r="Z93" s="222"/>
      <c r="AA93" s="266"/>
      <c r="AB93" s="104">
        <f>ROUNDDOWN(AB92*10%,-1)</f>
        <v>0</v>
      </c>
      <c r="AC93" s="105">
        <f ca="1">IFERROR(IF(AND( OR(COUNTIF(I92:X93, "&gt;0")&gt;=$AJ$1, AA92&gt;=$AJ$4),AN92&lt;60,AA92&lt;=$AH$5),ROUNDDOWN(ROUNDDOWN(AA92,-3)*$AH$4%,-1),IF(AND(COUNTIF(I92:X93,"&gt;0")&gt;=$AJ$1,AN92&lt;60,AA92&gt;$AH$5),$AJ$5,0)),0)</f>
        <v>0</v>
      </c>
      <c r="AD93" s="106">
        <f>IF(Z92&gt;=$AJ$1,ROUNDDOWN(AD92*$AH$3%/($AH$2*2%),-1),0)</f>
        <v>0</v>
      </c>
      <c r="AE93" s="266"/>
      <c r="AF93" s="266"/>
      <c r="AG93" s="222"/>
      <c r="AH93" s="222"/>
      <c r="AI93" s="222"/>
      <c r="AJ93" s="222"/>
      <c r="AK93" s="250"/>
      <c r="AL93" s="250"/>
      <c r="AM93" s="251"/>
      <c r="AN93" s="252"/>
      <c r="AO93" s="266"/>
      <c r="AP93" s="107">
        <f t="shared" ref="AP93:BE93" si="221">IF($H92*I93&gt;150000,ROUNDDOWN(($H92*I93-150000)*6%*45%,0),0)</f>
        <v>0</v>
      </c>
      <c r="AQ93" s="108">
        <f t="shared" si="221"/>
        <v>0</v>
      </c>
      <c r="AR93" s="108">
        <f t="shared" si="221"/>
        <v>0</v>
      </c>
      <c r="AS93" s="108">
        <f t="shared" si="221"/>
        <v>0</v>
      </c>
      <c r="AT93" s="108">
        <f t="shared" si="221"/>
        <v>0</v>
      </c>
      <c r="AU93" s="108">
        <f t="shared" si="221"/>
        <v>0</v>
      </c>
      <c r="AV93" s="108">
        <f t="shared" si="221"/>
        <v>0</v>
      </c>
      <c r="AW93" s="108">
        <f t="shared" si="221"/>
        <v>0</v>
      </c>
      <c r="AX93" s="108">
        <f t="shared" si="221"/>
        <v>0</v>
      </c>
      <c r="AY93" s="108">
        <f t="shared" si="221"/>
        <v>0</v>
      </c>
      <c r="AZ93" s="108">
        <f t="shared" si="221"/>
        <v>0</v>
      </c>
      <c r="BA93" s="108">
        <f t="shared" si="221"/>
        <v>0</v>
      </c>
      <c r="BB93" s="108">
        <f t="shared" si="221"/>
        <v>0</v>
      </c>
      <c r="BC93" s="108">
        <f t="shared" si="221"/>
        <v>0</v>
      </c>
      <c r="BD93" s="108">
        <f t="shared" si="221"/>
        <v>0</v>
      </c>
      <c r="BE93" s="109">
        <f t="shared" si="221"/>
        <v>0</v>
      </c>
      <c r="BG93" s="222"/>
      <c r="BH93" s="222"/>
      <c r="BI93" s="222"/>
      <c r="BJ93" s="248"/>
      <c r="BK93" s="265"/>
      <c r="BL93" s="222"/>
      <c r="BM93" s="249"/>
      <c r="BN93" s="265"/>
      <c r="BO93" s="222"/>
      <c r="BP93" s="222"/>
      <c r="BQ93" s="265"/>
      <c r="BR93" s="265"/>
      <c r="BS93" s="265"/>
      <c r="BT93" s="244"/>
      <c r="BU93" s="222"/>
      <c r="BV93" s="244"/>
      <c r="BW93" s="222"/>
    </row>
    <row r="94" spans="1:75" outlineLevel="1">
      <c r="A94" s="221">
        <v>46</v>
      </c>
      <c r="B94" s="222" t="str">
        <f>IF(LEN(D94)&gt;1,IF(VALUE(MID(RIGHT(D94,7),1,1))&gt;4,"외국인",IF(VALUE(RIGHT(11-MOD((MID(D94,1,1)*2+MID(D94,2,1)*3+MID(D94,3,1)*4+MID(D94,4,1)*5+MID(D94,5,1)*6+MID(D94,6,1)*7+MID(RIGHT(D94,7),1,1)*8+MID(RIGHT(D94,7),2,1)*9+MID(RIGHT(D94,7),3,1)*2+MID(RIGHT(D94,7),4,1)*3+MID(RIGHT(D94,7),5,1)*4+MID(RIGHT(D94,7),6,1)*5),11),1))=VALUE(RIGHT(D94,1)),"","오류")),"")</f>
        <v/>
      </c>
      <c r="C94" s="222"/>
      <c r="D94" s="225"/>
      <c r="E94" s="222"/>
      <c r="F94" s="222"/>
      <c r="G94" s="222"/>
      <c r="H94" s="266"/>
      <c r="I94" s="89"/>
      <c r="J94" s="90"/>
      <c r="K94" s="90"/>
      <c r="L94" s="90"/>
      <c r="M94" s="90"/>
      <c r="N94" s="90"/>
      <c r="O94" s="90"/>
      <c r="P94" s="90"/>
      <c r="Q94" s="90"/>
      <c r="R94" s="90"/>
      <c r="S94" s="91"/>
      <c r="T94" s="91"/>
      <c r="U94" s="90"/>
      <c r="V94" s="90"/>
      <c r="W94" s="92"/>
      <c r="X94" s="93"/>
      <c r="Y94" s="264">
        <f>SUM(I94:X95)</f>
        <v>0</v>
      </c>
      <c r="Z94" s="222">
        <f>COUNTIF(I94:X95,"&gt;0")</f>
        <v>0</v>
      </c>
      <c r="AA94" s="266">
        <f>H94*Y94</f>
        <v>0</v>
      </c>
      <c r="AB94" s="94">
        <f>IF(AO94&lt;1000, 0, AO94)</f>
        <v>0</v>
      </c>
      <c r="AC94" s="95">
        <f ca="1">IF(IFERROR($AN94&lt;65,FALSE), IF(B94&lt;&gt;"외국인", ROUNDDOWN(AA94*$AH$1%,-1), IF(AND(AM94&lt;&gt;"", ISNUMBER(SEARCH(LEFT(SUBSTITUTE(AM94, "-",""),2), "F2_F5_F6"))), ROUNDDOWN(AA94*$AH$1%,-1), 0)),0)</f>
        <v>0</v>
      </c>
      <c r="AD94" s="96">
        <f>IF(Z94&gt;=$AJ$1,ROUNDDOWN(AA94*$AH$2%,-1),0)</f>
        <v>0</v>
      </c>
      <c r="AE94" s="266">
        <f ca="1">AB94+AC94+AB95+AC95+AD94+AD95</f>
        <v>0</v>
      </c>
      <c r="AF94" s="266">
        <f ca="1">AA94-AE94</f>
        <v>0</v>
      </c>
      <c r="AG94" s="222"/>
      <c r="AH94" s="222"/>
      <c r="AI94" s="222"/>
      <c r="AJ94" s="222"/>
      <c r="AK94" s="250"/>
      <c r="AL94" s="250"/>
      <c r="AM94" s="251"/>
      <c r="AN94" s="252" t="str">
        <f ca="1">IFERROR(DATEDIF(DATE(IF(ISNUMBER(FIND(MID( SUBSTITUTE(D94, "-",""), 7, 1), "3478")), 2000, 1900)+MID(D94,1,2), MID(D94,3,2), MID(D94,5,2)), TODAY(), "Y"),"")</f>
        <v/>
      </c>
      <c r="AO94" s="266">
        <f>ROUNDDOWN(SUM(AP94:BE95),-1)</f>
        <v>0</v>
      </c>
      <c r="AP94" s="97">
        <f t="shared" ref="AP94:BD94" si="222">IF($H94*I94&gt;150000,ROUNDDOWN(($H94*I94-150000)*6%*45%,0),0)</f>
        <v>0</v>
      </c>
      <c r="AQ94" s="98">
        <f t="shared" si="222"/>
        <v>0</v>
      </c>
      <c r="AR94" s="98">
        <f t="shared" si="222"/>
        <v>0</v>
      </c>
      <c r="AS94" s="98">
        <f t="shared" si="222"/>
        <v>0</v>
      </c>
      <c r="AT94" s="98">
        <f t="shared" si="222"/>
        <v>0</v>
      </c>
      <c r="AU94" s="98">
        <f t="shared" si="222"/>
        <v>0</v>
      </c>
      <c r="AV94" s="98">
        <f t="shared" si="222"/>
        <v>0</v>
      </c>
      <c r="AW94" s="98">
        <f t="shared" si="222"/>
        <v>0</v>
      </c>
      <c r="AX94" s="98">
        <f t="shared" si="222"/>
        <v>0</v>
      </c>
      <c r="AY94" s="98">
        <f t="shared" si="222"/>
        <v>0</v>
      </c>
      <c r="AZ94" s="98">
        <f t="shared" si="222"/>
        <v>0</v>
      </c>
      <c r="BA94" s="98">
        <f t="shared" si="222"/>
        <v>0</v>
      </c>
      <c r="BB94" s="98">
        <f t="shared" si="222"/>
        <v>0</v>
      </c>
      <c r="BC94" s="98">
        <f t="shared" si="222"/>
        <v>0</v>
      </c>
      <c r="BD94" s="99">
        <f t="shared" si="222"/>
        <v>0</v>
      </c>
      <c r="BE94" s="100"/>
      <c r="BG94" s="222">
        <f t="shared" ref="BG94" si="223">C94</f>
        <v>0</v>
      </c>
      <c r="BH94" s="222"/>
      <c r="BI94" s="222"/>
      <c r="BJ94" s="248"/>
      <c r="BK94" s="265"/>
      <c r="BL94" s="222"/>
      <c r="BM94" s="249">
        <f t="shared" si="97"/>
        <v>0</v>
      </c>
      <c r="BN94" s="265"/>
      <c r="BO94" s="222"/>
      <c r="BP94" s="222"/>
      <c r="BQ94" s="265"/>
      <c r="BR94" s="265"/>
      <c r="BS94" s="265"/>
      <c r="BT94" s="244"/>
      <c r="BU94" s="222"/>
      <c r="BV94" s="244">
        <f t="shared" si="100"/>
        <v>0</v>
      </c>
      <c r="BW94" s="222"/>
    </row>
    <row r="95" spans="1:75" outlineLevel="1">
      <c r="A95" s="221"/>
      <c r="B95" s="222"/>
      <c r="C95" s="222"/>
      <c r="D95" s="225"/>
      <c r="E95" s="222"/>
      <c r="F95" s="222"/>
      <c r="G95" s="222"/>
      <c r="H95" s="266"/>
      <c r="I95" s="101"/>
      <c r="J95" s="102"/>
      <c r="K95" s="102"/>
      <c r="L95" s="102"/>
      <c r="M95" s="102"/>
      <c r="N95" s="102"/>
      <c r="O95" s="102"/>
      <c r="P95" s="102"/>
      <c r="Q95" s="102"/>
      <c r="R95" s="102"/>
      <c r="S95" s="102"/>
      <c r="T95" s="102"/>
      <c r="U95" s="102"/>
      <c r="V95" s="102"/>
      <c r="W95" s="102"/>
      <c r="X95" s="103"/>
      <c r="Y95" s="264"/>
      <c r="Z95" s="222"/>
      <c r="AA95" s="266"/>
      <c r="AB95" s="104">
        <f>ROUNDDOWN(AB94*10%,-1)</f>
        <v>0</v>
      </c>
      <c r="AC95" s="105">
        <f ca="1">IFERROR(IF(AND( OR(COUNTIF(I94:X95, "&gt;0")&gt;=$AJ$1, AA94&gt;=$AJ$4),AN94&lt;60,AA94&lt;=$AH$5),ROUNDDOWN(ROUNDDOWN(AA94,-3)*$AH$4%,-1),IF(AND(COUNTIF(I94:X95,"&gt;0")&gt;=$AJ$1,AN94&lt;60,AA94&gt;$AH$5),$AJ$5,0)),0)</f>
        <v>0</v>
      </c>
      <c r="AD95" s="106">
        <f>IF(Z94&gt;=$AJ$1,ROUNDDOWN(AD94*$AH$3%/($AH$2*2%),-1),0)</f>
        <v>0</v>
      </c>
      <c r="AE95" s="266"/>
      <c r="AF95" s="266"/>
      <c r="AG95" s="222"/>
      <c r="AH95" s="222"/>
      <c r="AI95" s="222"/>
      <c r="AJ95" s="222"/>
      <c r="AK95" s="250"/>
      <c r="AL95" s="250"/>
      <c r="AM95" s="251"/>
      <c r="AN95" s="252"/>
      <c r="AO95" s="266"/>
      <c r="AP95" s="107">
        <f t="shared" ref="AP95:BE95" si="224">IF($H94*I95&gt;150000,ROUNDDOWN(($H94*I95-150000)*6%*45%,0),0)</f>
        <v>0</v>
      </c>
      <c r="AQ95" s="108">
        <f t="shared" si="224"/>
        <v>0</v>
      </c>
      <c r="AR95" s="108">
        <f t="shared" si="224"/>
        <v>0</v>
      </c>
      <c r="AS95" s="108">
        <f t="shared" si="224"/>
        <v>0</v>
      </c>
      <c r="AT95" s="108">
        <f t="shared" si="224"/>
        <v>0</v>
      </c>
      <c r="AU95" s="108">
        <f t="shared" si="224"/>
        <v>0</v>
      </c>
      <c r="AV95" s="108">
        <f t="shared" si="224"/>
        <v>0</v>
      </c>
      <c r="AW95" s="108">
        <f t="shared" si="224"/>
        <v>0</v>
      </c>
      <c r="AX95" s="108">
        <f t="shared" si="224"/>
        <v>0</v>
      </c>
      <c r="AY95" s="108">
        <f t="shared" si="224"/>
        <v>0</v>
      </c>
      <c r="AZ95" s="108">
        <f t="shared" si="224"/>
        <v>0</v>
      </c>
      <c r="BA95" s="108">
        <f t="shared" si="224"/>
        <v>0</v>
      </c>
      <c r="BB95" s="108">
        <f t="shared" si="224"/>
        <v>0</v>
      </c>
      <c r="BC95" s="108">
        <f t="shared" si="224"/>
        <v>0</v>
      </c>
      <c r="BD95" s="108">
        <f t="shared" si="224"/>
        <v>0</v>
      </c>
      <c r="BE95" s="109">
        <f t="shared" si="224"/>
        <v>0</v>
      </c>
      <c r="BG95" s="222"/>
      <c r="BH95" s="222"/>
      <c r="BI95" s="222"/>
      <c r="BJ95" s="248"/>
      <c r="BK95" s="265"/>
      <c r="BL95" s="222"/>
      <c r="BM95" s="249"/>
      <c r="BN95" s="265"/>
      <c r="BO95" s="222"/>
      <c r="BP95" s="222"/>
      <c r="BQ95" s="265"/>
      <c r="BR95" s="265"/>
      <c r="BS95" s="265"/>
      <c r="BT95" s="244"/>
      <c r="BU95" s="222"/>
      <c r="BV95" s="244"/>
      <c r="BW95" s="222"/>
    </row>
    <row r="96" spans="1:75" outlineLevel="1">
      <c r="A96" s="221">
        <v>47</v>
      </c>
      <c r="B96" s="222" t="str">
        <f>IF(LEN(D96)&gt;1,IF(VALUE(MID(RIGHT(D96,7),1,1))&gt;4,"외국인",IF(VALUE(RIGHT(11-MOD((MID(D96,1,1)*2+MID(D96,2,1)*3+MID(D96,3,1)*4+MID(D96,4,1)*5+MID(D96,5,1)*6+MID(D96,6,1)*7+MID(RIGHT(D96,7),1,1)*8+MID(RIGHT(D96,7),2,1)*9+MID(RIGHT(D96,7),3,1)*2+MID(RIGHT(D96,7),4,1)*3+MID(RIGHT(D96,7),5,1)*4+MID(RIGHT(D96,7),6,1)*5),11),1))=VALUE(RIGHT(D96,1)),"","오류")),"")</f>
        <v/>
      </c>
      <c r="C96" s="222"/>
      <c r="D96" s="225"/>
      <c r="E96" s="222"/>
      <c r="F96" s="222"/>
      <c r="G96" s="222"/>
      <c r="H96" s="266"/>
      <c r="I96" s="89"/>
      <c r="J96" s="90"/>
      <c r="K96" s="90"/>
      <c r="L96" s="90"/>
      <c r="M96" s="90"/>
      <c r="N96" s="90"/>
      <c r="O96" s="90"/>
      <c r="P96" s="90"/>
      <c r="Q96" s="90"/>
      <c r="R96" s="90"/>
      <c r="S96" s="91"/>
      <c r="T96" s="91"/>
      <c r="U96" s="90"/>
      <c r="V96" s="90"/>
      <c r="W96" s="92"/>
      <c r="X96" s="93"/>
      <c r="Y96" s="264">
        <f>SUM(I96:X97)</f>
        <v>0</v>
      </c>
      <c r="Z96" s="222">
        <f>COUNTIF(I96:X97,"&gt;0")</f>
        <v>0</v>
      </c>
      <c r="AA96" s="266">
        <f>H96*Y96</f>
        <v>0</v>
      </c>
      <c r="AB96" s="94">
        <f>IF(AO96&lt;1000, 0, AO96)</f>
        <v>0</v>
      </c>
      <c r="AC96" s="95">
        <f ca="1">IF(IFERROR($AN96&lt;65,FALSE), IF(B96&lt;&gt;"외국인", ROUNDDOWN(AA96*$AH$1%,-1), IF(AND(AM96&lt;&gt;"", ISNUMBER(SEARCH(LEFT(SUBSTITUTE(AM96, "-",""),2), "F2_F5_F6"))), ROUNDDOWN(AA96*$AH$1%,-1), 0)),0)</f>
        <v>0</v>
      </c>
      <c r="AD96" s="96">
        <f>IF(Z96&gt;=$AJ$1,ROUNDDOWN(AA96*$AH$2%,-1),0)</f>
        <v>0</v>
      </c>
      <c r="AE96" s="266">
        <f ca="1">AB96+AC96+AB97+AC97+AD96+AD97</f>
        <v>0</v>
      </c>
      <c r="AF96" s="266">
        <f ca="1">AA96-AE96</f>
        <v>0</v>
      </c>
      <c r="AG96" s="222"/>
      <c r="AH96" s="222"/>
      <c r="AI96" s="222"/>
      <c r="AJ96" s="222"/>
      <c r="AK96" s="250"/>
      <c r="AL96" s="250"/>
      <c r="AM96" s="251"/>
      <c r="AN96" s="252" t="str">
        <f ca="1">IFERROR(DATEDIF(DATE(IF(ISNUMBER(FIND(MID( SUBSTITUTE(D96, "-",""), 7, 1), "3478")), 2000, 1900)+MID(D96,1,2), MID(D96,3,2), MID(D96,5,2)), TODAY(), "Y"),"")</f>
        <v/>
      </c>
      <c r="AO96" s="266">
        <f>ROUNDDOWN(SUM(AP96:BE97),-1)</f>
        <v>0</v>
      </c>
      <c r="AP96" s="97">
        <f t="shared" ref="AP96:BD96" si="225">IF($H96*I96&gt;150000,ROUNDDOWN(($H96*I96-150000)*6%*45%,0),0)</f>
        <v>0</v>
      </c>
      <c r="AQ96" s="98">
        <f t="shared" si="225"/>
        <v>0</v>
      </c>
      <c r="AR96" s="98">
        <f t="shared" si="225"/>
        <v>0</v>
      </c>
      <c r="AS96" s="98">
        <f t="shared" si="225"/>
        <v>0</v>
      </c>
      <c r="AT96" s="98">
        <f t="shared" si="225"/>
        <v>0</v>
      </c>
      <c r="AU96" s="98">
        <f t="shared" si="225"/>
        <v>0</v>
      </c>
      <c r="AV96" s="98">
        <f t="shared" si="225"/>
        <v>0</v>
      </c>
      <c r="AW96" s="98">
        <f t="shared" si="225"/>
        <v>0</v>
      </c>
      <c r="AX96" s="98">
        <f t="shared" si="225"/>
        <v>0</v>
      </c>
      <c r="AY96" s="98">
        <f t="shared" si="225"/>
        <v>0</v>
      </c>
      <c r="AZ96" s="98">
        <f t="shared" si="225"/>
        <v>0</v>
      </c>
      <c r="BA96" s="98">
        <f t="shared" si="225"/>
        <v>0</v>
      </c>
      <c r="BB96" s="98">
        <f t="shared" si="225"/>
        <v>0</v>
      </c>
      <c r="BC96" s="98">
        <f t="shared" si="225"/>
        <v>0</v>
      </c>
      <c r="BD96" s="99">
        <f t="shared" si="225"/>
        <v>0</v>
      </c>
      <c r="BE96" s="100"/>
      <c r="BG96" s="222">
        <f t="shared" ref="BG96" si="226">C96</f>
        <v>0</v>
      </c>
      <c r="BH96" s="222"/>
      <c r="BI96" s="222"/>
      <c r="BJ96" s="270"/>
      <c r="BK96" s="265"/>
      <c r="BL96" s="222"/>
      <c r="BM96" s="249">
        <f t="shared" ref="BM96:BM158" si="227">BK96*BL96</f>
        <v>0</v>
      </c>
      <c r="BN96" s="265"/>
      <c r="BO96" s="222"/>
      <c r="BP96" s="222"/>
      <c r="BQ96" s="265"/>
      <c r="BR96" s="265"/>
      <c r="BS96" s="265"/>
      <c r="BT96" s="244"/>
      <c r="BU96" s="222"/>
      <c r="BV96" s="244">
        <f t="shared" ref="BV96:BV158" si="228">BM96+BP96-BU96</f>
        <v>0</v>
      </c>
      <c r="BW96" s="222"/>
    </row>
    <row r="97" spans="1:75" outlineLevel="1">
      <c r="A97" s="221"/>
      <c r="B97" s="222"/>
      <c r="C97" s="222"/>
      <c r="D97" s="225"/>
      <c r="E97" s="222"/>
      <c r="F97" s="222"/>
      <c r="G97" s="222"/>
      <c r="H97" s="266"/>
      <c r="I97" s="101"/>
      <c r="J97" s="102"/>
      <c r="K97" s="102"/>
      <c r="L97" s="102"/>
      <c r="M97" s="102"/>
      <c r="N97" s="102"/>
      <c r="O97" s="102"/>
      <c r="P97" s="102"/>
      <c r="Q97" s="102"/>
      <c r="R97" s="102"/>
      <c r="S97" s="102"/>
      <c r="T97" s="102"/>
      <c r="U97" s="102"/>
      <c r="V97" s="102"/>
      <c r="W97" s="102"/>
      <c r="X97" s="103"/>
      <c r="Y97" s="264"/>
      <c r="Z97" s="222"/>
      <c r="AA97" s="266"/>
      <c r="AB97" s="104">
        <f>ROUNDDOWN(AB96*10%,-1)</f>
        <v>0</v>
      </c>
      <c r="AC97" s="105">
        <f ca="1">IFERROR(IF(AND( OR(COUNTIF(I96:X97, "&gt;0")&gt;=$AJ$1, AA96&gt;=$AJ$4),AN96&lt;60,AA96&lt;=$AH$5),ROUNDDOWN(ROUNDDOWN(AA96,-3)*$AH$4%,-1),IF(AND(COUNTIF(I96:X97,"&gt;0")&gt;=$AJ$1,AN96&lt;60,AA96&gt;$AH$5),$AJ$5,0)),0)</f>
        <v>0</v>
      </c>
      <c r="AD97" s="106">
        <f>IF(Z96&gt;=$AJ$1,ROUNDDOWN(AD96*$AH$3%/($AH$2*2%),-1),0)</f>
        <v>0</v>
      </c>
      <c r="AE97" s="266"/>
      <c r="AF97" s="266"/>
      <c r="AG97" s="222"/>
      <c r="AH97" s="222"/>
      <c r="AI97" s="222"/>
      <c r="AJ97" s="222"/>
      <c r="AK97" s="250"/>
      <c r="AL97" s="250"/>
      <c r="AM97" s="251"/>
      <c r="AN97" s="252"/>
      <c r="AO97" s="266"/>
      <c r="AP97" s="107">
        <f t="shared" ref="AP97:BE97" si="229">IF($H96*I97&gt;150000,ROUNDDOWN(($H96*I97-150000)*6%*45%,0),0)</f>
        <v>0</v>
      </c>
      <c r="AQ97" s="108">
        <f t="shared" si="229"/>
        <v>0</v>
      </c>
      <c r="AR97" s="108">
        <f t="shared" si="229"/>
        <v>0</v>
      </c>
      <c r="AS97" s="108">
        <f t="shared" si="229"/>
        <v>0</v>
      </c>
      <c r="AT97" s="108">
        <f t="shared" si="229"/>
        <v>0</v>
      </c>
      <c r="AU97" s="108">
        <f t="shared" si="229"/>
        <v>0</v>
      </c>
      <c r="AV97" s="108">
        <f t="shared" si="229"/>
        <v>0</v>
      </c>
      <c r="AW97" s="108">
        <f t="shared" si="229"/>
        <v>0</v>
      </c>
      <c r="AX97" s="108">
        <f t="shared" si="229"/>
        <v>0</v>
      </c>
      <c r="AY97" s="108">
        <f t="shared" si="229"/>
        <v>0</v>
      </c>
      <c r="AZ97" s="108">
        <f t="shared" si="229"/>
        <v>0</v>
      </c>
      <c r="BA97" s="108">
        <f t="shared" si="229"/>
        <v>0</v>
      </c>
      <c r="BB97" s="108">
        <f t="shared" si="229"/>
        <v>0</v>
      </c>
      <c r="BC97" s="108">
        <f t="shared" si="229"/>
        <v>0</v>
      </c>
      <c r="BD97" s="108">
        <f t="shared" si="229"/>
        <v>0</v>
      </c>
      <c r="BE97" s="109">
        <f t="shared" si="229"/>
        <v>0</v>
      </c>
      <c r="BG97" s="222"/>
      <c r="BH97" s="222"/>
      <c r="BI97" s="222"/>
      <c r="BJ97" s="269"/>
      <c r="BK97" s="265"/>
      <c r="BL97" s="222"/>
      <c r="BM97" s="249"/>
      <c r="BN97" s="265"/>
      <c r="BO97" s="222"/>
      <c r="BP97" s="222"/>
      <c r="BQ97" s="265"/>
      <c r="BR97" s="265"/>
      <c r="BS97" s="265"/>
      <c r="BT97" s="244"/>
      <c r="BU97" s="222"/>
      <c r="BV97" s="244"/>
      <c r="BW97" s="222"/>
    </row>
    <row r="98" spans="1:75" outlineLevel="1">
      <c r="A98" s="221">
        <v>48</v>
      </c>
      <c r="B98" s="222" t="str">
        <f>IF(LEN(D98)&gt;1,IF(VALUE(MID(RIGHT(D98,7),1,1))&gt;4,"외국인",IF(VALUE(RIGHT(11-MOD((MID(D98,1,1)*2+MID(D98,2,1)*3+MID(D98,3,1)*4+MID(D98,4,1)*5+MID(D98,5,1)*6+MID(D98,6,1)*7+MID(RIGHT(D98,7),1,1)*8+MID(RIGHT(D98,7),2,1)*9+MID(RIGHT(D98,7),3,1)*2+MID(RIGHT(D98,7),4,1)*3+MID(RIGHT(D98,7),5,1)*4+MID(RIGHT(D98,7),6,1)*5),11),1))=VALUE(RIGHT(D98,1)),"","오류")),"")</f>
        <v/>
      </c>
      <c r="C98" s="222"/>
      <c r="D98" s="225"/>
      <c r="E98" s="222"/>
      <c r="F98" s="222"/>
      <c r="G98" s="222"/>
      <c r="H98" s="266"/>
      <c r="I98" s="89"/>
      <c r="J98" s="90"/>
      <c r="K98" s="90"/>
      <c r="L98" s="90"/>
      <c r="M98" s="90"/>
      <c r="N98" s="90"/>
      <c r="O98" s="90"/>
      <c r="P98" s="90"/>
      <c r="Q98" s="90"/>
      <c r="R98" s="90"/>
      <c r="S98" s="91"/>
      <c r="T98" s="91"/>
      <c r="U98" s="90"/>
      <c r="V98" s="90"/>
      <c r="W98" s="92"/>
      <c r="X98" s="93"/>
      <c r="Y98" s="264">
        <f>SUM(I98:X99)</f>
        <v>0</v>
      </c>
      <c r="Z98" s="222">
        <f>COUNTIF(I98:X99,"&gt;0")</f>
        <v>0</v>
      </c>
      <c r="AA98" s="266">
        <f>H98*Y98</f>
        <v>0</v>
      </c>
      <c r="AB98" s="94">
        <f>IF(AO98&lt;1000, 0, AO98)</f>
        <v>0</v>
      </c>
      <c r="AC98" s="95">
        <f ca="1">IF(IFERROR($AN98&lt;65,FALSE), IF(B98&lt;&gt;"외국인", ROUNDDOWN(AA98*$AH$1%,-1), IF(AND(AM98&lt;&gt;"", ISNUMBER(SEARCH(LEFT(SUBSTITUTE(AM98, "-",""),2), "F2_F5_F6"))), ROUNDDOWN(AA98*$AH$1%,-1), 0)),0)</f>
        <v>0</v>
      </c>
      <c r="AD98" s="96">
        <f>IF(Z98&gt;=$AJ$1,ROUNDDOWN(AA98*$AH$2%,-1),0)</f>
        <v>0</v>
      </c>
      <c r="AE98" s="266">
        <f ca="1">AB98+AC98+AB99+AC99+AD98+AD99</f>
        <v>0</v>
      </c>
      <c r="AF98" s="266">
        <f ca="1">AA98-AE98</f>
        <v>0</v>
      </c>
      <c r="AG98" s="222"/>
      <c r="AH98" s="222"/>
      <c r="AI98" s="222"/>
      <c r="AJ98" s="222"/>
      <c r="AK98" s="250"/>
      <c r="AL98" s="250"/>
      <c r="AM98" s="251"/>
      <c r="AN98" s="252" t="str">
        <f ca="1">IFERROR(DATEDIF(DATE(IF(ISNUMBER(FIND(MID( SUBSTITUTE(D98, "-",""), 7, 1), "3478")), 2000, 1900)+MID(D98,1,2), MID(D98,3,2), MID(D98,5,2)), TODAY(), "Y"),"")</f>
        <v/>
      </c>
      <c r="AO98" s="266">
        <f>ROUNDDOWN(SUM(AP98:BE99),-1)</f>
        <v>0</v>
      </c>
      <c r="AP98" s="97">
        <f t="shared" ref="AP98:BD98" si="230">IF($H98*I98&gt;150000,ROUNDDOWN(($H98*I98-150000)*6%*45%,0),0)</f>
        <v>0</v>
      </c>
      <c r="AQ98" s="98">
        <f t="shared" si="230"/>
        <v>0</v>
      </c>
      <c r="AR98" s="98">
        <f t="shared" si="230"/>
        <v>0</v>
      </c>
      <c r="AS98" s="98">
        <f t="shared" si="230"/>
        <v>0</v>
      </c>
      <c r="AT98" s="98">
        <f t="shared" si="230"/>
        <v>0</v>
      </c>
      <c r="AU98" s="98">
        <f t="shared" si="230"/>
        <v>0</v>
      </c>
      <c r="AV98" s="98">
        <f t="shared" si="230"/>
        <v>0</v>
      </c>
      <c r="AW98" s="98">
        <f t="shared" si="230"/>
        <v>0</v>
      </c>
      <c r="AX98" s="98">
        <f t="shared" si="230"/>
        <v>0</v>
      </c>
      <c r="AY98" s="98">
        <f t="shared" si="230"/>
        <v>0</v>
      </c>
      <c r="AZ98" s="98">
        <f t="shared" si="230"/>
        <v>0</v>
      </c>
      <c r="BA98" s="98">
        <f t="shared" si="230"/>
        <v>0</v>
      </c>
      <c r="BB98" s="98">
        <f t="shared" si="230"/>
        <v>0</v>
      </c>
      <c r="BC98" s="98">
        <f t="shared" si="230"/>
        <v>0</v>
      </c>
      <c r="BD98" s="99">
        <f t="shared" si="230"/>
        <v>0</v>
      </c>
      <c r="BE98" s="100"/>
      <c r="BG98" s="222">
        <f t="shared" ref="BG98" si="231">C98</f>
        <v>0</v>
      </c>
      <c r="BH98" s="222"/>
      <c r="BI98" s="222"/>
      <c r="BJ98" s="227"/>
      <c r="BK98" s="265"/>
      <c r="BL98" s="222"/>
      <c r="BM98" s="249">
        <f t="shared" si="227"/>
        <v>0</v>
      </c>
      <c r="BN98" s="265"/>
      <c r="BO98" s="222"/>
      <c r="BP98" s="222"/>
      <c r="BQ98" s="265"/>
      <c r="BR98" s="265"/>
      <c r="BS98" s="265"/>
      <c r="BT98" s="244"/>
      <c r="BU98" s="222"/>
      <c r="BV98" s="244">
        <f t="shared" si="228"/>
        <v>0</v>
      </c>
      <c r="BW98" s="222"/>
    </row>
    <row r="99" spans="1:75" outlineLevel="1">
      <c r="A99" s="221"/>
      <c r="B99" s="222"/>
      <c r="C99" s="222"/>
      <c r="D99" s="225"/>
      <c r="E99" s="222"/>
      <c r="F99" s="222"/>
      <c r="G99" s="222"/>
      <c r="H99" s="266"/>
      <c r="I99" s="101"/>
      <c r="J99" s="102"/>
      <c r="K99" s="102"/>
      <c r="L99" s="102"/>
      <c r="M99" s="102"/>
      <c r="N99" s="102"/>
      <c r="O99" s="102"/>
      <c r="P99" s="102"/>
      <c r="Q99" s="102"/>
      <c r="R99" s="102"/>
      <c r="S99" s="102"/>
      <c r="T99" s="102"/>
      <c r="U99" s="102"/>
      <c r="V99" s="102"/>
      <c r="W99" s="102"/>
      <c r="X99" s="103"/>
      <c r="Y99" s="264"/>
      <c r="Z99" s="222"/>
      <c r="AA99" s="266"/>
      <c r="AB99" s="104">
        <f>ROUNDDOWN(AB98*10%,-1)</f>
        <v>0</v>
      </c>
      <c r="AC99" s="105">
        <f ca="1">IFERROR(IF(AND( OR(COUNTIF(I98:X99, "&gt;0")&gt;=$AJ$1, AA98&gt;=$AJ$4),AN98&lt;60,AA98&lt;=$AH$5),ROUNDDOWN(ROUNDDOWN(AA98,-3)*$AH$4%,-1),IF(AND(COUNTIF(I98:X99,"&gt;0")&gt;=$AJ$1,AN98&lt;60,AA98&gt;$AH$5),$AJ$5,0)),0)</f>
        <v>0</v>
      </c>
      <c r="AD99" s="106">
        <f>IF(Z98&gt;=$AJ$1,ROUNDDOWN(AD98*$AH$3%/($AH$2*2%),-1),0)</f>
        <v>0</v>
      </c>
      <c r="AE99" s="266"/>
      <c r="AF99" s="266"/>
      <c r="AG99" s="222"/>
      <c r="AH99" s="222"/>
      <c r="AI99" s="222"/>
      <c r="AJ99" s="222"/>
      <c r="AK99" s="250"/>
      <c r="AL99" s="250"/>
      <c r="AM99" s="251"/>
      <c r="AN99" s="252"/>
      <c r="AO99" s="266"/>
      <c r="AP99" s="107">
        <f t="shared" ref="AP99:BE99" si="232">IF($H98*I99&gt;150000,ROUNDDOWN(($H98*I99-150000)*6%*45%,0),0)</f>
        <v>0</v>
      </c>
      <c r="AQ99" s="108">
        <f t="shared" si="232"/>
        <v>0</v>
      </c>
      <c r="AR99" s="108">
        <f t="shared" si="232"/>
        <v>0</v>
      </c>
      <c r="AS99" s="108">
        <f t="shared" si="232"/>
        <v>0</v>
      </c>
      <c r="AT99" s="108">
        <f t="shared" si="232"/>
        <v>0</v>
      </c>
      <c r="AU99" s="108">
        <f t="shared" si="232"/>
        <v>0</v>
      </c>
      <c r="AV99" s="108">
        <f t="shared" si="232"/>
        <v>0</v>
      </c>
      <c r="AW99" s="108">
        <f t="shared" si="232"/>
        <v>0</v>
      </c>
      <c r="AX99" s="108">
        <f t="shared" si="232"/>
        <v>0</v>
      </c>
      <c r="AY99" s="108">
        <f t="shared" si="232"/>
        <v>0</v>
      </c>
      <c r="AZ99" s="108">
        <f t="shared" si="232"/>
        <v>0</v>
      </c>
      <c r="BA99" s="108">
        <f t="shared" si="232"/>
        <v>0</v>
      </c>
      <c r="BB99" s="108">
        <f t="shared" si="232"/>
        <v>0</v>
      </c>
      <c r="BC99" s="108">
        <f t="shared" si="232"/>
        <v>0</v>
      </c>
      <c r="BD99" s="108">
        <f t="shared" si="232"/>
        <v>0</v>
      </c>
      <c r="BE99" s="109">
        <f t="shared" si="232"/>
        <v>0</v>
      </c>
      <c r="BG99" s="222"/>
      <c r="BH99" s="222"/>
      <c r="BI99" s="222"/>
      <c r="BJ99" s="228"/>
      <c r="BK99" s="265"/>
      <c r="BL99" s="222"/>
      <c r="BM99" s="249"/>
      <c r="BN99" s="265"/>
      <c r="BO99" s="222"/>
      <c r="BP99" s="222"/>
      <c r="BQ99" s="265"/>
      <c r="BR99" s="265"/>
      <c r="BS99" s="265"/>
      <c r="BT99" s="244"/>
      <c r="BU99" s="222"/>
      <c r="BV99" s="244"/>
      <c r="BW99" s="222"/>
    </row>
    <row r="100" spans="1:75" outlineLevel="1">
      <c r="A100" s="221">
        <v>49</v>
      </c>
      <c r="B100" s="222" t="str">
        <f>IF(LEN(D100)&gt;1,IF(VALUE(MID(RIGHT(D100,7),1,1))&gt;4,"외국인",IF(VALUE(RIGHT(11-MOD((MID(D100,1,1)*2+MID(D100,2,1)*3+MID(D100,3,1)*4+MID(D100,4,1)*5+MID(D100,5,1)*6+MID(D100,6,1)*7+MID(RIGHT(D100,7),1,1)*8+MID(RIGHT(D100,7),2,1)*9+MID(RIGHT(D100,7),3,1)*2+MID(RIGHT(D100,7),4,1)*3+MID(RIGHT(D100,7),5,1)*4+MID(RIGHT(D100,7),6,1)*5),11),1))=VALUE(RIGHT(D100,1)),"","오류")),"")</f>
        <v/>
      </c>
      <c r="C100" s="222"/>
      <c r="D100" s="225"/>
      <c r="E100" s="222"/>
      <c r="F100" s="222"/>
      <c r="G100" s="222"/>
      <c r="H100" s="266"/>
      <c r="I100" s="89"/>
      <c r="J100" s="90"/>
      <c r="K100" s="90"/>
      <c r="L100" s="90"/>
      <c r="M100" s="90"/>
      <c r="N100" s="90"/>
      <c r="O100" s="90"/>
      <c r="P100" s="90"/>
      <c r="Q100" s="90"/>
      <c r="R100" s="90"/>
      <c r="S100" s="91"/>
      <c r="T100" s="91"/>
      <c r="U100" s="90"/>
      <c r="V100" s="90"/>
      <c r="W100" s="92"/>
      <c r="X100" s="93"/>
      <c r="Y100" s="264">
        <f>SUM(I100:X101)</f>
        <v>0</v>
      </c>
      <c r="Z100" s="222">
        <f>COUNTIF(I100:X101,"&gt;0")</f>
        <v>0</v>
      </c>
      <c r="AA100" s="266">
        <f>H100*Y100</f>
        <v>0</v>
      </c>
      <c r="AB100" s="94">
        <f>IF(AO100&lt;1000, 0, AO100)</f>
        <v>0</v>
      </c>
      <c r="AC100" s="95">
        <f ca="1">IF(IFERROR($AN100&lt;65,FALSE), IF(B100&lt;&gt;"외국인", ROUNDDOWN(AA100*$AH$1%,-1), IF(AND(AM100&lt;&gt;"", ISNUMBER(SEARCH(LEFT(SUBSTITUTE(AM100, "-",""),2), "F2_F5_F6"))), ROUNDDOWN(AA100*$AH$1%,-1), 0)),0)</f>
        <v>0</v>
      </c>
      <c r="AD100" s="96">
        <f>IF(Z100&gt;=$AJ$1,ROUNDDOWN(AA100*$AH$2%,-1),0)</f>
        <v>0</v>
      </c>
      <c r="AE100" s="266">
        <f ca="1">AB100+AC100+AB101+AC101+AD100+AD101</f>
        <v>0</v>
      </c>
      <c r="AF100" s="266">
        <f ca="1">AA100-AE100</f>
        <v>0</v>
      </c>
      <c r="AG100" s="222"/>
      <c r="AH100" s="222"/>
      <c r="AI100" s="222"/>
      <c r="AJ100" s="222"/>
      <c r="AK100" s="250"/>
      <c r="AL100" s="250"/>
      <c r="AM100" s="251"/>
      <c r="AN100" s="252" t="str">
        <f ca="1">IFERROR(DATEDIF(DATE(IF(ISNUMBER(FIND(MID( SUBSTITUTE(D100, "-",""), 7, 1), "3478")), 2000, 1900)+MID(D100,1,2), MID(D100,3,2), MID(D100,5,2)), TODAY(), "Y"),"")</f>
        <v/>
      </c>
      <c r="AO100" s="266">
        <f>ROUNDDOWN(SUM(AP100:BE101),-1)</f>
        <v>0</v>
      </c>
      <c r="AP100" s="97">
        <f t="shared" ref="AP100:BD100" si="233">IF($H100*I100&gt;150000,ROUNDDOWN(($H100*I100-150000)*6%*45%,0),0)</f>
        <v>0</v>
      </c>
      <c r="AQ100" s="98">
        <f t="shared" si="233"/>
        <v>0</v>
      </c>
      <c r="AR100" s="98">
        <f t="shared" si="233"/>
        <v>0</v>
      </c>
      <c r="AS100" s="98">
        <f t="shared" si="233"/>
        <v>0</v>
      </c>
      <c r="AT100" s="98">
        <f t="shared" si="233"/>
        <v>0</v>
      </c>
      <c r="AU100" s="98">
        <f t="shared" si="233"/>
        <v>0</v>
      </c>
      <c r="AV100" s="98">
        <f t="shared" si="233"/>
        <v>0</v>
      </c>
      <c r="AW100" s="98">
        <f t="shared" si="233"/>
        <v>0</v>
      </c>
      <c r="AX100" s="98">
        <f t="shared" si="233"/>
        <v>0</v>
      </c>
      <c r="AY100" s="98">
        <f t="shared" si="233"/>
        <v>0</v>
      </c>
      <c r="AZ100" s="98">
        <f t="shared" si="233"/>
        <v>0</v>
      </c>
      <c r="BA100" s="98">
        <f t="shared" si="233"/>
        <v>0</v>
      </c>
      <c r="BB100" s="98">
        <f t="shared" si="233"/>
        <v>0</v>
      </c>
      <c r="BC100" s="98">
        <f t="shared" si="233"/>
        <v>0</v>
      </c>
      <c r="BD100" s="99">
        <f t="shared" si="233"/>
        <v>0</v>
      </c>
      <c r="BE100" s="100"/>
      <c r="BG100" s="222">
        <f t="shared" ref="BG100" si="234">C100</f>
        <v>0</v>
      </c>
      <c r="BH100" s="222"/>
      <c r="BI100" s="222"/>
      <c r="BJ100" s="247"/>
      <c r="BK100" s="265"/>
      <c r="BL100" s="222"/>
      <c r="BM100" s="249">
        <f t="shared" si="227"/>
        <v>0</v>
      </c>
      <c r="BN100" s="265"/>
      <c r="BO100" s="222"/>
      <c r="BP100" s="222"/>
      <c r="BQ100" s="265"/>
      <c r="BR100" s="265"/>
      <c r="BS100" s="265"/>
      <c r="BT100" s="244"/>
      <c r="BU100" s="222"/>
      <c r="BV100" s="244">
        <f t="shared" si="228"/>
        <v>0</v>
      </c>
      <c r="BW100" s="222"/>
    </row>
    <row r="101" spans="1:75" outlineLevel="1">
      <c r="A101" s="221"/>
      <c r="B101" s="222"/>
      <c r="C101" s="222"/>
      <c r="D101" s="225"/>
      <c r="E101" s="222"/>
      <c r="F101" s="222"/>
      <c r="G101" s="222"/>
      <c r="H101" s="266"/>
      <c r="I101" s="101"/>
      <c r="J101" s="102"/>
      <c r="K101" s="102"/>
      <c r="L101" s="102"/>
      <c r="M101" s="102"/>
      <c r="N101" s="102"/>
      <c r="O101" s="102"/>
      <c r="P101" s="102"/>
      <c r="Q101" s="102"/>
      <c r="R101" s="102"/>
      <c r="S101" s="102"/>
      <c r="T101" s="102"/>
      <c r="U101" s="102"/>
      <c r="V101" s="102"/>
      <c r="W101" s="102"/>
      <c r="X101" s="103"/>
      <c r="Y101" s="264"/>
      <c r="Z101" s="222"/>
      <c r="AA101" s="266"/>
      <c r="AB101" s="104">
        <f>ROUNDDOWN(AB100*10%,-1)</f>
        <v>0</v>
      </c>
      <c r="AC101" s="105">
        <f ca="1">IFERROR(IF(AND( OR(COUNTIF(I100:X101, "&gt;0")&gt;=$AJ$1, AA100&gt;=$AJ$4),AN100&lt;60,AA100&lt;=$AH$5),ROUNDDOWN(ROUNDDOWN(AA100,-3)*$AH$4%,-1),IF(AND(COUNTIF(I100:X101,"&gt;0")&gt;=$AJ$1,AN100&lt;60,AA100&gt;$AH$5),$AJ$5,0)),0)</f>
        <v>0</v>
      </c>
      <c r="AD101" s="106">
        <f>IF(Z100&gt;=$AJ$1,ROUNDDOWN(AD100*$AH$3%/($AH$2*2%),-1),0)</f>
        <v>0</v>
      </c>
      <c r="AE101" s="266"/>
      <c r="AF101" s="266"/>
      <c r="AG101" s="222"/>
      <c r="AH101" s="222"/>
      <c r="AI101" s="222"/>
      <c r="AJ101" s="222"/>
      <c r="AK101" s="250"/>
      <c r="AL101" s="250"/>
      <c r="AM101" s="251"/>
      <c r="AN101" s="252"/>
      <c r="AO101" s="266"/>
      <c r="AP101" s="107">
        <f t="shared" ref="AP101:BE101" si="235">IF($H100*I101&gt;150000,ROUNDDOWN(($H100*I101-150000)*6%*45%,0),0)</f>
        <v>0</v>
      </c>
      <c r="AQ101" s="108">
        <f t="shared" si="235"/>
        <v>0</v>
      </c>
      <c r="AR101" s="108">
        <f t="shared" si="235"/>
        <v>0</v>
      </c>
      <c r="AS101" s="108">
        <f t="shared" si="235"/>
        <v>0</v>
      </c>
      <c r="AT101" s="108">
        <f t="shared" si="235"/>
        <v>0</v>
      </c>
      <c r="AU101" s="108">
        <f t="shared" si="235"/>
        <v>0</v>
      </c>
      <c r="AV101" s="108">
        <f t="shared" si="235"/>
        <v>0</v>
      </c>
      <c r="AW101" s="108">
        <f t="shared" si="235"/>
        <v>0</v>
      </c>
      <c r="AX101" s="108">
        <f t="shared" si="235"/>
        <v>0</v>
      </c>
      <c r="AY101" s="108">
        <f t="shared" si="235"/>
        <v>0</v>
      </c>
      <c r="AZ101" s="108">
        <f t="shared" si="235"/>
        <v>0</v>
      </c>
      <c r="BA101" s="108">
        <f t="shared" si="235"/>
        <v>0</v>
      </c>
      <c r="BB101" s="108">
        <f t="shared" si="235"/>
        <v>0</v>
      </c>
      <c r="BC101" s="108">
        <f t="shared" si="235"/>
        <v>0</v>
      </c>
      <c r="BD101" s="108">
        <f t="shared" si="235"/>
        <v>0</v>
      </c>
      <c r="BE101" s="109">
        <f t="shared" si="235"/>
        <v>0</v>
      </c>
      <c r="BG101" s="222"/>
      <c r="BH101" s="222"/>
      <c r="BI101" s="222"/>
      <c r="BJ101" s="248"/>
      <c r="BK101" s="265"/>
      <c r="BL101" s="222"/>
      <c r="BM101" s="249"/>
      <c r="BN101" s="265"/>
      <c r="BO101" s="222"/>
      <c r="BP101" s="222"/>
      <c r="BQ101" s="265"/>
      <c r="BR101" s="265"/>
      <c r="BS101" s="265"/>
      <c r="BT101" s="244"/>
      <c r="BU101" s="222"/>
      <c r="BV101" s="244"/>
      <c r="BW101" s="222"/>
    </row>
    <row r="102" spans="1:75" outlineLevel="1">
      <c r="A102" s="221">
        <v>50</v>
      </c>
      <c r="B102" s="222" t="str">
        <f>IF(LEN(D102)&gt;1,IF(VALUE(MID(RIGHT(D102,7),1,1))&gt;4,"외국인",IF(VALUE(RIGHT(11-MOD((MID(D102,1,1)*2+MID(D102,2,1)*3+MID(D102,3,1)*4+MID(D102,4,1)*5+MID(D102,5,1)*6+MID(D102,6,1)*7+MID(RIGHT(D102,7),1,1)*8+MID(RIGHT(D102,7),2,1)*9+MID(RIGHT(D102,7),3,1)*2+MID(RIGHT(D102,7),4,1)*3+MID(RIGHT(D102,7),5,1)*4+MID(RIGHT(D102,7),6,1)*5),11),1))=VALUE(RIGHT(D102,1)),"","오류")),"")</f>
        <v/>
      </c>
      <c r="C102" s="222"/>
      <c r="D102" s="225"/>
      <c r="E102" s="222"/>
      <c r="F102" s="222"/>
      <c r="G102" s="222"/>
      <c r="H102" s="266"/>
      <c r="I102" s="89"/>
      <c r="J102" s="90"/>
      <c r="K102" s="90"/>
      <c r="L102" s="90"/>
      <c r="M102" s="90"/>
      <c r="N102" s="90"/>
      <c r="O102" s="90"/>
      <c r="P102" s="90"/>
      <c r="Q102" s="90"/>
      <c r="R102" s="90"/>
      <c r="S102" s="91"/>
      <c r="T102" s="91"/>
      <c r="U102" s="90"/>
      <c r="V102" s="90"/>
      <c r="W102" s="92"/>
      <c r="X102" s="93"/>
      <c r="Y102" s="264">
        <f>SUM(I102:X103)</f>
        <v>0</v>
      </c>
      <c r="Z102" s="222">
        <f>COUNTIF(I102:X103,"&gt;0")</f>
        <v>0</v>
      </c>
      <c r="AA102" s="266">
        <f>H102*Y102</f>
        <v>0</v>
      </c>
      <c r="AB102" s="94">
        <f>IF(AO102&lt;1000, 0, AO102)</f>
        <v>0</v>
      </c>
      <c r="AC102" s="95">
        <f ca="1">IF(IFERROR($AN102&lt;65,FALSE), IF(B102&lt;&gt;"외국인", ROUNDDOWN(AA102*$AH$1%,-1), IF(AND(AM102&lt;&gt;"", ISNUMBER(SEARCH(LEFT(SUBSTITUTE(AM102, "-",""),2), "F2_F5_F6"))), ROUNDDOWN(AA102*$AH$1%,-1), 0)),0)</f>
        <v>0</v>
      </c>
      <c r="AD102" s="96">
        <f>IF(Z102&gt;=$AJ$1,ROUNDDOWN(AA102*$AH$2%,-1),0)</f>
        <v>0</v>
      </c>
      <c r="AE102" s="266">
        <f ca="1">AB102+AC102+AB103+AC103+AD102+AD103</f>
        <v>0</v>
      </c>
      <c r="AF102" s="266">
        <f ca="1">AA102-AE102</f>
        <v>0</v>
      </c>
      <c r="AG102" s="222"/>
      <c r="AH102" s="222"/>
      <c r="AI102" s="222"/>
      <c r="AJ102" s="222"/>
      <c r="AK102" s="250"/>
      <c r="AL102" s="250"/>
      <c r="AM102" s="251"/>
      <c r="AN102" s="252" t="str">
        <f ca="1">IFERROR(DATEDIF(DATE(IF(ISNUMBER(FIND(MID( SUBSTITUTE(D102, "-",""), 7, 1), "3478")), 2000, 1900)+MID(D102,1,2), MID(D102,3,2), MID(D102,5,2)), TODAY(), "Y"),"")</f>
        <v/>
      </c>
      <c r="AO102" s="266">
        <f>ROUNDDOWN(SUM(AP102:BE103),-1)</f>
        <v>0</v>
      </c>
      <c r="AP102" s="97">
        <f t="shared" ref="AP102:BD102" si="236">IF($H102*I102&gt;150000,ROUNDDOWN(($H102*I102-150000)*6%*45%,0),0)</f>
        <v>0</v>
      </c>
      <c r="AQ102" s="98">
        <f t="shared" si="236"/>
        <v>0</v>
      </c>
      <c r="AR102" s="98">
        <f t="shared" si="236"/>
        <v>0</v>
      </c>
      <c r="AS102" s="98">
        <f t="shared" si="236"/>
        <v>0</v>
      </c>
      <c r="AT102" s="98">
        <f t="shared" si="236"/>
        <v>0</v>
      </c>
      <c r="AU102" s="98">
        <f t="shared" si="236"/>
        <v>0</v>
      </c>
      <c r="AV102" s="98">
        <f t="shared" si="236"/>
        <v>0</v>
      </c>
      <c r="AW102" s="98">
        <f t="shared" si="236"/>
        <v>0</v>
      </c>
      <c r="AX102" s="98">
        <f t="shared" si="236"/>
        <v>0</v>
      </c>
      <c r="AY102" s="98">
        <f t="shared" si="236"/>
        <v>0</v>
      </c>
      <c r="AZ102" s="98">
        <f t="shared" si="236"/>
        <v>0</v>
      </c>
      <c r="BA102" s="98">
        <f t="shared" si="236"/>
        <v>0</v>
      </c>
      <c r="BB102" s="98">
        <f t="shared" si="236"/>
        <v>0</v>
      </c>
      <c r="BC102" s="98">
        <f t="shared" si="236"/>
        <v>0</v>
      </c>
      <c r="BD102" s="99">
        <f t="shared" si="236"/>
        <v>0</v>
      </c>
      <c r="BE102" s="100"/>
      <c r="BG102" s="222">
        <f t="shared" ref="BG102" si="237">C102</f>
        <v>0</v>
      </c>
      <c r="BH102" s="222"/>
      <c r="BI102" s="222"/>
      <c r="BJ102" s="248"/>
      <c r="BK102" s="265"/>
      <c r="BL102" s="222"/>
      <c r="BM102" s="249">
        <f t="shared" si="227"/>
        <v>0</v>
      </c>
      <c r="BN102" s="265"/>
      <c r="BO102" s="222"/>
      <c r="BP102" s="222"/>
      <c r="BQ102" s="265"/>
      <c r="BR102" s="265"/>
      <c r="BS102" s="265"/>
      <c r="BT102" s="244"/>
      <c r="BU102" s="222"/>
      <c r="BV102" s="244">
        <f t="shared" si="228"/>
        <v>0</v>
      </c>
      <c r="BW102" s="222"/>
    </row>
    <row r="103" spans="1:75" outlineLevel="1">
      <c r="A103" s="221"/>
      <c r="B103" s="222"/>
      <c r="C103" s="222"/>
      <c r="D103" s="225"/>
      <c r="E103" s="222"/>
      <c r="F103" s="222"/>
      <c r="G103" s="222"/>
      <c r="H103" s="266"/>
      <c r="I103" s="101"/>
      <c r="J103" s="102"/>
      <c r="K103" s="102"/>
      <c r="L103" s="102"/>
      <c r="M103" s="102"/>
      <c r="N103" s="102"/>
      <c r="O103" s="102"/>
      <c r="P103" s="102"/>
      <c r="Q103" s="102"/>
      <c r="R103" s="102"/>
      <c r="S103" s="102"/>
      <c r="T103" s="102"/>
      <c r="U103" s="102"/>
      <c r="V103" s="102"/>
      <c r="W103" s="102"/>
      <c r="X103" s="103"/>
      <c r="Y103" s="264"/>
      <c r="Z103" s="222"/>
      <c r="AA103" s="266"/>
      <c r="AB103" s="104">
        <f>ROUNDDOWN(AB102*10%,-1)</f>
        <v>0</v>
      </c>
      <c r="AC103" s="105">
        <f ca="1">IFERROR(IF(AND( OR(COUNTIF(I102:X103, "&gt;0")&gt;=$AJ$1, AA102&gt;=$AJ$4),AN102&lt;60,AA102&lt;=$AH$5),ROUNDDOWN(ROUNDDOWN(AA102,-3)*$AH$4%,-1),IF(AND(COUNTIF(I102:X103,"&gt;0")&gt;=$AJ$1,AN102&lt;60,AA102&gt;$AH$5),$AJ$5,0)),0)</f>
        <v>0</v>
      </c>
      <c r="AD103" s="106">
        <f>IF(Z102&gt;=$AJ$1,ROUNDDOWN(AD102*$AH$3%/($AH$2*2%),-1),0)</f>
        <v>0</v>
      </c>
      <c r="AE103" s="266"/>
      <c r="AF103" s="266"/>
      <c r="AG103" s="222"/>
      <c r="AH103" s="222"/>
      <c r="AI103" s="222"/>
      <c r="AJ103" s="222"/>
      <c r="AK103" s="250"/>
      <c r="AL103" s="250"/>
      <c r="AM103" s="251"/>
      <c r="AN103" s="252"/>
      <c r="AO103" s="266"/>
      <c r="AP103" s="107">
        <f t="shared" ref="AP103:BE103" si="238">IF($H102*I103&gt;150000,ROUNDDOWN(($H102*I103-150000)*6%*45%,0),0)</f>
        <v>0</v>
      </c>
      <c r="AQ103" s="108">
        <f t="shared" si="238"/>
        <v>0</v>
      </c>
      <c r="AR103" s="108">
        <f t="shared" si="238"/>
        <v>0</v>
      </c>
      <c r="AS103" s="108">
        <f t="shared" si="238"/>
        <v>0</v>
      </c>
      <c r="AT103" s="108">
        <f t="shared" si="238"/>
        <v>0</v>
      </c>
      <c r="AU103" s="108">
        <f t="shared" si="238"/>
        <v>0</v>
      </c>
      <c r="AV103" s="108">
        <f t="shared" si="238"/>
        <v>0</v>
      </c>
      <c r="AW103" s="108">
        <f t="shared" si="238"/>
        <v>0</v>
      </c>
      <c r="AX103" s="108">
        <f t="shared" si="238"/>
        <v>0</v>
      </c>
      <c r="AY103" s="108">
        <f t="shared" si="238"/>
        <v>0</v>
      </c>
      <c r="AZ103" s="108">
        <f t="shared" si="238"/>
        <v>0</v>
      </c>
      <c r="BA103" s="108">
        <f t="shared" si="238"/>
        <v>0</v>
      </c>
      <c r="BB103" s="108">
        <f t="shared" si="238"/>
        <v>0</v>
      </c>
      <c r="BC103" s="108">
        <f t="shared" si="238"/>
        <v>0</v>
      </c>
      <c r="BD103" s="108">
        <f t="shared" si="238"/>
        <v>0</v>
      </c>
      <c r="BE103" s="109">
        <f t="shared" si="238"/>
        <v>0</v>
      </c>
      <c r="BG103" s="222"/>
      <c r="BH103" s="222"/>
      <c r="BI103" s="222"/>
      <c r="BJ103" s="248"/>
      <c r="BK103" s="265"/>
      <c r="BL103" s="222"/>
      <c r="BM103" s="249"/>
      <c r="BN103" s="265"/>
      <c r="BO103" s="222"/>
      <c r="BP103" s="222"/>
      <c r="BQ103" s="265"/>
      <c r="BR103" s="265"/>
      <c r="BS103" s="265"/>
      <c r="BT103" s="244"/>
      <c r="BU103" s="222"/>
      <c r="BV103" s="244"/>
      <c r="BW103" s="222"/>
    </row>
    <row r="104" spans="1:75" outlineLevel="1">
      <c r="A104" s="221">
        <v>51</v>
      </c>
      <c r="B104" s="222" t="str">
        <f>IF(LEN(D104)&gt;1,IF(VALUE(MID(RIGHT(D104,7),1,1))&gt;4,"외국인",IF(VALUE(RIGHT(11-MOD((MID(D104,1,1)*2+MID(D104,2,1)*3+MID(D104,3,1)*4+MID(D104,4,1)*5+MID(D104,5,1)*6+MID(D104,6,1)*7+MID(RIGHT(D104,7),1,1)*8+MID(RIGHT(D104,7),2,1)*9+MID(RIGHT(D104,7),3,1)*2+MID(RIGHT(D104,7),4,1)*3+MID(RIGHT(D104,7),5,1)*4+MID(RIGHT(D104,7),6,1)*5),11),1))=VALUE(RIGHT(D104,1)),"","오류")),"")</f>
        <v/>
      </c>
      <c r="C104" s="222"/>
      <c r="D104" s="225"/>
      <c r="E104" s="222"/>
      <c r="F104" s="222"/>
      <c r="G104" s="222"/>
      <c r="H104" s="266"/>
      <c r="I104" s="89"/>
      <c r="J104" s="90"/>
      <c r="K104" s="90"/>
      <c r="L104" s="90"/>
      <c r="M104" s="90"/>
      <c r="N104" s="90"/>
      <c r="O104" s="90"/>
      <c r="P104" s="90"/>
      <c r="Q104" s="90"/>
      <c r="R104" s="90"/>
      <c r="S104" s="91"/>
      <c r="T104" s="91"/>
      <c r="U104" s="90"/>
      <c r="V104" s="90"/>
      <c r="W104" s="92"/>
      <c r="X104" s="93"/>
      <c r="Y104" s="264">
        <f>SUM(I104:X105)</f>
        <v>0</v>
      </c>
      <c r="Z104" s="222">
        <f>COUNTIF(I104:X105,"&gt;0")</f>
        <v>0</v>
      </c>
      <c r="AA104" s="266">
        <f>H104*Y104</f>
        <v>0</v>
      </c>
      <c r="AB104" s="94">
        <f>IF(AO104&lt;1000, 0, AO104)</f>
        <v>0</v>
      </c>
      <c r="AC104" s="95">
        <f ca="1">IF(IFERROR($AN104&lt;65,FALSE), IF(B104&lt;&gt;"외국인", ROUNDDOWN(AA104*$AH$1%,-1), IF(AND(AM104&lt;&gt;"", ISNUMBER(SEARCH(LEFT(SUBSTITUTE(AM104, "-",""),2), "F2_F5_F6"))), ROUNDDOWN(AA104*$AH$1%,-1), 0)),0)</f>
        <v>0</v>
      </c>
      <c r="AD104" s="96">
        <f>IF(Z104&gt;=$AJ$1,ROUNDDOWN(AA104*$AH$2%,-1),0)</f>
        <v>0</v>
      </c>
      <c r="AE104" s="266">
        <f ca="1">AB104+AC104+AB105+AC105+AD104+AD105</f>
        <v>0</v>
      </c>
      <c r="AF104" s="266">
        <f ca="1">AA104-AE104</f>
        <v>0</v>
      </c>
      <c r="AG104" s="222"/>
      <c r="AH104" s="222"/>
      <c r="AI104" s="222"/>
      <c r="AJ104" s="222"/>
      <c r="AK104" s="250"/>
      <c r="AL104" s="250"/>
      <c r="AM104" s="251"/>
      <c r="AN104" s="252" t="str">
        <f ca="1">IFERROR(DATEDIF(DATE(IF(ISNUMBER(FIND(MID( SUBSTITUTE(D104, "-",""), 7, 1), "3478")), 2000, 1900)+MID(D104,1,2), MID(D104,3,2), MID(D104,5,2)), TODAY(), "Y"),"")</f>
        <v/>
      </c>
      <c r="AO104" s="266">
        <f>ROUNDDOWN(SUM(AP104:BE105),-1)</f>
        <v>0</v>
      </c>
      <c r="AP104" s="97">
        <f t="shared" ref="AP104:BD104" si="239">IF($H104*I104&gt;150000,ROUNDDOWN(($H104*I104-150000)*6%*45%,0),0)</f>
        <v>0</v>
      </c>
      <c r="AQ104" s="98">
        <f t="shared" si="239"/>
        <v>0</v>
      </c>
      <c r="AR104" s="98">
        <f t="shared" si="239"/>
        <v>0</v>
      </c>
      <c r="AS104" s="98">
        <f t="shared" si="239"/>
        <v>0</v>
      </c>
      <c r="AT104" s="98">
        <f t="shared" si="239"/>
        <v>0</v>
      </c>
      <c r="AU104" s="98">
        <f t="shared" si="239"/>
        <v>0</v>
      </c>
      <c r="AV104" s="98">
        <f t="shared" si="239"/>
        <v>0</v>
      </c>
      <c r="AW104" s="98">
        <f t="shared" si="239"/>
        <v>0</v>
      </c>
      <c r="AX104" s="98">
        <f t="shared" si="239"/>
        <v>0</v>
      </c>
      <c r="AY104" s="98">
        <f t="shared" si="239"/>
        <v>0</v>
      </c>
      <c r="AZ104" s="98">
        <f t="shared" si="239"/>
        <v>0</v>
      </c>
      <c r="BA104" s="98">
        <f t="shared" si="239"/>
        <v>0</v>
      </c>
      <c r="BB104" s="98">
        <f t="shared" si="239"/>
        <v>0</v>
      </c>
      <c r="BC104" s="98">
        <f t="shared" si="239"/>
        <v>0</v>
      </c>
      <c r="BD104" s="99">
        <f t="shared" si="239"/>
        <v>0</v>
      </c>
      <c r="BE104" s="100"/>
      <c r="BG104" s="222">
        <f t="shared" ref="BG104" si="240">C104</f>
        <v>0</v>
      </c>
      <c r="BH104" s="222"/>
      <c r="BI104" s="222"/>
      <c r="BJ104" s="271"/>
      <c r="BK104" s="265"/>
      <c r="BL104" s="222"/>
      <c r="BM104" s="249">
        <f t="shared" si="227"/>
        <v>0</v>
      </c>
      <c r="BN104" s="265"/>
      <c r="BO104" s="222"/>
      <c r="BP104" s="222"/>
      <c r="BQ104" s="265"/>
      <c r="BR104" s="265"/>
      <c r="BS104" s="265"/>
      <c r="BT104" s="244"/>
      <c r="BU104" s="222"/>
      <c r="BV104" s="244">
        <f t="shared" si="228"/>
        <v>0</v>
      </c>
      <c r="BW104" s="222"/>
    </row>
    <row r="105" spans="1:75" outlineLevel="1">
      <c r="A105" s="221"/>
      <c r="B105" s="222"/>
      <c r="C105" s="222"/>
      <c r="D105" s="225"/>
      <c r="E105" s="222"/>
      <c r="F105" s="222"/>
      <c r="G105" s="222"/>
      <c r="H105" s="266"/>
      <c r="I105" s="101"/>
      <c r="J105" s="102"/>
      <c r="K105" s="102"/>
      <c r="L105" s="102"/>
      <c r="M105" s="102"/>
      <c r="N105" s="102"/>
      <c r="O105" s="102"/>
      <c r="P105" s="102"/>
      <c r="Q105" s="102"/>
      <c r="R105" s="102"/>
      <c r="S105" s="102"/>
      <c r="T105" s="102"/>
      <c r="U105" s="102"/>
      <c r="V105" s="102"/>
      <c r="W105" s="102"/>
      <c r="X105" s="103"/>
      <c r="Y105" s="264"/>
      <c r="Z105" s="222"/>
      <c r="AA105" s="266"/>
      <c r="AB105" s="104">
        <f>ROUNDDOWN(AB104*10%,-1)</f>
        <v>0</v>
      </c>
      <c r="AC105" s="105">
        <f ca="1">IFERROR(IF(AND( OR(COUNTIF(I104:X105, "&gt;0")&gt;=$AJ$1, AA104&gt;=$AJ$4),AN104&lt;60,AA104&lt;=$AH$5),ROUNDDOWN(ROUNDDOWN(AA104,-3)*$AH$4%,-1),IF(AND(COUNTIF(I104:X105,"&gt;0")&gt;=$AJ$1,AN104&lt;60,AA104&gt;$AH$5),$AJ$5,0)),0)</f>
        <v>0</v>
      </c>
      <c r="AD105" s="106">
        <f>IF(Z104&gt;=$AJ$1,ROUNDDOWN(AD104*$AH$3%/($AH$2*2%),-1),0)</f>
        <v>0</v>
      </c>
      <c r="AE105" s="266"/>
      <c r="AF105" s="266"/>
      <c r="AG105" s="222"/>
      <c r="AH105" s="222"/>
      <c r="AI105" s="222"/>
      <c r="AJ105" s="222"/>
      <c r="AK105" s="250"/>
      <c r="AL105" s="250"/>
      <c r="AM105" s="251"/>
      <c r="AN105" s="252"/>
      <c r="AO105" s="266"/>
      <c r="AP105" s="107">
        <f t="shared" ref="AP105:BE105" si="241">IF($H104*I105&gt;150000,ROUNDDOWN(($H104*I105-150000)*6%*45%,0),0)</f>
        <v>0</v>
      </c>
      <c r="AQ105" s="108">
        <f t="shared" si="241"/>
        <v>0</v>
      </c>
      <c r="AR105" s="108">
        <f t="shared" si="241"/>
        <v>0</v>
      </c>
      <c r="AS105" s="108">
        <f t="shared" si="241"/>
        <v>0</v>
      </c>
      <c r="AT105" s="108">
        <f t="shared" si="241"/>
        <v>0</v>
      </c>
      <c r="AU105" s="108">
        <f t="shared" si="241"/>
        <v>0</v>
      </c>
      <c r="AV105" s="108">
        <f t="shared" si="241"/>
        <v>0</v>
      </c>
      <c r="AW105" s="108">
        <f t="shared" si="241"/>
        <v>0</v>
      </c>
      <c r="AX105" s="108">
        <f t="shared" si="241"/>
        <v>0</v>
      </c>
      <c r="AY105" s="108">
        <f t="shared" si="241"/>
        <v>0</v>
      </c>
      <c r="AZ105" s="108">
        <f t="shared" si="241"/>
        <v>0</v>
      </c>
      <c r="BA105" s="108">
        <f t="shared" si="241"/>
        <v>0</v>
      </c>
      <c r="BB105" s="108">
        <f t="shared" si="241"/>
        <v>0</v>
      </c>
      <c r="BC105" s="108">
        <f t="shared" si="241"/>
        <v>0</v>
      </c>
      <c r="BD105" s="108">
        <f t="shared" si="241"/>
        <v>0</v>
      </c>
      <c r="BE105" s="109">
        <f t="shared" si="241"/>
        <v>0</v>
      </c>
      <c r="BG105" s="222"/>
      <c r="BH105" s="222"/>
      <c r="BI105" s="222"/>
      <c r="BJ105" s="271"/>
      <c r="BK105" s="265"/>
      <c r="BL105" s="222"/>
      <c r="BM105" s="249"/>
      <c r="BN105" s="265"/>
      <c r="BO105" s="222"/>
      <c r="BP105" s="222"/>
      <c r="BQ105" s="265"/>
      <c r="BR105" s="265"/>
      <c r="BS105" s="265"/>
      <c r="BT105" s="244"/>
      <c r="BU105" s="222"/>
      <c r="BV105" s="244"/>
      <c r="BW105" s="222"/>
    </row>
    <row r="106" spans="1:75" outlineLevel="1">
      <c r="A106" s="221">
        <v>52</v>
      </c>
      <c r="B106" s="222" t="str">
        <f>IF(LEN(D106)&gt;1,IF(VALUE(MID(RIGHT(D106,7),1,1))&gt;4,"외국인",IF(VALUE(RIGHT(11-MOD((MID(D106,1,1)*2+MID(D106,2,1)*3+MID(D106,3,1)*4+MID(D106,4,1)*5+MID(D106,5,1)*6+MID(D106,6,1)*7+MID(RIGHT(D106,7),1,1)*8+MID(RIGHT(D106,7),2,1)*9+MID(RIGHT(D106,7),3,1)*2+MID(RIGHT(D106,7),4,1)*3+MID(RIGHT(D106,7),5,1)*4+MID(RIGHT(D106,7),6,1)*5),11),1))=VALUE(RIGHT(D106,1)),"","오류")),"")</f>
        <v/>
      </c>
      <c r="C106" s="222"/>
      <c r="D106" s="225"/>
      <c r="E106" s="222"/>
      <c r="F106" s="222"/>
      <c r="G106" s="222"/>
      <c r="H106" s="266"/>
      <c r="I106" s="89"/>
      <c r="J106" s="90"/>
      <c r="K106" s="90"/>
      <c r="L106" s="90"/>
      <c r="M106" s="90"/>
      <c r="N106" s="90"/>
      <c r="O106" s="90"/>
      <c r="P106" s="90"/>
      <c r="Q106" s="90"/>
      <c r="R106" s="90"/>
      <c r="S106" s="91"/>
      <c r="T106" s="91"/>
      <c r="U106" s="90"/>
      <c r="V106" s="90"/>
      <c r="W106" s="92"/>
      <c r="X106" s="93"/>
      <c r="Y106" s="264">
        <f>SUM(I106:X107)</f>
        <v>0</v>
      </c>
      <c r="Z106" s="222">
        <f>COUNTIF(I106:X107,"&gt;0")</f>
        <v>0</v>
      </c>
      <c r="AA106" s="266">
        <f>H106*Y106</f>
        <v>0</v>
      </c>
      <c r="AB106" s="94">
        <f>IF(AO106&lt;1000, 0, AO106)</f>
        <v>0</v>
      </c>
      <c r="AC106" s="95">
        <f ca="1">IF(IFERROR($AN106&lt;65,FALSE), IF(B106&lt;&gt;"외국인", ROUNDDOWN(AA106*$AH$1%,-1), IF(AND(AM106&lt;&gt;"", ISNUMBER(SEARCH(LEFT(SUBSTITUTE(AM106, "-",""),2), "F2_F5_F6"))), ROUNDDOWN(AA106*$AH$1%,-1), 0)),0)</f>
        <v>0</v>
      </c>
      <c r="AD106" s="96">
        <f>IF(Z106&gt;=$AJ$1,ROUNDDOWN(AA106*$AH$2%,-1),0)</f>
        <v>0</v>
      </c>
      <c r="AE106" s="266">
        <f ca="1">AB106+AC106+AB107+AC107+AD106+AD107</f>
        <v>0</v>
      </c>
      <c r="AF106" s="266">
        <f ca="1">AA106-AE106</f>
        <v>0</v>
      </c>
      <c r="AG106" s="222"/>
      <c r="AH106" s="222"/>
      <c r="AI106" s="222"/>
      <c r="AJ106" s="222"/>
      <c r="AK106" s="250"/>
      <c r="AL106" s="250"/>
      <c r="AM106" s="251"/>
      <c r="AN106" s="252" t="str">
        <f ca="1">IFERROR(DATEDIF(DATE(IF(ISNUMBER(FIND(MID( SUBSTITUTE(D106, "-",""), 7, 1), "3478")), 2000, 1900)+MID(D106,1,2), MID(D106,3,2), MID(D106,5,2)), TODAY(), "Y"),"")</f>
        <v/>
      </c>
      <c r="AO106" s="266">
        <f>ROUNDDOWN(SUM(AP106:BE107),-1)</f>
        <v>0</v>
      </c>
      <c r="AP106" s="97">
        <f t="shared" ref="AP106:BD106" si="242">IF($H106*I106&gt;150000,ROUNDDOWN(($H106*I106-150000)*6%*45%,0),0)</f>
        <v>0</v>
      </c>
      <c r="AQ106" s="98">
        <f t="shared" si="242"/>
        <v>0</v>
      </c>
      <c r="AR106" s="98">
        <f t="shared" si="242"/>
        <v>0</v>
      </c>
      <c r="AS106" s="98">
        <f t="shared" si="242"/>
        <v>0</v>
      </c>
      <c r="AT106" s="98">
        <f t="shared" si="242"/>
        <v>0</v>
      </c>
      <c r="AU106" s="98">
        <f t="shared" si="242"/>
        <v>0</v>
      </c>
      <c r="AV106" s="98">
        <f t="shared" si="242"/>
        <v>0</v>
      </c>
      <c r="AW106" s="98">
        <f t="shared" si="242"/>
        <v>0</v>
      </c>
      <c r="AX106" s="98">
        <f t="shared" si="242"/>
        <v>0</v>
      </c>
      <c r="AY106" s="98">
        <f t="shared" si="242"/>
        <v>0</v>
      </c>
      <c r="AZ106" s="98">
        <f t="shared" si="242"/>
        <v>0</v>
      </c>
      <c r="BA106" s="98">
        <f t="shared" si="242"/>
        <v>0</v>
      </c>
      <c r="BB106" s="98">
        <f t="shared" si="242"/>
        <v>0</v>
      </c>
      <c r="BC106" s="98">
        <f t="shared" si="242"/>
        <v>0</v>
      </c>
      <c r="BD106" s="99">
        <f t="shared" si="242"/>
        <v>0</v>
      </c>
      <c r="BE106" s="100"/>
      <c r="BG106" s="222">
        <f t="shared" ref="BG106" si="243">C106</f>
        <v>0</v>
      </c>
      <c r="BH106" s="222"/>
      <c r="BI106" s="222"/>
      <c r="BJ106" s="267"/>
      <c r="BK106" s="265"/>
      <c r="BL106" s="222"/>
      <c r="BM106" s="249">
        <f t="shared" si="227"/>
        <v>0</v>
      </c>
      <c r="BN106" s="265"/>
      <c r="BO106" s="222"/>
      <c r="BP106" s="222"/>
      <c r="BQ106" s="265"/>
      <c r="BR106" s="265"/>
      <c r="BS106" s="265"/>
      <c r="BT106" s="244"/>
      <c r="BU106" s="222"/>
      <c r="BV106" s="244">
        <f t="shared" si="228"/>
        <v>0</v>
      </c>
      <c r="BW106" s="222"/>
    </row>
    <row r="107" spans="1:75" outlineLevel="1">
      <c r="A107" s="221"/>
      <c r="B107" s="222"/>
      <c r="C107" s="222"/>
      <c r="D107" s="225"/>
      <c r="E107" s="222"/>
      <c r="F107" s="222"/>
      <c r="G107" s="222"/>
      <c r="H107" s="266"/>
      <c r="I107" s="101"/>
      <c r="J107" s="102"/>
      <c r="K107" s="102"/>
      <c r="L107" s="102"/>
      <c r="M107" s="102"/>
      <c r="N107" s="102"/>
      <c r="O107" s="102"/>
      <c r="P107" s="102"/>
      <c r="Q107" s="102"/>
      <c r="R107" s="102"/>
      <c r="S107" s="102"/>
      <c r="T107" s="102"/>
      <c r="U107" s="102"/>
      <c r="V107" s="102"/>
      <c r="W107" s="102"/>
      <c r="X107" s="103"/>
      <c r="Y107" s="264"/>
      <c r="Z107" s="222"/>
      <c r="AA107" s="266"/>
      <c r="AB107" s="104">
        <f>ROUNDDOWN(AB106*10%,-1)</f>
        <v>0</v>
      </c>
      <c r="AC107" s="105">
        <f ca="1">IFERROR(IF(AND( OR(COUNTIF(I106:X107, "&gt;0")&gt;=$AJ$1, AA106&gt;=$AJ$4),AN106&lt;60,AA106&lt;=$AH$5),ROUNDDOWN(ROUNDDOWN(AA106,-3)*$AH$4%,-1),IF(AND(COUNTIF(I106:X107,"&gt;0")&gt;=$AJ$1,AN106&lt;60,AA106&gt;$AH$5),$AJ$5,0)),0)</f>
        <v>0</v>
      </c>
      <c r="AD107" s="106">
        <f>IF(Z106&gt;=$AJ$1,ROUNDDOWN(AD106*$AH$3%/($AH$2*2%),-1),0)</f>
        <v>0</v>
      </c>
      <c r="AE107" s="266"/>
      <c r="AF107" s="266"/>
      <c r="AG107" s="222"/>
      <c r="AH107" s="222"/>
      <c r="AI107" s="222"/>
      <c r="AJ107" s="222"/>
      <c r="AK107" s="250"/>
      <c r="AL107" s="250"/>
      <c r="AM107" s="251"/>
      <c r="AN107" s="252"/>
      <c r="AO107" s="266"/>
      <c r="AP107" s="107">
        <f t="shared" ref="AP107:BE107" si="244">IF($H106*I107&gt;150000,ROUNDDOWN(($H106*I107-150000)*6%*45%,0),0)</f>
        <v>0</v>
      </c>
      <c r="AQ107" s="108">
        <f t="shared" si="244"/>
        <v>0</v>
      </c>
      <c r="AR107" s="108">
        <f t="shared" si="244"/>
        <v>0</v>
      </c>
      <c r="AS107" s="108">
        <f t="shared" si="244"/>
        <v>0</v>
      </c>
      <c r="AT107" s="108">
        <f t="shared" si="244"/>
        <v>0</v>
      </c>
      <c r="AU107" s="108">
        <f t="shared" si="244"/>
        <v>0</v>
      </c>
      <c r="AV107" s="108">
        <f t="shared" si="244"/>
        <v>0</v>
      </c>
      <c r="AW107" s="108">
        <f t="shared" si="244"/>
        <v>0</v>
      </c>
      <c r="AX107" s="108">
        <f t="shared" si="244"/>
        <v>0</v>
      </c>
      <c r="AY107" s="108">
        <f t="shared" si="244"/>
        <v>0</v>
      </c>
      <c r="AZ107" s="108">
        <f t="shared" si="244"/>
        <v>0</v>
      </c>
      <c r="BA107" s="108">
        <f t="shared" si="244"/>
        <v>0</v>
      </c>
      <c r="BB107" s="108">
        <f t="shared" si="244"/>
        <v>0</v>
      </c>
      <c r="BC107" s="108">
        <f t="shared" si="244"/>
        <v>0</v>
      </c>
      <c r="BD107" s="108">
        <f t="shared" si="244"/>
        <v>0</v>
      </c>
      <c r="BE107" s="109">
        <f t="shared" si="244"/>
        <v>0</v>
      </c>
      <c r="BG107" s="222"/>
      <c r="BH107" s="222"/>
      <c r="BI107" s="222"/>
      <c r="BJ107" s="268"/>
      <c r="BK107" s="265"/>
      <c r="BL107" s="222"/>
      <c r="BM107" s="249"/>
      <c r="BN107" s="265"/>
      <c r="BO107" s="222"/>
      <c r="BP107" s="222"/>
      <c r="BQ107" s="265"/>
      <c r="BR107" s="265"/>
      <c r="BS107" s="265"/>
      <c r="BT107" s="244"/>
      <c r="BU107" s="222"/>
      <c r="BV107" s="244"/>
      <c r="BW107" s="222"/>
    </row>
    <row r="108" spans="1:75" outlineLevel="1">
      <c r="A108" s="221">
        <v>53</v>
      </c>
      <c r="B108" s="222" t="str">
        <f>IF(LEN(D108)&gt;1,IF(VALUE(MID(RIGHT(D108,7),1,1))&gt;4,"외국인",IF(VALUE(RIGHT(11-MOD((MID(D108,1,1)*2+MID(D108,2,1)*3+MID(D108,3,1)*4+MID(D108,4,1)*5+MID(D108,5,1)*6+MID(D108,6,1)*7+MID(RIGHT(D108,7),1,1)*8+MID(RIGHT(D108,7),2,1)*9+MID(RIGHT(D108,7),3,1)*2+MID(RIGHT(D108,7),4,1)*3+MID(RIGHT(D108,7),5,1)*4+MID(RIGHT(D108,7),6,1)*5),11),1))=VALUE(RIGHT(D108,1)),"","오류")),"")</f>
        <v/>
      </c>
      <c r="C108" s="222"/>
      <c r="D108" s="225"/>
      <c r="E108" s="222"/>
      <c r="F108" s="222"/>
      <c r="G108" s="222"/>
      <c r="H108" s="266"/>
      <c r="I108" s="89"/>
      <c r="J108" s="90"/>
      <c r="K108" s="90"/>
      <c r="L108" s="90"/>
      <c r="M108" s="90"/>
      <c r="N108" s="90"/>
      <c r="O108" s="90"/>
      <c r="P108" s="90"/>
      <c r="Q108" s="90"/>
      <c r="R108" s="90"/>
      <c r="S108" s="91"/>
      <c r="T108" s="91"/>
      <c r="U108" s="90"/>
      <c r="V108" s="90"/>
      <c r="W108" s="92"/>
      <c r="X108" s="93"/>
      <c r="Y108" s="264">
        <f>SUM(I108:X109)</f>
        <v>0</v>
      </c>
      <c r="Z108" s="222">
        <f>COUNTIF(I108:X109,"&gt;0")</f>
        <v>0</v>
      </c>
      <c r="AA108" s="266">
        <f>H108*Y108</f>
        <v>0</v>
      </c>
      <c r="AB108" s="94">
        <f>IF(AO108&lt;1000, 0, AO108)</f>
        <v>0</v>
      </c>
      <c r="AC108" s="95">
        <f ca="1">IF(IFERROR($AN108&lt;65,FALSE), IF(B108&lt;&gt;"외국인", ROUNDDOWN(AA108*$AH$1%,-1), IF(AND(AM108&lt;&gt;"", ISNUMBER(SEARCH(LEFT(SUBSTITUTE(AM108, "-",""),2), "F2_F5_F6"))), ROUNDDOWN(AA108*$AH$1%,-1), 0)),0)</f>
        <v>0</v>
      </c>
      <c r="AD108" s="96">
        <f>IF(Z108&gt;=$AJ$1,ROUNDDOWN(AA108*$AH$2%,-1),0)</f>
        <v>0</v>
      </c>
      <c r="AE108" s="266">
        <f ca="1">AB108+AC108+AB109+AC109+AD108+AD109</f>
        <v>0</v>
      </c>
      <c r="AF108" s="266">
        <f ca="1">AA108-AE108</f>
        <v>0</v>
      </c>
      <c r="AG108" s="222"/>
      <c r="AH108" s="222"/>
      <c r="AI108" s="222"/>
      <c r="AJ108" s="222"/>
      <c r="AK108" s="250"/>
      <c r="AL108" s="250"/>
      <c r="AM108" s="251"/>
      <c r="AN108" s="252" t="str">
        <f ca="1">IFERROR(DATEDIF(DATE(IF(ISNUMBER(FIND(MID( SUBSTITUTE(D108, "-",""), 7, 1), "3478")), 2000, 1900)+MID(D108,1,2), MID(D108,3,2), MID(D108,5,2)), TODAY(), "Y"),"")</f>
        <v/>
      </c>
      <c r="AO108" s="266">
        <f>ROUNDDOWN(SUM(AP108:BE109),-1)</f>
        <v>0</v>
      </c>
      <c r="AP108" s="97">
        <f t="shared" ref="AP108:BD108" si="245">IF($H108*I108&gt;150000,ROUNDDOWN(($H108*I108-150000)*6%*45%,0),0)</f>
        <v>0</v>
      </c>
      <c r="AQ108" s="98">
        <f t="shared" si="245"/>
        <v>0</v>
      </c>
      <c r="AR108" s="98">
        <f t="shared" si="245"/>
        <v>0</v>
      </c>
      <c r="AS108" s="98">
        <f t="shared" si="245"/>
        <v>0</v>
      </c>
      <c r="AT108" s="98">
        <f t="shared" si="245"/>
        <v>0</v>
      </c>
      <c r="AU108" s="98">
        <f t="shared" si="245"/>
        <v>0</v>
      </c>
      <c r="AV108" s="98">
        <f t="shared" si="245"/>
        <v>0</v>
      </c>
      <c r="AW108" s="98">
        <f t="shared" si="245"/>
        <v>0</v>
      </c>
      <c r="AX108" s="98">
        <f t="shared" si="245"/>
        <v>0</v>
      </c>
      <c r="AY108" s="98">
        <f t="shared" si="245"/>
        <v>0</v>
      </c>
      <c r="AZ108" s="98">
        <f t="shared" si="245"/>
        <v>0</v>
      </c>
      <c r="BA108" s="98">
        <f t="shared" si="245"/>
        <v>0</v>
      </c>
      <c r="BB108" s="98">
        <f t="shared" si="245"/>
        <v>0</v>
      </c>
      <c r="BC108" s="98">
        <f t="shared" si="245"/>
        <v>0</v>
      </c>
      <c r="BD108" s="99">
        <f t="shared" si="245"/>
        <v>0</v>
      </c>
      <c r="BE108" s="100"/>
      <c r="BG108" s="222">
        <f t="shared" ref="BG108" si="246">C108</f>
        <v>0</v>
      </c>
      <c r="BH108" s="222"/>
      <c r="BI108" s="222"/>
      <c r="BJ108" s="248"/>
      <c r="BK108" s="265"/>
      <c r="BL108" s="222"/>
      <c r="BM108" s="249">
        <f t="shared" si="227"/>
        <v>0</v>
      </c>
      <c r="BN108" s="265"/>
      <c r="BO108" s="222"/>
      <c r="BP108" s="222"/>
      <c r="BQ108" s="265"/>
      <c r="BR108" s="265"/>
      <c r="BS108" s="265"/>
      <c r="BT108" s="244"/>
      <c r="BU108" s="222"/>
      <c r="BV108" s="244">
        <f t="shared" si="228"/>
        <v>0</v>
      </c>
      <c r="BW108" s="222"/>
    </row>
    <row r="109" spans="1:75" outlineLevel="1">
      <c r="A109" s="221"/>
      <c r="B109" s="222"/>
      <c r="C109" s="222"/>
      <c r="D109" s="225"/>
      <c r="E109" s="222"/>
      <c r="F109" s="222"/>
      <c r="G109" s="222"/>
      <c r="H109" s="266"/>
      <c r="I109" s="101"/>
      <c r="J109" s="102"/>
      <c r="K109" s="102"/>
      <c r="L109" s="102"/>
      <c r="M109" s="102"/>
      <c r="N109" s="102"/>
      <c r="O109" s="102"/>
      <c r="P109" s="102"/>
      <c r="Q109" s="102"/>
      <c r="R109" s="102"/>
      <c r="S109" s="102"/>
      <c r="T109" s="102"/>
      <c r="U109" s="102"/>
      <c r="V109" s="102"/>
      <c r="W109" s="102"/>
      <c r="X109" s="103"/>
      <c r="Y109" s="264"/>
      <c r="Z109" s="222"/>
      <c r="AA109" s="266"/>
      <c r="AB109" s="104">
        <f>ROUNDDOWN(AB108*10%,-1)</f>
        <v>0</v>
      </c>
      <c r="AC109" s="105">
        <f ca="1">IFERROR(IF(AND( OR(COUNTIF(I108:X109, "&gt;0")&gt;=$AJ$1, AA108&gt;=$AJ$4),AN108&lt;60,AA108&lt;=$AH$5),ROUNDDOWN(ROUNDDOWN(AA108,-3)*$AH$4%,-1),IF(AND(COUNTIF(I108:X109,"&gt;0")&gt;=$AJ$1,AN108&lt;60,AA108&gt;$AH$5),$AJ$5,0)),0)</f>
        <v>0</v>
      </c>
      <c r="AD109" s="106">
        <f>IF(Z108&gt;=$AJ$1,ROUNDDOWN(AD108*$AH$3%/($AH$2*2%),-1),0)</f>
        <v>0</v>
      </c>
      <c r="AE109" s="266"/>
      <c r="AF109" s="266"/>
      <c r="AG109" s="222"/>
      <c r="AH109" s="222"/>
      <c r="AI109" s="222"/>
      <c r="AJ109" s="222"/>
      <c r="AK109" s="250"/>
      <c r="AL109" s="250"/>
      <c r="AM109" s="251"/>
      <c r="AN109" s="252"/>
      <c r="AO109" s="266"/>
      <c r="AP109" s="107">
        <f t="shared" ref="AP109:BE109" si="247">IF($H108*I109&gt;150000,ROUNDDOWN(($H108*I109-150000)*6%*45%,0),0)</f>
        <v>0</v>
      </c>
      <c r="AQ109" s="108">
        <f t="shared" si="247"/>
        <v>0</v>
      </c>
      <c r="AR109" s="108">
        <f t="shared" si="247"/>
        <v>0</v>
      </c>
      <c r="AS109" s="108">
        <f t="shared" si="247"/>
        <v>0</v>
      </c>
      <c r="AT109" s="108">
        <f t="shared" si="247"/>
        <v>0</v>
      </c>
      <c r="AU109" s="108">
        <f t="shared" si="247"/>
        <v>0</v>
      </c>
      <c r="AV109" s="108">
        <f t="shared" si="247"/>
        <v>0</v>
      </c>
      <c r="AW109" s="108">
        <f t="shared" si="247"/>
        <v>0</v>
      </c>
      <c r="AX109" s="108">
        <f t="shared" si="247"/>
        <v>0</v>
      </c>
      <c r="AY109" s="108">
        <f t="shared" si="247"/>
        <v>0</v>
      </c>
      <c r="AZ109" s="108">
        <f t="shared" si="247"/>
        <v>0</v>
      </c>
      <c r="BA109" s="108">
        <f t="shared" si="247"/>
        <v>0</v>
      </c>
      <c r="BB109" s="108">
        <f t="shared" si="247"/>
        <v>0</v>
      </c>
      <c r="BC109" s="108">
        <f t="shared" si="247"/>
        <v>0</v>
      </c>
      <c r="BD109" s="108">
        <f t="shared" si="247"/>
        <v>0</v>
      </c>
      <c r="BE109" s="109">
        <f t="shared" si="247"/>
        <v>0</v>
      </c>
      <c r="BG109" s="222"/>
      <c r="BH109" s="222"/>
      <c r="BI109" s="222"/>
      <c r="BJ109" s="248"/>
      <c r="BK109" s="265"/>
      <c r="BL109" s="222"/>
      <c r="BM109" s="249"/>
      <c r="BN109" s="265"/>
      <c r="BO109" s="222"/>
      <c r="BP109" s="222"/>
      <c r="BQ109" s="265"/>
      <c r="BR109" s="265"/>
      <c r="BS109" s="265"/>
      <c r="BT109" s="244"/>
      <c r="BU109" s="222"/>
      <c r="BV109" s="244"/>
      <c r="BW109" s="222"/>
    </row>
    <row r="110" spans="1:75" outlineLevel="1">
      <c r="A110" s="221">
        <v>54</v>
      </c>
      <c r="B110" s="222" t="str">
        <f>IF(LEN(D110)&gt;1,IF(VALUE(MID(RIGHT(D110,7),1,1))&gt;4,"외국인",IF(VALUE(RIGHT(11-MOD((MID(D110,1,1)*2+MID(D110,2,1)*3+MID(D110,3,1)*4+MID(D110,4,1)*5+MID(D110,5,1)*6+MID(D110,6,1)*7+MID(RIGHT(D110,7),1,1)*8+MID(RIGHT(D110,7),2,1)*9+MID(RIGHT(D110,7),3,1)*2+MID(RIGHT(D110,7),4,1)*3+MID(RIGHT(D110,7),5,1)*4+MID(RIGHT(D110,7),6,1)*5),11),1))=VALUE(RIGHT(D110,1)),"","오류")),"")</f>
        <v/>
      </c>
      <c r="C110" s="222"/>
      <c r="D110" s="225"/>
      <c r="E110" s="222"/>
      <c r="F110" s="222"/>
      <c r="G110" s="222"/>
      <c r="H110" s="266"/>
      <c r="I110" s="89"/>
      <c r="J110" s="90"/>
      <c r="K110" s="90"/>
      <c r="L110" s="90"/>
      <c r="M110" s="90"/>
      <c r="N110" s="90"/>
      <c r="O110" s="90"/>
      <c r="P110" s="90"/>
      <c r="Q110" s="90"/>
      <c r="R110" s="90"/>
      <c r="S110" s="91"/>
      <c r="T110" s="91"/>
      <c r="U110" s="90"/>
      <c r="V110" s="90"/>
      <c r="W110" s="92"/>
      <c r="X110" s="93"/>
      <c r="Y110" s="264">
        <f>SUM(I110:X111)</f>
        <v>0</v>
      </c>
      <c r="Z110" s="222">
        <f>COUNTIF(I110:X111,"&gt;0")</f>
        <v>0</v>
      </c>
      <c r="AA110" s="266">
        <f>H110*Y110</f>
        <v>0</v>
      </c>
      <c r="AB110" s="94">
        <f>IF(AO110&lt;1000, 0, AO110)</f>
        <v>0</v>
      </c>
      <c r="AC110" s="95">
        <f ca="1">IF(IFERROR($AN110&lt;65,FALSE), IF(B110&lt;&gt;"외국인", ROUNDDOWN(AA110*$AH$1%,-1), IF(AND(AM110&lt;&gt;"", ISNUMBER(SEARCH(LEFT(SUBSTITUTE(AM110, "-",""),2), "F2_F5_F6"))), ROUNDDOWN(AA110*$AH$1%,-1), 0)),0)</f>
        <v>0</v>
      </c>
      <c r="AD110" s="96">
        <f>IF(Z110&gt;=$AJ$1,ROUNDDOWN(AA110*$AH$2%,-1),0)</f>
        <v>0</v>
      </c>
      <c r="AE110" s="266">
        <f ca="1">AB110+AC110+AB111+AC111+AD110+AD111</f>
        <v>0</v>
      </c>
      <c r="AF110" s="266">
        <f ca="1">AA110-AE110</f>
        <v>0</v>
      </c>
      <c r="AG110" s="222"/>
      <c r="AH110" s="222"/>
      <c r="AI110" s="222"/>
      <c r="AJ110" s="222"/>
      <c r="AK110" s="250"/>
      <c r="AL110" s="250"/>
      <c r="AM110" s="251"/>
      <c r="AN110" s="252" t="str">
        <f ca="1">IFERROR(DATEDIF(DATE(IF(ISNUMBER(FIND(MID( SUBSTITUTE(D110, "-",""), 7, 1), "3478")), 2000, 1900)+MID(D110,1,2), MID(D110,3,2), MID(D110,5,2)), TODAY(), "Y"),"")</f>
        <v/>
      </c>
      <c r="AO110" s="266">
        <f>ROUNDDOWN(SUM(AP110:BE111),-1)</f>
        <v>0</v>
      </c>
      <c r="AP110" s="97">
        <f t="shared" ref="AP110:BD110" si="248">IF($H110*I110&gt;150000,ROUNDDOWN(($H110*I110-150000)*6%*45%,0),0)</f>
        <v>0</v>
      </c>
      <c r="AQ110" s="98">
        <f t="shared" si="248"/>
        <v>0</v>
      </c>
      <c r="AR110" s="98">
        <f t="shared" si="248"/>
        <v>0</v>
      </c>
      <c r="AS110" s="98">
        <f t="shared" si="248"/>
        <v>0</v>
      </c>
      <c r="AT110" s="98">
        <f t="shared" si="248"/>
        <v>0</v>
      </c>
      <c r="AU110" s="98">
        <f t="shared" si="248"/>
        <v>0</v>
      </c>
      <c r="AV110" s="98">
        <f t="shared" si="248"/>
        <v>0</v>
      </c>
      <c r="AW110" s="98">
        <f t="shared" si="248"/>
        <v>0</v>
      </c>
      <c r="AX110" s="98">
        <f t="shared" si="248"/>
        <v>0</v>
      </c>
      <c r="AY110" s="98">
        <f t="shared" si="248"/>
        <v>0</v>
      </c>
      <c r="AZ110" s="98">
        <f t="shared" si="248"/>
        <v>0</v>
      </c>
      <c r="BA110" s="98">
        <f t="shared" si="248"/>
        <v>0</v>
      </c>
      <c r="BB110" s="98">
        <f t="shared" si="248"/>
        <v>0</v>
      </c>
      <c r="BC110" s="98">
        <f t="shared" si="248"/>
        <v>0</v>
      </c>
      <c r="BD110" s="99">
        <f t="shared" si="248"/>
        <v>0</v>
      </c>
      <c r="BE110" s="100"/>
      <c r="BG110" s="222">
        <f t="shared" ref="BG110" si="249">C110</f>
        <v>0</v>
      </c>
      <c r="BH110" s="222"/>
      <c r="BI110" s="222"/>
      <c r="BJ110" s="269"/>
      <c r="BK110" s="265"/>
      <c r="BL110" s="222"/>
      <c r="BM110" s="249">
        <f t="shared" si="227"/>
        <v>0</v>
      </c>
      <c r="BN110" s="265"/>
      <c r="BO110" s="222"/>
      <c r="BP110" s="222"/>
      <c r="BQ110" s="265"/>
      <c r="BR110" s="265"/>
      <c r="BS110" s="265"/>
      <c r="BT110" s="244"/>
      <c r="BU110" s="222"/>
      <c r="BV110" s="244">
        <f t="shared" si="228"/>
        <v>0</v>
      </c>
      <c r="BW110" s="222"/>
    </row>
    <row r="111" spans="1:75" outlineLevel="1">
      <c r="A111" s="221"/>
      <c r="B111" s="222"/>
      <c r="C111" s="222"/>
      <c r="D111" s="225"/>
      <c r="E111" s="222"/>
      <c r="F111" s="222"/>
      <c r="G111" s="222"/>
      <c r="H111" s="266"/>
      <c r="I111" s="101"/>
      <c r="J111" s="102"/>
      <c r="K111" s="102"/>
      <c r="L111" s="102"/>
      <c r="M111" s="102"/>
      <c r="N111" s="102"/>
      <c r="O111" s="102"/>
      <c r="P111" s="102"/>
      <c r="Q111" s="102"/>
      <c r="R111" s="102"/>
      <c r="S111" s="102"/>
      <c r="T111" s="102"/>
      <c r="U111" s="102"/>
      <c r="V111" s="102"/>
      <c r="W111" s="102"/>
      <c r="X111" s="103"/>
      <c r="Y111" s="264"/>
      <c r="Z111" s="222"/>
      <c r="AA111" s="266"/>
      <c r="AB111" s="104">
        <f>ROUNDDOWN(AB110*10%,-1)</f>
        <v>0</v>
      </c>
      <c r="AC111" s="105">
        <f ca="1">IFERROR(IF(AND( OR(COUNTIF(I110:X111, "&gt;0")&gt;=$AJ$1, AA110&gt;=$AJ$4),AN110&lt;60,AA110&lt;=$AH$5),ROUNDDOWN(ROUNDDOWN(AA110,-3)*$AH$4%,-1),IF(AND(COUNTIF(I110:X111,"&gt;0")&gt;=$AJ$1,AN110&lt;60,AA110&gt;$AH$5),$AJ$5,0)),0)</f>
        <v>0</v>
      </c>
      <c r="AD111" s="106">
        <f>IF(Z110&gt;=$AJ$1,ROUNDDOWN(AD110*$AH$3%/($AH$2*2%),-1),0)</f>
        <v>0</v>
      </c>
      <c r="AE111" s="266"/>
      <c r="AF111" s="266"/>
      <c r="AG111" s="222"/>
      <c r="AH111" s="222"/>
      <c r="AI111" s="222"/>
      <c r="AJ111" s="222"/>
      <c r="AK111" s="250"/>
      <c r="AL111" s="250"/>
      <c r="AM111" s="251"/>
      <c r="AN111" s="252"/>
      <c r="AO111" s="266"/>
      <c r="AP111" s="107">
        <f t="shared" ref="AP111:BE111" si="250">IF($H110*I111&gt;150000,ROUNDDOWN(($H110*I111-150000)*6%*45%,0),0)</f>
        <v>0</v>
      </c>
      <c r="AQ111" s="108">
        <f t="shared" si="250"/>
        <v>0</v>
      </c>
      <c r="AR111" s="108">
        <f t="shared" si="250"/>
        <v>0</v>
      </c>
      <c r="AS111" s="108">
        <f t="shared" si="250"/>
        <v>0</v>
      </c>
      <c r="AT111" s="108">
        <f t="shared" si="250"/>
        <v>0</v>
      </c>
      <c r="AU111" s="108">
        <f t="shared" si="250"/>
        <v>0</v>
      </c>
      <c r="AV111" s="108">
        <f t="shared" si="250"/>
        <v>0</v>
      </c>
      <c r="AW111" s="108">
        <f t="shared" si="250"/>
        <v>0</v>
      </c>
      <c r="AX111" s="108">
        <f t="shared" si="250"/>
        <v>0</v>
      </c>
      <c r="AY111" s="108">
        <f t="shared" si="250"/>
        <v>0</v>
      </c>
      <c r="AZ111" s="108">
        <f t="shared" si="250"/>
        <v>0</v>
      </c>
      <c r="BA111" s="108">
        <f t="shared" si="250"/>
        <v>0</v>
      </c>
      <c r="BB111" s="108">
        <f t="shared" si="250"/>
        <v>0</v>
      </c>
      <c r="BC111" s="108">
        <f t="shared" si="250"/>
        <v>0</v>
      </c>
      <c r="BD111" s="108">
        <f t="shared" si="250"/>
        <v>0</v>
      </c>
      <c r="BE111" s="109">
        <f t="shared" si="250"/>
        <v>0</v>
      </c>
      <c r="BG111" s="222"/>
      <c r="BH111" s="222"/>
      <c r="BI111" s="222"/>
      <c r="BJ111" s="269"/>
      <c r="BK111" s="265"/>
      <c r="BL111" s="222"/>
      <c r="BM111" s="249"/>
      <c r="BN111" s="265"/>
      <c r="BO111" s="222"/>
      <c r="BP111" s="222"/>
      <c r="BQ111" s="265"/>
      <c r="BR111" s="265"/>
      <c r="BS111" s="265"/>
      <c r="BT111" s="244"/>
      <c r="BU111" s="222"/>
      <c r="BV111" s="244"/>
      <c r="BW111" s="222"/>
    </row>
    <row r="112" spans="1:75" outlineLevel="1">
      <c r="A112" s="221">
        <v>55</v>
      </c>
      <c r="B112" s="222" t="str">
        <f>IF(LEN(D112)&gt;1,IF(VALUE(MID(RIGHT(D112,7),1,1))&gt;4,"외국인",IF(VALUE(RIGHT(11-MOD((MID(D112,1,1)*2+MID(D112,2,1)*3+MID(D112,3,1)*4+MID(D112,4,1)*5+MID(D112,5,1)*6+MID(D112,6,1)*7+MID(RIGHT(D112,7),1,1)*8+MID(RIGHT(D112,7),2,1)*9+MID(RIGHT(D112,7),3,1)*2+MID(RIGHT(D112,7),4,1)*3+MID(RIGHT(D112,7),5,1)*4+MID(RIGHT(D112,7),6,1)*5),11),1))=VALUE(RIGHT(D112,1)),"","오류")),"")</f>
        <v/>
      </c>
      <c r="C112" s="222"/>
      <c r="D112" s="225"/>
      <c r="E112" s="222"/>
      <c r="F112" s="222"/>
      <c r="G112" s="222"/>
      <c r="H112" s="266"/>
      <c r="I112" s="89"/>
      <c r="J112" s="90"/>
      <c r="K112" s="90"/>
      <c r="L112" s="90"/>
      <c r="M112" s="90"/>
      <c r="N112" s="90"/>
      <c r="O112" s="90"/>
      <c r="P112" s="90"/>
      <c r="Q112" s="90"/>
      <c r="R112" s="90"/>
      <c r="S112" s="91"/>
      <c r="T112" s="91"/>
      <c r="U112" s="90"/>
      <c r="V112" s="90"/>
      <c r="W112" s="92"/>
      <c r="X112" s="93"/>
      <c r="Y112" s="264">
        <f>SUM(I112:X113)</f>
        <v>0</v>
      </c>
      <c r="Z112" s="222">
        <f>COUNTIF(I112:X113,"&gt;0")</f>
        <v>0</v>
      </c>
      <c r="AA112" s="266">
        <f>H112*Y112</f>
        <v>0</v>
      </c>
      <c r="AB112" s="94">
        <f>IF(AO112&lt;1000, 0, AO112)</f>
        <v>0</v>
      </c>
      <c r="AC112" s="95">
        <f ca="1">IF(IFERROR($AN112&lt;65,FALSE), IF(B112&lt;&gt;"외국인", ROUNDDOWN(AA112*$AH$1%,-1), IF(AND(AM112&lt;&gt;"", ISNUMBER(SEARCH(LEFT(SUBSTITUTE(AM112, "-",""),2), "F2_F5_F6"))), ROUNDDOWN(AA112*$AH$1%,-1), 0)),0)</f>
        <v>0</v>
      </c>
      <c r="AD112" s="96">
        <f>IF(Z112&gt;=$AJ$1,ROUNDDOWN(AA112*$AH$2%,-1),0)</f>
        <v>0</v>
      </c>
      <c r="AE112" s="266">
        <f ca="1">AB112+AC112+AB113+AC113+AD112+AD113</f>
        <v>0</v>
      </c>
      <c r="AF112" s="266">
        <f ca="1">AA112-AE112</f>
        <v>0</v>
      </c>
      <c r="AG112" s="222"/>
      <c r="AH112" s="222"/>
      <c r="AI112" s="222"/>
      <c r="AJ112" s="222"/>
      <c r="AK112" s="250"/>
      <c r="AL112" s="250"/>
      <c r="AM112" s="251"/>
      <c r="AN112" s="252" t="str">
        <f ca="1">IFERROR(DATEDIF(DATE(IF(ISNUMBER(FIND(MID( SUBSTITUTE(D112, "-",""), 7, 1), "3478")), 2000, 1900)+MID(D112,1,2), MID(D112,3,2), MID(D112,5,2)), TODAY(), "Y"),"")</f>
        <v/>
      </c>
      <c r="AO112" s="266">
        <f>ROUNDDOWN(SUM(AP112:BE113),-1)</f>
        <v>0</v>
      </c>
      <c r="AP112" s="97">
        <f t="shared" ref="AP112:BD112" si="251">IF($H112*I112&gt;150000,ROUNDDOWN(($H112*I112-150000)*6%*45%,0),0)</f>
        <v>0</v>
      </c>
      <c r="AQ112" s="98">
        <f t="shared" si="251"/>
        <v>0</v>
      </c>
      <c r="AR112" s="98">
        <f t="shared" si="251"/>
        <v>0</v>
      </c>
      <c r="AS112" s="98">
        <f t="shared" si="251"/>
        <v>0</v>
      </c>
      <c r="AT112" s="98">
        <f t="shared" si="251"/>
        <v>0</v>
      </c>
      <c r="AU112" s="98">
        <f t="shared" si="251"/>
        <v>0</v>
      </c>
      <c r="AV112" s="98">
        <f t="shared" si="251"/>
        <v>0</v>
      </c>
      <c r="AW112" s="98">
        <f t="shared" si="251"/>
        <v>0</v>
      </c>
      <c r="AX112" s="98">
        <f t="shared" si="251"/>
        <v>0</v>
      </c>
      <c r="AY112" s="98">
        <f t="shared" si="251"/>
        <v>0</v>
      </c>
      <c r="AZ112" s="98">
        <f t="shared" si="251"/>
        <v>0</v>
      </c>
      <c r="BA112" s="98">
        <f t="shared" si="251"/>
        <v>0</v>
      </c>
      <c r="BB112" s="98">
        <f t="shared" si="251"/>
        <v>0</v>
      </c>
      <c r="BC112" s="98">
        <f t="shared" si="251"/>
        <v>0</v>
      </c>
      <c r="BD112" s="99">
        <f t="shared" si="251"/>
        <v>0</v>
      </c>
      <c r="BE112" s="100"/>
      <c r="BG112" s="222">
        <f t="shared" ref="BG112" si="252">C112</f>
        <v>0</v>
      </c>
      <c r="BH112" s="222"/>
      <c r="BI112" s="222"/>
      <c r="BJ112" s="269"/>
      <c r="BK112" s="265"/>
      <c r="BL112" s="222"/>
      <c r="BM112" s="249">
        <f t="shared" si="227"/>
        <v>0</v>
      </c>
      <c r="BN112" s="265"/>
      <c r="BO112" s="222"/>
      <c r="BP112" s="222"/>
      <c r="BQ112" s="265"/>
      <c r="BR112" s="265"/>
      <c r="BS112" s="265"/>
      <c r="BT112" s="244"/>
      <c r="BU112" s="222"/>
      <c r="BV112" s="244">
        <f t="shared" si="228"/>
        <v>0</v>
      </c>
      <c r="BW112" s="222"/>
    </row>
    <row r="113" spans="1:75" outlineLevel="1">
      <c r="A113" s="221"/>
      <c r="B113" s="222"/>
      <c r="C113" s="222"/>
      <c r="D113" s="225"/>
      <c r="E113" s="222"/>
      <c r="F113" s="222"/>
      <c r="G113" s="222"/>
      <c r="H113" s="266"/>
      <c r="I113" s="101"/>
      <c r="J113" s="102"/>
      <c r="K113" s="102"/>
      <c r="L113" s="102"/>
      <c r="M113" s="102"/>
      <c r="N113" s="102"/>
      <c r="O113" s="102"/>
      <c r="P113" s="102"/>
      <c r="Q113" s="102"/>
      <c r="R113" s="102"/>
      <c r="S113" s="102"/>
      <c r="T113" s="102"/>
      <c r="U113" s="102"/>
      <c r="V113" s="102"/>
      <c r="W113" s="102"/>
      <c r="X113" s="103"/>
      <c r="Y113" s="264"/>
      <c r="Z113" s="222"/>
      <c r="AA113" s="266"/>
      <c r="AB113" s="104">
        <f>ROUNDDOWN(AB112*10%,-1)</f>
        <v>0</v>
      </c>
      <c r="AC113" s="105">
        <f ca="1">IFERROR(IF(AND( OR(COUNTIF(I112:X113, "&gt;0")&gt;=$AJ$1, AA112&gt;=$AJ$4),AN112&lt;60,AA112&lt;=$AH$5),ROUNDDOWN(ROUNDDOWN(AA112,-3)*$AH$4%,-1),IF(AND(COUNTIF(I112:X113,"&gt;0")&gt;=$AJ$1,AN112&lt;60,AA112&gt;$AH$5),$AJ$5,0)),0)</f>
        <v>0</v>
      </c>
      <c r="AD113" s="106">
        <f>IF(Z112&gt;=$AJ$1,ROUNDDOWN(AD112*$AH$3%/($AH$2*2%),-1),0)</f>
        <v>0</v>
      </c>
      <c r="AE113" s="266"/>
      <c r="AF113" s="266"/>
      <c r="AG113" s="222"/>
      <c r="AH113" s="222"/>
      <c r="AI113" s="222"/>
      <c r="AJ113" s="222"/>
      <c r="AK113" s="250"/>
      <c r="AL113" s="250"/>
      <c r="AM113" s="251"/>
      <c r="AN113" s="252"/>
      <c r="AO113" s="266"/>
      <c r="AP113" s="107">
        <f t="shared" ref="AP113:BE113" si="253">IF($H112*I113&gt;150000,ROUNDDOWN(($H112*I113-150000)*6%*45%,0),0)</f>
        <v>0</v>
      </c>
      <c r="AQ113" s="108">
        <f t="shared" si="253"/>
        <v>0</v>
      </c>
      <c r="AR113" s="108">
        <f t="shared" si="253"/>
        <v>0</v>
      </c>
      <c r="AS113" s="108">
        <f t="shared" si="253"/>
        <v>0</v>
      </c>
      <c r="AT113" s="108">
        <f t="shared" si="253"/>
        <v>0</v>
      </c>
      <c r="AU113" s="108">
        <f t="shared" si="253"/>
        <v>0</v>
      </c>
      <c r="AV113" s="108">
        <f t="shared" si="253"/>
        <v>0</v>
      </c>
      <c r="AW113" s="108">
        <f t="shared" si="253"/>
        <v>0</v>
      </c>
      <c r="AX113" s="108">
        <f t="shared" si="253"/>
        <v>0</v>
      </c>
      <c r="AY113" s="108">
        <f t="shared" si="253"/>
        <v>0</v>
      </c>
      <c r="AZ113" s="108">
        <f t="shared" si="253"/>
        <v>0</v>
      </c>
      <c r="BA113" s="108">
        <f t="shared" si="253"/>
        <v>0</v>
      </c>
      <c r="BB113" s="108">
        <f t="shared" si="253"/>
        <v>0</v>
      </c>
      <c r="BC113" s="108">
        <f t="shared" si="253"/>
        <v>0</v>
      </c>
      <c r="BD113" s="108">
        <f t="shared" si="253"/>
        <v>0</v>
      </c>
      <c r="BE113" s="109">
        <f t="shared" si="253"/>
        <v>0</v>
      </c>
      <c r="BG113" s="222"/>
      <c r="BH113" s="222"/>
      <c r="BI113" s="222"/>
      <c r="BJ113" s="269"/>
      <c r="BK113" s="265"/>
      <c r="BL113" s="222"/>
      <c r="BM113" s="249"/>
      <c r="BN113" s="265"/>
      <c r="BO113" s="222"/>
      <c r="BP113" s="222"/>
      <c r="BQ113" s="265"/>
      <c r="BR113" s="265"/>
      <c r="BS113" s="265"/>
      <c r="BT113" s="244"/>
      <c r="BU113" s="222"/>
      <c r="BV113" s="244"/>
      <c r="BW113" s="222"/>
    </row>
    <row r="114" spans="1:75" outlineLevel="1">
      <c r="A114" s="221">
        <v>56</v>
      </c>
      <c r="B114" s="222" t="str">
        <f>IF(LEN(D114)&gt;1,IF(VALUE(MID(RIGHT(D114,7),1,1))&gt;4,"외국인",IF(VALUE(RIGHT(11-MOD((MID(D114,1,1)*2+MID(D114,2,1)*3+MID(D114,3,1)*4+MID(D114,4,1)*5+MID(D114,5,1)*6+MID(D114,6,1)*7+MID(RIGHT(D114,7),1,1)*8+MID(RIGHT(D114,7),2,1)*9+MID(RIGHT(D114,7),3,1)*2+MID(RIGHT(D114,7),4,1)*3+MID(RIGHT(D114,7),5,1)*4+MID(RIGHT(D114,7),6,1)*5),11),1))=VALUE(RIGHT(D114,1)),"","오류")),"")</f>
        <v/>
      </c>
      <c r="C114" s="222"/>
      <c r="D114" s="225"/>
      <c r="E114" s="222"/>
      <c r="F114" s="222"/>
      <c r="G114" s="222"/>
      <c r="H114" s="266"/>
      <c r="I114" s="89"/>
      <c r="J114" s="90"/>
      <c r="K114" s="90"/>
      <c r="L114" s="90"/>
      <c r="M114" s="90"/>
      <c r="N114" s="90"/>
      <c r="O114" s="90"/>
      <c r="P114" s="90"/>
      <c r="Q114" s="90"/>
      <c r="R114" s="90"/>
      <c r="S114" s="91"/>
      <c r="T114" s="91"/>
      <c r="U114" s="90"/>
      <c r="V114" s="90"/>
      <c r="W114" s="92"/>
      <c r="X114" s="93"/>
      <c r="Y114" s="264">
        <f>SUM(I114:X115)</f>
        <v>0</v>
      </c>
      <c r="Z114" s="222">
        <f>COUNTIF(I114:X115,"&gt;0")</f>
        <v>0</v>
      </c>
      <c r="AA114" s="266">
        <f>H114*Y114</f>
        <v>0</v>
      </c>
      <c r="AB114" s="94">
        <f>IF(AO114&lt;1000, 0, AO114)</f>
        <v>0</v>
      </c>
      <c r="AC114" s="95">
        <f ca="1">IF(IFERROR($AN114&lt;65,FALSE), IF(B114&lt;&gt;"외국인", ROUNDDOWN(AA114*$AH$1%,-1), IF(AND(AM114&lt;&gt;"", ISNUMBER(SEARCH(LEFT(SUBSTITUTE(AM114, "-",""),2), "F2_F5_F6"))), ROUNDDOWN(AA114*$AH$1%,-1), 0)),0)</f>
        <v>0</v>
      </c>
      <c r="AD114" s="96">
        <f>IF(Z114&gt;=$AJ$1,ROUNDDOWN(AA114*$AH$2%,-1),0)</f>
        <v>0</v>
      </c>
      <c r="AE114" s="266">
        <f ca="1">AB114+AC114+AB115+AC115+AD114+AD115</f>
        <v>0</v>
      </c>
      <c r="AF114" s="266">
        <f ca="1">AA114-AE114</f>
        <v>0</v>
      </c>
      <c r="AG114" s="222"/>
      <c r="AH114" s="222"/>
      <c r="AI114" s="222"/>
      <c r="AJ114" s="222"/>
      <c r="AK114" s="250"/>
      <c r="AL114" s="250"/>
      <c r="AM114" s="251"/>
      <c r="AN114" s="252" t="str">
        <f ca="1">IFERROR(DATEDIF(DATE(IF(ISNUMBER(FIND(MID( SUBSTITUTE(D114, "-",""), 7, 1), "3478")), 2000, 1900)+MID(D114,1,2), MID(D114,3,2), MID(D114,5,2)), TODAY(), "Y"),"")</f>
        <v/>
      </c>
      <c r="AO114" s="266">
        <f>ROUNDDOWN(SUM(AP114:BE115),-1)</f>
        <v>0</v>
      </c>
      <c r="AP114" s="97">
        <f t="shared" ref="AP114:BD114" si="254">IF($H114*I114&gt;150000,ROUNDDOWN(($H114*I114-150000)*6%*45%,0),0)</f>
        <v>0</v>
      </c>
      <c r="AQ114" s="98">
        <f t="shared" si="254"/>
        <v>0</v>
      </c>
      <c r="AR114" s="98">
        <f t="shared" si="254"/>
        <v>0</v>
      </c>
      <c r="AS114" s="98">
        <f t="shared" si="254"/>
        <v>0</v>
      </c>
      <c r="AT114" s="98">
        <f t="shared" si="254"/>
        <v>0</v>
      </c>
      <c r="AU114" s="98">
        <f t="shared" si="254"/>
        <v>0</v>
      </c>
      <c r="AV114" s="98">
        <f t="shared" si="254"/>
        <v>0</v>
      </c>
      <c r="AW114" s="98">
        <f t="shared" si="254"/>
        <v>0</v>
      </c>
      <c r="AX114" s="98">
        <f t="shared" si="254"/>
        <v>0</v>
      </c>
      <c r="AY114" s="98">
        <f t="shared" si="254"/>
        <v>0</v>
      </c>
      <c r="AZ114" s="98">
        <f t="shared" si="254"/>
        <v>0</v>
      </c>
      <c r="BA114" s="98">
        <f t="shared" si="254"/>
        <v>0</v>
      </c>
      <c r="BB114" s="98">
        <f t="shared" si="254"/>
        <v>0</v>
      </c>
      <c r="BC114" s="98">
        <f t="shared" si="254"/>
        <v>0</v>
      </c>
      <c r="BD114" s="99">
        <f t="shared" si="254"/>
        <v>0</v>
      </c>
      <c r="BE114" s="100"/>
      <c r="BG114" s="222">
        <f t="shared" ref="BG114" si="255">C114</f>
        <v>0</v>
      </c>
      <c r="BH114" s="222"/>
      <c r="BI114" s="222"/>
      <c r="BJ114" s="248"/>
      <c r="BK114" s="265"/>
      <c r="BL114" s="222"/>
      <c r="BM114" s="249">
        <f t="shared" si="227"/>
        <v>0</v>
      </c>
      <c r="BN114" s="265"/>
      <c r="BO114" s="222"/>
      <c r="BP114" s="222"/>
      <c r="BQ114" s="265"/>
      <c r="BR114" s="265"/>
      <c r="BS114" s="265"/>
      <c r="BT114" s="244"/>
      <c r="BU114" s="222"/>
      <c r="BV114" s="244">
        <f t="shared" si="228"/>
        <v>0</v>
      </c>
      <c r="BW114" s="222"/>
    </row>
    <row r="115" spans="1:75" outlineLevel="1">
      <c r="A115" s="221"/>
      <c r="B115" s="222"/>
      <c r="C115" s="222"/>
      <c r="D115" s="225"/>
      <c r="E115" s="222"/>
      <c r="F115" s="222"/>
      <c r="G115" s="222"/>
      <c r="H115" s="266"/>
      <c r="I115" s="101"/>
      <c r="J115" s="102"/>
      <c r="K115" s="102"/>
      <c r="L115" s="102"/>
      <c r="M115" s="102"/>
      <c r="N115" s="102"/>
      <c r="O115" s="102"/>
      <c r="P115" s="102"/>
      <c r="Q115" s="102"/>
      <c r="R115" s="102"/>
      <c r="S115" s="102"/>
      <c r="T115" s="102"/>
      <c r="U115" s="102"/>
      <c r="V115" s="102"/>
      <c r="W115" s="102"/>
      <c r="X115" s="103"/>
      <c r="Y115" s="264"/>
      <c r="Z115" s="222"/>
      <c r="AA115" s="266"/>
      <c r="AB115" s="104">
        <f>ROUNDDOWN(AB114*10%,-1)</f>
        <v>0</v>
      </c>
      <c r="AC115" s="105">
        <f ca="1">IFERROR(IF(AND( OR(COUNTIF(I114:X115, "&gt;0")&gt;=$AJ$1, AA114&gt;=$AJ$4),AN114&lt;60,AA114&lt;=$AH$5),ROUNDDOWN(ROUNDDOWN(AA114,-3)*$AH$4%,-1),IF(AND(COUNTIF(I114:X115,"&gt;0")&gt;=$AJ$1,AN114&lt;60,AA114&gt;$AH$5),$AJ$5,0)),0)</f>
        <v>0</v>
      </c>
      <c r="AD115" s="106">
        <f>IF(Z114&gt;=$AJ$1,ROUNDDOWN(AD114*$AH$3%/($AH$2*2%),-1),0)</f>
        <v>0</v>
      </c>
      <c r="AE115" s="266"/>
      <c r="AF115" s="266"/>
      <c r="AG115" s="222"/>
      <c r="AH115" s="222"/>
      <c r="AI115" s="222"/>
      <c r="AJ115" s="222"/>
      <c r="AK115" s="250"/>
      <c r="AL115" s="250"/>
      <c r="AM115" s="251"/>
      <c r="AN115" s="252"/>
      <c r="AO115" s="266"/>
      <c r="AP115" s="107">
        <f t="shared" ref="AP115:BE115" si="256">IF($H114*I115&gt;150000,ROUNDDOWN(($H114*I115-150000)*6%*45%,0),0)</f>
        <v>0</v>
      </c>
      <c r="AQ115" s="108">
        <f t="shared" si="256"/>
        <v>0</v>
      </c>
      <c r="AR115" s="108">
        <f t="shared" si="256"/>
        <v>0</v>
      </c>
      <c r="AS115" s="108">
        <f t="shared" si="256"/>
        <v>0</v>
      </c>
      <c r="AT115" s="108">
        <f t="shared" si="256"/>
        <v>0</v>
      </c>
      <c r="AU115" s="108">
        <f t="shared" si="256"/>
        <v>0</v>
      </c>
      <c r="AV115" s="108">
        <f t="shared" si="256"/>
        <v>0</v>
      </c>
      <c r="AW115" s="108">
        <f t="shared" si="256"/>
        <v>0</v>
      </c>
      <c r="AX115" s="108">
        <f t="shared" si="256"/>
        <v>0</v>
      </c>
      <c r="AY115" s="108">
        <f t="shared" si="256"/>
        <v>0</v>
      </c>
      <c r="AZ115" s="108">
        <f t="shared" si="256"/>
        <v>0</v>
      </c>
      <c r="BA115" s="108">
        <f t="shared" si="256"/>
        <v>0</v>
      </c>
      <c r="BB115" s="108">
        <f t="shared" si="256"/>
        <v>0</v>
      </c>
      <c r="BC115" s="108">
        <f t="shared" si="256"/>
        <v>0</v>
      </c>
      <c r="BD115" s="108">
        <f t="shared" si="256"/>
        <v>0</v>
      </c>
      <c r="BE115" s="109">
        <f t="shared" si="256"/>
        <v>0</v>
      </c>
      <c r="BG115" s="222"/>
      <c r="BH115" s="222"/>
      <c r="BI115" s="222"/>
      <c r="BJ115" s="248"/>
      <c r="BK115" s="265"/>
      <c r="BL115" s="222"/>
      <c r="BM115" s="249"/>
      <c r="BN115" s="265"/>
      <c r="BO115" s="222"/>
      <c r="BP115" s="222"/>
      <c r="BQ115" s="265"/>
      <c r="BR115" s="265"/>
      <c r="BS115" s="265"/>
      <c r="BT115" s="244"/>
      <c r="BU115" s="222"/>
      <c r="BV115" s="244"/>
      <c r="BW115" s="222"/>
    </row>
    <row r="116" spans="1:75" outlineLevel="1">
      <c r="A116" s="221">
        <v>57</v>
      </c>
      <c r="B116" s="222" t="str">
        <f>IF(LEN(D116)&gt;1,IF(VALUE(MID(RIGHT(D116,7),1,1))&gt;4,"외국인",IF(VALUE(RIGHT(11-MOD((MID(D116,1,1)*2+MID(D116,2,1)*3+MID(D116,3,1)*4+MID(D116,4,1)*5+MID(D116,5,1)*6+MID(D116,6,1)*7+MID(RIGHT(D116,7),1,1)*8+MID(RIGHT(D116,7),2,1)*9+MID(RIGHT(D116,7),3,1)*2+MID(RIGHT(D116,7),4,1)*3+MID(RIGHT(D116,7),5,1)*4+MID(RIGHT(D116,7),6,1)*5),11),1))=VALUE(RIGHT(D116,1)),"","오류")),"")</f>
        <v/>
      </c>
      <c r="C116" s="222"/>
      <c r="D116" s="225"/>
      <c r="E116" s="222"/>
      <c r="F116" s="222"/>
      <c r="G116" s="222"/>
      <c r="H116" s="266"/>
      <c r="I116" s="89"/>
      <c r="J116" s="90"/>
      <c r="K116" s="90"/>
      <c r="L116" s="90"/>
      <c r="M116" s="90"/>
      <c r="N116" s="90"/>
      <c r="O116" s="90"/>
      <c r="P116" s="90"/>
      <c r="Q116" s="90"/>
      <c r="R116" s="90"/>
      <c r="S116" s="91"/>
      <c r="T116" s="91"/>
      <c r="U116" s="90"/>
      <c r="V116" s="90"/>
      <c r="W116" s="92"/>
      <c r="X116" s="93"/>
      <c r="Y116" s="264">
        <f>SUM(I116:X117)</f>
        <v>0</v>
      </c>
      <c r="Z116" s="222">
        <f>COUNTIF(I116:X117,"&gt;0")</f>
        <v>0</v>
      </c>
      <c r="AA116" s="266">
        <f>H116*Y116</f>
        <v>0</v>
      </c>
      <c r="AB116" s="94">
        <f>IF(AO116&lt;1000, 0, AO116)</f>
        <v>0</v>
      </c>
      <c r="AC116" s="95">
        <f ca="1">IF(IFERROR($AN116&lt;65,FALSE), IF(B116&lt;&gt;"외국인", ROUNDDOWN(AA116*$AH$1%,-1), IF(AND(AM116&lt;&gt;"", ISNUMBER(SEARCH(LEFT(SUBSTITUTE(AM116, "-",""),2), "F2_F5_F6"))), ROUNDDOWN(AA116*$AH$1%,-1), 0)),0)</f>
        <v>0</v>
      </c>
      <c r="AD116" s="96">
        <f>IF(Z116&gt;=$AJ$1,ROUNDDOWN(AA116*$AH$2%,-1),0)</f>
        <v>0</v>
      </c>
      <c r="AE116" s="266">
        <f ca="1">AB116+AC116+AB117+AC117+AD116+AD117</f>
        <v>0</v>
      </c>
      <c r="AF116" s="266">
        <f ca="1">AA116-AE116</f>
        <v>0</v>
      </c>
      <c r="AG116" s="222"/>
      <c r="AH116" s="222"/>
      <c r="AI116" s="222"/>
      <c r="AJ116" s="222"/>
      <c r="AK116" s="250"/>
      <c r="AL116" s="250"/>
      <c r="AM116" s="251"/>
      <c r="AN116" s="252" t="str">
        <f ca="1">IFERROR(DATEDIF(DATE(IF(ISNUMBER(FIND(MID( SUBSTITUTE(D116, "-",""), 7, 1), "3478")), 2000, 1900)+MID(D116,1,2), MID(D116,3,2), MID(D116,5,2)), TODAY(), "Y"),"")</f>
        <v/>
      </c>
      <c r="AO116" s="266">
        <f>ROUNDDOWN(SUM(AP116:BE117),-1)</f>
        <v>0</v>
      </c>
      <c r="AP116" s="97">
        <f t="shared" ref="AP116:BD116" si="257">IF($H116*I116&gt;150000,ROUNDDOWN(($H116*I116-150000)*6%*45%,0),0)</f>
        <v>0</v>
      </c>
      <c r="AQ116" s="98">
        <f t="shared" si="257"/>
        <v>0</v>
      </c>
      <c r="AR116" s="98">
        <f t="shared" si="257"/>
        <v>0</v>
      </c>
      <c r="AS116" s="98">
        <f t="shared" si="257"/>
        <v>0</v>
      </c>
      <c r="AT116" s="98">
        <f t="shared" si="257"/>
        <v>0</v>
      </c>
      <c r="AU116" s="98">
        <f t="shared" si="257"/>
        <v>0</v>
      </c>
      <c r="AV116" s="98">
        <f t="shared" si="257"/>
        <v>0</v>
      </c>
      <c r="AW116" s="98">
        <f t="shared" si="257"/>
        <v>0</v>
      </c>
      <c r="AX116" s="98">
        <f t="shared" si="257"/>
        <v>0</v>
      </c>
      <c r="AY116" s="98">
        <f t="shared" si="257"/>
        <v>0</v>
      </c>
      <c r="AZ116" s="98">
        <f t="shared" si="257"/>
        <v>0</v>
      </c>
      <c r="BA116" s="98">
        <f t="shared" si="257"/>
        <v>0</v>
      </c>
      <c r="BB116" s="98">
        <f t="shared" si="257"/>
        <v>0</v>
      </c>
      <c r="BC116" s="98">
        <f t="shared" si="257"/>
        <v>0</v>
      </c>
      <c r="BD116" s="99">
        <f t="shared" si="257"/>
        <v>0</v>
      </c>
      <c r="BE116" s="100"/>
      <c r="BG116" s="222">
        <f t="shared" ref="BG116" si="258">C116</f>
        <v>0</v>
      </c>
      <c r="BH116" s="222"/>
      <c r="BI116" s="222"/>
      <c r="BJ116" s="269"/>
      <c r="BK116" s="265"/>
      <c r="BL116" s="222"/>
      <c r="BM116" s="249">
        <f t="shared" si="227"/>
        <v>0</v>
      </c>
      <c r="BN116" s="265"/>
      <c r="BO116" s="222"/>
      <c r="BP116" s="222"/>
      <c r="BQ116" s="265"/>
      <c r="BR116" s="265"/>
      <c r="BS116" s="265"/>
      <c r="BT116" s="244"/>
      <c r="BU116" s="222"/>
      <c r="BV116" s="244">
        <f t="shared" si="228"/>
        <v>0</v>
      </c>
      <c r="BW116" s="222"/>
    </row>
    <row r="117" spans="1:75" outlineLevel="1">
      <c r="A117" s="221"/>
      <c r="B117" s="222"/>
      <c r="C117" s="222"/>
      <c r="D117" s="225"/>
      <c r="E117" s="222"/>
      <c r="F117" s="222"/>
      <c r="G117" s="222"/>
      <c r="H117" s="266"/>
      <c r="I117" s="101"/>
      <c r="J117" s="102"/>
      <c r="K117" s="102"/>
      <c r="L117" s="102"/>
      <c r="M117" s="102"/>
      <c r="N117" s="102"/>
      <c r="O117" s="102"/>
      <c r="P117" s="102"/>
      <c r="Q117" s="102"/>
      <c r="R117" s="102"/>
      <c r="S117" s="102"/>
      <c r="T117" s="102"/>
      <c r="U117" s="102"/>
      <c r="V117" s="102"/>
      <c r="W117" s="102"/>
      <c r="X117" s="103"/>
      <c r="Y117" s="264"/>
      <c r="Z117" s="222"/>
      <c r="AA117" s="266"/>
      <c r="AB117" s="104">
        <f>ROUNDDOWN(AB116*10%,-1)</f>
        <v>0</v>
      </c>
      <c r="AC117" s="105">
        <f ca="1">IFERROR(IF(AND( OR(COUNTIF(I116:X117, "&gt;0")&gt;=$AJ$1, AA116&gt;=$AJ$4),AN116&lt;60,AA116&lt;=$AH$5),ROUNDDOWN(ROUNDDOWN(AA116,-3)*$AH$4%,-1),IF(AND(COUNTIF(I116:X117,"&gt;0")&gt;=$AJ$1,AN116&lt;60,AA116&gt;$AH$5),$AJ$5,0)),0)</f>
        <v>0</v>
      </c>
      <c r="AD117" s="106">
        <f>IF(Z116&gt;=$AJ$1,ROUNDDOWN(AD116*$AH$3%/($AH$2*2%),-1),0)</f>
        <v>0</v>
      </c>
      <c r="AE117" s="266"/>
      <c r="AF117" s="266"/>
      <c r="AG117" s="222"/>
      <c r="AH117" s="222"/>
      <c r="AI117" s="222"/>
      <c r="AJ117" s="222"/>
      <c r="AK117" s="250"/>
      <c r="AL117" s="250"/>
      <c r="AM117" s="251"/>
      <c r="AN117" s="252"/>
      <c r="AO117" s="266"/>
      <c r="AP117" s="107">
        <f t="shared" ref="AP117:BE117" si="259">IF($H116*I117&gt;150000,ROUNDDOWN(($H116*I117-150000)*6%*45%,0),0)</f>
        <v>0</v>
      </c>
      <c r="AQ117" s="108">
        <f t="shared" si="259"/>
        <v>0</v>
      </c>
      <c r="AR117" s="108">
        <f t="shared" si="259"/>
        <v>0</v>
      </c>
      <c r="AS117" s="108">
        <f t="shared" si="259"/>
        <v>0</v>
      </c>
      <c r="AT117" s="108">
        <f t="shared" si="259"/>
        <v>0</v>
      </c>
      <c r="AU117" s="108">
        <f t="shared" si="259"/>
        <v>0</v>
      </c>
      <c r="AV117" s="108">
        <f t="shared" si="259"/>
        <v>0</v>
      </c>
      <c r="AW117" s="108">
        <f t="shared" si="259"/>
        <v>0</v>
      </c>
      <c r="AX117" s="108">
        <f t="shared" si="259"/>
        <v>0</v>
      </c>
      <c r="AY117" s="108">
        <f t="shared" si="259"/>
        <v>0</v>
      </c>
      <c r="AZ117" s="108">
        <f t="shared" si="259"/>
        <v>0</v>
      </c>
      <c r="BA117" s="108">
        <f t="shared" si="259"/>
        <v>0</v>
      </c>
      <c r="BB117" s="108">
        <f t="shared" si="259"/>
        <v>0</v>
      </c>
      <c r="BC117" s="108">
        <f t="shared" si="259"/>
        <v>0</v>
      </c>
      <c r="BD117" s="108">
        <f t="shared" si="259"/>
        <v>0</v>
      </c>
      <c r="BE117" s="109">
        <f t="shared" si="259"/>
        <v>0</v>
      </c>
      <c r="BG117" s="222"/>
      <c r="BH117" s="222"/>
      <c r="BI117" s="222"/>
      <c r="BJ117" s="269"/>
      <c r="BK117" s="265"/>
      <c r="BL117" s="222"/>
      <c r="BM117" s="249"/>
      <c r="BN117" s="265"/>
      <c r="BO117" s="222"/>
      <c r="BP117" s="222"/>
      <c r="BQ117" s="265"/>
      <c r="BR117" s="265"/>
      <c r="BS117" s="265"/>
      <c r="BT117" s="244"/>
      <c r="BU117" s="222"/>
      <c r="BV117" s="244"/>
      <c r="BW117" s="222"/>
    </row>
    <row r="118" spans="1:75" outlineLevel="1">
      <c r="A118" s="221">
        <v>58</v>
      </c>
      <c r="B118" s="222" t="str">
        <f>IF(LEN(D118)&gt;1,IF(VALUE(MID(RIGHT(D118,7),1,1))&gt;4,"외국인",IF(VALUE(RIGHT(11-MOD((MID(D118,1,1)*2+MID(D118,2,1)*3+MID(D118,3,1)*4+MID(D118,4,1)*5+MID(D118,5,1)*6+MID(D118,6,1)*7+MID(RIGHT(D118,7),1,1)*8+MID(RIGHT(D118,7),2,1)*9+MID(RIGHT(D118,7),3,1)*2+MID(RIGHT(D118,7),4,1)*3+MID(RIGHT(D118,7),5,1)*4+MID(RIGHT(D118,7),6,1)*5),11),1))=VALUE(RIGHT(D118,1)),"","오류")),"")</f>
        <v/>
      </c>
      <c r="C118" s="222"/>
      <c r="D118" s="225"/>
      <c r="E118" s="222"/>
      <c r="F118" s="222"/>
      <c r="G118" s="222"/>
      <c r="H118" s="266"/>
      <c r="I118" s="89"/>
      <c r="J118" s="90"/>
      <c r="K118" s="90"/>
      <c r="L118" s="90"/>
      <c r="M118" s="90"/>
      <c r="N118" s="90"/>
      <c r="O118" s="90"/>
      <c r="P118" s="90"/>
      <c r="Q118" s="90"/>
      <c r="R118" s="90"/>
      <c r="S118" s="91"/>
      <c r="T118" s="91"/>
      <c r="U118" s="90"/>
      <c r="V118" s="90"/>
      <c r="W118" s="92"/>
      <c r="X118" s="93"/>
      <c r="Y118" s="264">
        <f>SUM(I118:X119)</f>
        <v>0</v>
      </c>
      <c r="Z118" s="222">
        <f>COUNTIF(I118:X119,"&gt;0")</f>
        <v>0</v>
      </c>
      <c r="AA118" s="266">
        <f>H118*Y118</f>
        <v>0</v>
      </c>
      <c r="AB118" s="94">
        <f>IF(AO118&lt;1000, 0, AO118)</f>
        <v>0</v>
      </c>
      <c r="AC118" s="95">
        <f ca="1">IF(IFERROR($AN118&lt;65,FALSE), IF(B118&lt;&gt;"외국인", ROUNDDOWN(AA118*$AH$1%,-1), IF(AND(AM118&lt;&gt;"", ISNUMBER(SEARCH(LEFT(SUBSTITUTE(AM118, "-",""),2), "F2_F5_F6"))), ROUNDDOWN(AA118*$AH$1%,-1), 0)),0)</f>
        <v>0</v>
      </c>
      <c r="AD118" s="96">
        <f>IF(Z118&gt;=$AJ$1,ROUNDDOWN(AA118*$AH$2%,-1),0)</f>
        <v>0</v>
      </c>
      <c r="AE118" s="266">
        <f ca="1">AB118+AC118+AB119+AC119+AD118+AD119</f>
        <v>0</v>
      </c>
      <c r="AF118" s="266">
        <f ca="1">AA118-AE118</f>
        <v>0</v>
      </c>
      <c r="AG118" s="222"/>
      <c r="AH118" s="222"/>
      <c r="AI118" s="222"/>
      <c r="AJ118" s="222"/>
      <c r="AK118" s="250"/>
      <c r="AL118" s="250"/>
      <c r="AM118" s="251"/>
      <c r="AN118" s="252" t="str">
        <f ca="1">IFERROR(DATEDIF(DATE(IF(ISNUMBER(FIND(MID( SUBSTITUTE(D118, "-",""), 7, 1), "3478")), 2000, 1900)+MID(D118,1,2), MID(D118,3,2), MID(D118,5,2)), TODAY(), "Y"),"")</f>
        <v/>
      </c>
      <c r="AO118" s="266">
        <f>ROUNDDOWN(SUM(AP118:BE119),-1)</f>
        <v>0</v>
      </c>
      <c r="AP118" s="97">
        <f t="shared" ref="AP118:BD118" si="260">IF($H118*I118&gt;150000,ROUNDDOWN(($H118*I118-150000)*6%*45%,0),0)</f>
        <v>0</v>
      </c>
      <c r="AQ118" s="98">
        <f t="shared" si="260"/>
        <v>0</v>
      </c>
      <c r="AR118" s="98">
        <f t="shared" si="260"/>
        <v>0</v>
      </c>
      <c r="AS118" s="98">
        <f t="shared" si="260"/>
        <v>0</v>
      </c>
      <c r="AT118" s="98">
        <f t="shared" si="260"/>
        <v>0</v>
      </c>
      <c r="AU118" s="98">
        <f t="shared" si="260"/>
        <v>0</v>
      </c>
      <c r="AV118" s="98">
        <f t="shared" si="260"/>
        <v>0</v>
      </c>
      <c r="AW118" s="98">
        <f t="shared" si="260"/>
        <v>0</v>
      </c>
      <c r="AX118" s="98">
        <f t="shared" si="260"/>
        <v>0</v>
      </c>
      <c r="AY118" s="98">
        <f t="shared" si="260"/>
        <v>0</v>
      </c>
      <c r="AZ118" s="98">
        <f t="shared" si="260"/>
        <v>0</v>
      </c>
      <c r="BA118" s="98">
        <f t="shared" si="260"/>
        <v>0</v>
      </c>
      <c r="BB118" s="98">
        <f t="shared" si="260"/>
        <v>0</v>
      </c>
      <c r="BC118" s="98">
        <f t="shared" si="260"/>
        <v>0</v>
      </c>
      <c r="BD118" s="99">
        <f t="shared" si="260"/>
        <v>0</v>
      </c>
      <c r="BE118" s="100"/>
      <c r="BG118" s="222">
        <f t="shared" ref="BG118" si="261">C118</f>
        <v>0</v>
      </c>
      <c r="BH118" s="222"/>
      <c r="BI118" s="222"/>
      <c r="BJ118" s="248"/>
      <c r="BK118" s="265"/>
      <c r="BL118" s="222"/>
      <c r="BM118" s="249">
        <f t="shared" si="227"/>
        <v>0</v>
      </c>
      <c r="BN118" s="265"/>
      <c r="BO118" s="222"/>
      <c r="BP118" s="222"/>
      <c r="BQ118" s="265"/>
      <c r="BR118" s="265"/>
      <c r="BS118" s="265"/>
      <c r="BT118" s="244"/>
      <c r="BU118" s="222"/>
      <c r="BV118" s="244">
        <f t="shared" si="228"/>
        <v>0</v>
      </c>
      <c r="BW118" s="222"/>
    </row>
    <row r="119" spans="1:75" outlineLevel="1">
      <c r="A119" s="221"/>
      <c r="B119" s="222"/>
      <c r="C119" s="222"/>
      <c r="D119" s="225"/>
      <c r="E119" s="222"/>
      <c r="F119" s="222"/>
      <c r="G119" s="222"/>
      <c r="H119" s="266"/>
      <c r="I119" s="101"/>
      <c r="J119" s="102"/>
      <c r="K119" s="102"/>
      <c r="L119" s="102"/>
      <c r="M119" s="102"/>
      <c r="N119" s="102"/>
      <c r="O119" s="102"/>
      <c r="P119" s="102"/>
      <c r="Q119" s="102"/>
      <c r="R119" s="102"/>
      <c r="S119" s="102"/>
      <c r="T119" s="102"/>
      <c r="U119" s="102"/>
      <c r="V119" s="102"/>
      <c r="W119" s="102"/>
      <c r="X119" s="103"/>
      <c r="Y119" s="264"/>
      <c r="Z119" s="222"/>
      <c r="AA119" s="266"/>
      <c r="AB119" s="104">
        <f>ROUNDDOWN(AB118*10%,-1)</f>
        <v>0</v>
      </c>
      <c r="AC119" s="105">
        <f ca="1">IFERROR(IF(AND( OR(COUNTIF(I118:X119, "&gt;0")&gt;=$AJ$1, AA118&gt;=$AJ$4),AN118&lt;60,AA118&lt;=$AH$5),ROUNDDOWN(ROUNDDOWN(AA118,-3)*$AH$4%,-1),IF(AND(COUNTIF(I118:X119,"&gt;0")&gt;=$AJ$1,AN118&lt;60,AA118&gt;$AH$5),$AJ$5,0)),0)</f>
        <v>0</v>
      </c>
      <c r="AD119" s="106">
        <f>IF(Z118&gt;=$AJ$1,ROUNDDOWN(AD118*$AH$3%/($AH$2*2%),-1),0)</f>
        <v>0</v>
      </c>
      <c r="AE119" s="266"/>
      <c r="AF119" s="266"/>
      <c r="AG119" s="222"/>
      <c r="AH119" s="222"/>
      <c r="AI119" s="222"/>
      <c r="AJ119" s="222"/>
      <c r="AK119" s="250"/>
      <c r="AL119" s="250"/>
      <c r="AM119" s="251"/>
      <c r="AN119" s="252"/>
      <c r="AO119" s="266"/>
      <c r="AP119" s="107">
        <f t="shared" ref="AP119:BE119" si="262">IF($H118*I119&gt;150000,ROUNDDOWN(($H118*I119-150000)*6%*45%,0),0)</f>
        <v>0</v>
      </c>
      <c r="AQ119" s="108">
        <f t="shared" si="262"/>
        <v>0</v>
      </c>
      <c r="AR119" s="108">
        <f t="shared" si="262"/>
        <v>0</v>
      </c>
      <c r="AS119" s="108">
        <f t="shared" si="262"/>
        <v>0</v>
      </c>
      <c r="AT119" s="108">
        <f t="shared" si="262"/>
        <v>0</v>
      </c>
      <c r="AU119" s="108">
        <f t="shared" si="262"/>
        <v>0</v>
      </c>
      <c r="AV119" s="108">
        <f t="shared" si="262"/>
        <v>0</v>
      </c>
      <c r="AW119" s="108">
        <f t="shared" si="262"/>
        <v>0</v>
      </c>
      <c r="AX119" s="108">
        <f t="shared" si="262"/>
        <v>0</v>
      </c>
      <c r="AY119" s="108">
        <f t="shared" si="262"/>
        <v>0</v>
      </c>
      <c r="AZ119" s="108">
        <f t="shared" si="262"/>
        <v>0</v>
      </c>
      <c r="BA119" s="108">
        <f t="shared" si="262"/>
        <v>0</v>
      </c>
      <c r="BB119" s="108">
        <f t="shared" si="262"/>
        <v>0</v>
      </c>
      <c r="BC119" s="108">
        <f t="shared" si="262"/>
        <v>0</v>
      </c>
      <c r="BD119" s="108">
        <f t="shared" si="262"/>
        <v>0</v>
      </c>
      <c r="BE119" s="109">
        <f t="shared" si="262"/>
        <v>0</v>
      </c>
      <c r="BG119" s="222"/>
      <c r="BH119" s="222"/>
      <c r="BI119" s="222"/>
      <c r="BJ119" s="248"/>
      <c r="BK119" s="265"/>
      <c r="BL119" s="222"/>
      <c r="BM119" s="249"/>
      <c r="BN119" s="265"/>
      <c r="BO119" s="222"/>
      <c r="BP119" s="222"/>
      <c r="BQ119" s="265"/>
      <c r="BR119" s="265"/>
      <c r="BS119" s="265"/>
      <c r="BT119" s="244"/>
      <c r="BU119" s="222"/>
      <c r="BV119" s="244"/>
      <c r="BW119" s="222"/>
    </row>
    <row r="120" spans="1:75" outlineLevel="1">
      <c r="A120" s="221">
        <v>59</v>
      </c>
      <c r="B120" s="222" t="str">
        <f>IF(LEN(D120)&gt;1,IF(VALUE(MID(RIGHT(D120,7),1,1))&gt;4,"외국인",IF(VALUE(RIGHT(11-MOD((MID(D120,1,1)*2+MID(D120,2,1)*3+MID(D120,3,1)*4+MID(D120,4,1)*5+MID(D120,5,1)*6+MID(D120,6,1)*7+MID(RIGHT(D120,7),1,1)*8+MID(RIGHT(D120,7),2,1)*9+MID(RIGHT(D120,7),3,1)*2+MID(RIGHT(D120,7),4,1)*3+MID(RIGHT(D120,7),5,1)*4+MID(RIGHT(D120,7),6,1)*5),11),1))=VALUE(RIGHT(D120,1)),"","오류")),"")</f>
        <v/>
      </c>
      <c r="C120" s="222"/>
      <c r="D120" s="225"/>
      <c r="E120" s="222"/>
      <c r="F120" s="222"/>
      <c r="G120" s="222"/>
      <c r="H120" s="266"/>
      <c r="I120" s="89"/>
      <c r="J120" s="90"/>
      <c r="K120" s="90"/>
      <c r="L120" s="90"/>
      <c r="M120" s="90"/>
      <c r="N120" s="90"/>
      <c r="O120" s="90"/>
      <c r="P120" s="90"/>
      <c r="Q120" s="90"/>
      <c r="R120" s="90"/>
      <c r="S120" s="91"/>
      <c r="T120" s="91"/>
      <c r="U120" s="90"/>
      <c r="V120" s="90"/>
      <c r="W120" s="92"/>
      <c r="X120" s="93"/>
      <c r="Y120" s="264">
        <f>SUM(I120:X121)</f>
        <v>0</v>
      </c>
      <c r="Z120" s="222">
        <f>COUNTIF(I120:X121,"&gt;0")</f>
        <v>0</v>
      </c>
      <c r="AA120" s="266">
        <f>H120*Y120</f>
        <v>0</v>
      </c>
      <c r="AB120" s="94">
        <f>IF(AO120&lt;1000, 0, AO120)</f>
        <v>0</v>
      </c>
      <c r="AC120" s="95">
        <f ca="1">IF(IFERROR($AN120&lt;65,FALSE), IF(B120&lt;&gt;"외국인", ROUNDDOWN(AA120*$AH$1%,-1), IF(AND(AM120&lt;&gt;"", ISNUMBER(SEARCH(LEFT(SUBSTITUTE(AM120, "-",""),2), "F2_F5_F6"))), ROUNDDOWN(AA120*$AH$1%,-1), 0)),0)</f>
        <v>0</v>
      </c>
      <c r="AD120" s="96">
        <f>IF(Z120&gt;=$AJ$1,ROUNDDOWN(AA120*$AH$2%,-1),0)</f>
        <v>0</v>
      </c>
      <c r="AE120" s="266">
        <f ca="1">AB120+AC120+AB121+AC121+AD120+AD121</f>
        <v>0</v>
      </c>
      <c r="AF120" s="266">
        <f ca="1">AA120-AE120</f>
        <v>0</v>
      </c>
      <c r="AG120" s="222"/>
      <c r="AH120" s="222"/>
      <c r="AI120" s="222"/>
      <c r="AJ120" s="222"/>
      <c r="AK120" s="250"/>
      <c r="AL120" s="250"/>
      <c r="AM120" s="251"/>
      <c r="AN120" s="252" t="str">
        <f ca="1">IFERROR(DATEDIF(DATE(IF(ISNUMBER(FIND(MID( SUBSTITUTE(D120, "-",""), 7, 1), "3478")), 2000, 1900)+MID(D120,1,2), MID(D120,3,2), MID(D120,5,2)), TODAY(), "Y"),"")</f>
        <v/>
      </c>
      <c r="AO120" s="266">
        <f>ROUNDDOWN(SUM(AP120:BE121),-1)</f>
        <v>0</v>
      </c>
      <c r="AP120" s="97">
        <f t="shared" ref="AP120:BD120" si="263">IF($H120*I120&gt;150000,ROUNDDOWN(($H120*I120-150000)*6%*45%,0),0)</f>
        <v>0</v>
      </c>
      <c r="AQ120" s="98">
        <f t="shared" si="263"/>
        <v>0</v>
      </c>
      <c r="AR120" s="98">
        <f t="shared" si="263"/>
        <v>0</v>
      </c>
      <c r="AS120" s="98">
        <f t="shared" si="263"/>
        <v>0</v>
      </c>
      <c r="AT120" s="98">
        <f t="shared" si="263"/>
        <v>0</v>
      </c>
      <c r="AU120" s="98">
        <f t="shared" si="263"/>
        <v>0</v>
      </c>
      <c r="AV120" s="98">
        <f t="shared" si="263"/>
        <v>0</v>
      </c>
      <c r="AW120" s="98">
        <f t="shared" si="263"/>
        <v>0</v>
      </c>
      <c r="AX120" s="98">
        <f t="shared" si="263"/>
        <v>0</v>
      </c>
      <c r="AY120" s="98">
        <f t="shared" si="263"/>
        <v>0</v>
      </c>
      <c r="AZ120" s="98">
        <f t="shared" si="263"/>
        <v>0</v>
      </c>
      <c r="BA120" s="98">
        <f t="shared" si="263"/>
        <v>0</v>
      </c>
      <c r="BB120" s="98">
        <f t="shared" si="263"/>
        <v>0</v>
      </c>
      <c r="BC120" s="98">
        <f t="shared" si="263"/>
        <v>0</v>
      </c>
      <c r="BD120" s="99">
        <f t="shared" si="263"/>
        <v>0</v>
      </c>
      <c r="BE120" s="100"/>
      <c r="BG120" s="222">
        <f t="shared" ref="BG120" si="264">C120</f>
        <v>0</v>
      </c>
      <c r="BH120" s="222"/>
      <c r="BI120" s="222"/>
      <c r="BJ120" s="248"/>
      <c r="BK120" s="265"/>
      <c r="BL120" s="222"/>
      <c r="BM120" s="249">
        <f t="shared" si="227"/>
        <v>0</v>
      </c>
      <c r="BN120" s="265"/>
      <c r="BO120" s="222"/>
      <c r="BP120" s="222"/>
      <c r="BQ120" s="265"/>
      <c r="BR120" s="265"/>
      <c r="BS120" s="265"/>
      <c r="BT120" s="244"/>
      <c r="BU120" s="222"/>
      <c r="BV120" s="244">
        <f t="shared" si="228"/>
        <v>0</v>
      </c>
      <c r="BW120" s="222"/>
    </row>
    <row r="121" spans="1:75" outlineLevel="1">
      <c r="A121" s="221"/>
      <c r="B121" s="222"/>
      <c r="C121" s="222"/>
      <c r="D121" s="225"/>
      <c r="E121" s="222"/>
      <c r="F121" s="222"/>
      <c r="G121" s="222"/>
      <c r="H121" s="266"/>
      <c r="I121" s="101"/>
      <c r="J121" s="102"/>
      <c r="K121" s="102"/>
      <c r="L121" s="102"/>
      <c r="M121" s="102"/>
      <c r="N121" s="102"/>
      <c r="O121" s="102"/>
      <c r="P121" s="102"/>
      <c r="Q121" s="102"/>
      <c r="R121" s="102"/>
      <c r="S121" s="102"/>
      <c r="T121" s="102"/>
      <c r="U121" s="102"/>
      <c r="V121" s="102"/>
      <c r="W121" s="102"/>
      <c r="X121" s="103"/>
      <c r="Y121" s="264"/>
      <c r="Z121" s="222"/>
      <c r="AA121" s="266"/>
      <c r="AB121" s="104">
        <f>ROUNDDOWN(AB120*10%,-1)</f>
        <v>0</v>
      </c>
      <c r="AC121" s="105">
        <f ca="1">IFERROR(IF(AND( OR(COUNTIF(I120:X121, "&gt;0")&gt;=$AJ$1, AA120&gt;=$AJ$4),AN120&lt;60,AA120&lt;=$AH$5),ROUNDDOWN(ROUNDDOWN(AA120,-3)*$AH$4%,-1),IF(AND(COUNTIF(I120:X121,"&gt;0")&gt;=$AJ$1,AN120&lt;60,AA120&gt;$AH$5),$AJ$5,0)),0)</f>
        <v>0</v>
      </c>
      <c r="AD121" s="106">
        <f>IF(Z120&gt;=$AJ$1,ROUNDDOWN(AD120*$AH$3%/($AH$2*2%),-1),0)</f>
        <v>0</v>
      </c>
      <c r="AE121" s="266"/>
      <c r="AF121" s="266"/>
      <c r="AG121" s="222"/>
      <c r="AH121" s="222"/>
      <c r="AI121" s="222"/>
      <c r="AJ121" s="222"/>
      <c r="AK121" s="250"/>
      <c r="AL121" s="250"/>
      <c r="AM121" s="251"/>
      <c r="AN121" s="252"/>
      <c r="AO121" s="266"/>
      <c r="AP121" s="107">
        <f t="shared" ref="AP121:BE121" si="265">IF($H120*I121&gt;150000,ROUNDDOWN(($H120*I121-150000)*6%*45%,0),0)</f>
        <v>0</v>
      </c>
      <c r="AQ121" s="108">
        <f t="shared" si="265"/>
        <v>0</v>
      </c>
      <c r="AR121" s="108">
        <f t="shared" si="265"/>
        <v>0</v>
      </c>
      <c r="AS121" s="108">
        <f t="shared" si="265"/>
        <v>0</v>
      </c>
      <c r="AT121" s="108">
        <f t="shared" si="265"/>
        <v>0</v>
      </c>
      <c r="AU121" s="108">
        <f t="shared" si="265"/>
        <v>0</v>
      </c>
      <c r="AV121" s="108">
        <f t="shared" si="265"/>
        <v>0</v>
      </c>
      <c r="AW121" s="108">
        <f t="shared" si="265"/>
        <v>0</v>
      </c>
      <c r="AX121" s="108">
        <f t="shared" si="265"/>
        <v>0</v>
      </c>
      <c r="AY121" s="108">
        <f t="shared" si="265"/>
        <v>0</v>
      </c>
      <c r="AZ121" s="108">
        <f t="shared" si="265"/>
        <v>0</v>
      </c>
      <c r="BA121" s="108">
        <f t="shared" si="265"/>
        <v>0</v>
      </c>
      <c r="BB121" s="108">
        <f t="shared" si="265"/>
        <v>0</v>
      </c>
      <c r="BC121" s="108">
        <f t="shared" si="265"/>
        <v>0</v>
      </c>
      <c r="BD121" s="108">
        <f t="shared" si="265"/>
        <v>0</v>
      </c>
      <c r="BE121" s="109">
        <f t="shared" si="265"/>
        <v>0</v>
      </c>
      <c r="BG121" s="222"/>
      <c r="BH121" s="222"/>
      <c r="BI121" s="222"/>
      <c r="BJ121" s="248"/>
      <c r="BK121" s="265"/>
      <c r="BL121" s="222"/>
      <c r="BM121" s="249"/>
      <c r="BN121" s="265"/>
      <c r="BO121" s="222"/>
      <c r="BP121" s="222"/>
      <c r="BQ121" s="265"/>
      <c r="BR121" s="265"/>
      <c r="BS121" s="265"/>
      <c r="BT121" s="244"/>
      <c r="BU121" s="222"/>
      <c r="BV121" s="244"/>
      <c r="BW121" s="222"/>
    </row>
    <row r="122" spans="1:75" outlineLevel="1">
      <c r="A122" s="221">
        <v>60</v>
      </c>
      <c r="B122" s="222" t="str">
        <f>IF(LEN(D122)&gt;1,IF(VALUE(MID(RIGHT(D122,7),1,1))&gt;4,"외국인",IF(VALUE(RIGHT(11-MOD((MID(D122,1,1)*2+MID(D122,2,1)*3+MID(D122,3,1)*4+MID(D122,4,1)*5+MID(D122,5,1)*6+MID(D122,6,1)*7+MID(RIGHT(D122,7),1,1)*8+MID(RIGHT(D122,7),2,1)*9+MID(RIGHT(D122,7),3,1)*2+MID(RIGHT(D122,7),4,1)*3+MID(RIGHT(D122,7),5,1)*4+MID(RIGHT(D122,7),6,1)*5),11),1))=VALUE(RIGHT(D122,1)),"","오류")),"")</f>
        <v/>
      </c>
      <c r="C122" s="222"/>
      <c r="D122" s="225"/>
      <c r="E122" s="222"/>
      <c r="F122" s="222"/>
      <c r="G122" s="222"/>
      <c r="H122" s="266"/>
      <c r="I122" s="89"/>
      <c r="J122" s="90"/>
      <c r="K122" s="90"/>
      <c r="L122" s="90"/>
      <c r="M122" s="90"/>
      <c r="N122" s="90"/>
      <c r="O122" s="90"/>
      <c r="P122" s="90"/>
      <c r="Q122" s="90"/>
      <c r="R122" s="90"/>
      <c r="S122" s="91"/>
      <c r="T122" s="91"/>
      <c r="U122" s="90"/>
      <c r="V122" s="90"/>
      <c r="W122" s="92"/>
      <c r="X122" s="93"/>
      <c r="Y122" s="264">
        <f>SUM(I122:X123)</f>
        <v>0</v>
      </c>
      <c r="Z122" s="222">
        <f>COUNTIF(I122:X123,"&gt;0")</f>
        <v>0</v>
      </c>
      <c r="AA122" s="266">
        <f>H122*Y122</f>
        <v>0</v>
      </c>
      <c r="AB122" s="94">
        <f>IF(AO122&lt;1000, 0, AO122)</f>
        <v>0</v>
      </c>
      <c r="AC122" s="95">
        <f ca="1">IF(IFERROR($AN122&lt;65,FALSE), IF(B122&lt;&gt;"외국인", ROUNDDOWN(AA122*$AH$1%,-1), IF(AND(AM122&lt;&gt;"", ISNUMBER(SEARCH(LEFT(SUBSTITUTE(AM122, "-",""),2), "F2_F5_F6"))), ROUNDDOWN(AA122*$AH$1%,-1), 0)),0)</f>
        <v>0</v>
      </c>
      <c r="AD122" s="96">
        <f>IF(Z122&gt;=$AJ$1,ROUNDDOWN(AA122*$AH$2%,-1),0)</f>
        <v>0</v>
      </c>
      <c r="AE122" s="266">
        <f ca="1">AB122+AC122+AB123+AC123+AD122+AD123</f>
        <v>0</v>
      </c>
      <c r="AF122" s="266">
        <f ca="1">AA122-AE122</f>
        <v>0</v>
      </c>
      <c r="AG122" s="222"/>
      <c r="AH122" s="222"/>
      <c r="AI122" s="222"/>
      <c r="AJ122" s="222"/>
      <c r="AK122" s="250"/>
      <c r="AL122" s="250"/>
      <c r="AM122" s="251"/>
      <c r="AN122" s="252" t="str">
        <f ca="1">IFERROR(DATEDIF(DATE(IF(ISNUMBER(FIND(MID( SUBSTITUTE(D122, "-",""), 7, 1), "3478")), 2000, 1900)+MID(D122,1,2), MID(D122,3,2), MID(D122,5,2)), TODAY(), "Y"),"")</f>
        <v/>
      </c>
      <c r="AO122" s="266">
        <f>ROUNDDOWN(SUM(AP122:BE123),-1)</f>
        <v>0</v>
      </c>
      <c r="AP122" s="97">
        <f t="shared" ref="AP122:BD122" si="266">IF($H122*I122&gt;150000,ROUNDDOWN(($H122*I122-150000)*6%*45%,0),0)</f>
        <v>0</v>
      </c>
      <c r="AQ122" s="98">
        <f t="shared" si="266"/>
        <v>0</v>
      </c>
      <c r="AR122" s="98">
        <f t="shared" si="266"/>
        <v>0</v>
      </c>
      <c r="AS122" s="98">
        <f t="shared" si="266"/>
        <v>0</v>
      </c>
      <c r="AT122" s="98">
        <f t="shared" si="266"/>
        <v>0</v>
      </c>
      <c r="AU122" s="98">
        <f t="shared" si="266"/>
        <v>0</v>
      </c>
      <c r="AV122" s="98">
        <f t="shared" si="266"/>
        <v>0</v>
      </c>
      <c r="AW122" s="98">
        <f t="shared" si="266"/>
        <v>0</v>
      </c>
      <c r="AX122" s="98">
        <f t="shared" si="266"/>
        <v>0</v>
      </c>
      <c r="AY122" s="98">
        <f t="shared" si="266"/>
        <v>0</v>
      </c>
      <c r="AZ122" s="98">
        <f t="shared" si="266"/>
        <v>0</v>
      </c>
      <c r="BA122" s="98">
        <f t="shared" si="266"/>
        <v>0</v>
      </c>
      <c r="BB122" s="98">
        <f t="shared" si="266"/>
        <v>0</v>
      </c>
      <c r="BC122" s="98">
        <f t="shared" si="266"/>
        <v>0</v>
      </c>
      <c r="BD122" s="99">
        <f t="shared" si="266"/>
        <v>0</v>
      </c>
      <c r="BE122" s="100"/>
      <c r="BG122" s="222">
        <f t="shared" ref="BG122" si="267">C122</f>
        <v>0</v>
      </c>
      <c r="BH122" s="222"/>
      <c r="BI122" s="222"/>
      <c r="BJ122" s="248"/>
      <c r="BK122" s="265"/>
      <c r="BL122" s="222"/>
      <c r="BM122" s="249">
        <f t="shared" si="227"/>
        <v>0</v>
      </c>
      <c r="BN122" s="265"/>
      <c r="BO122" s="222"/>
      <c r="BP122" s="222"/>
      <c r="BQ122" s="265"/>
      <c r="BR122" s="265"/>
      <c r="BS122" s="265"/>
      <c r="BT122" s="244"/>
      <c r="BU122" s="222"/>
      <c r="BV122" s="244">
        <f t="shared" si="228"/>
        <v>0</v>
      </c>
      <c r="BW122" s="222"/>
    </row>
    <row r="123" spans="1:75" outlineLevel="1">
      <c r="A123" s="221"/>
      <c r="B123" s="222"/>
      <c r="C123" s="222"/>
      <c r="D123" s="225"/>
      <c r="E123" s="222"/>
      <c r="F123" s="222"/>
      <c r="G123" s="222"/>
      <c r="H123" s="266"/>
      <c r="I123" s="101"/>
      <c r="J123" s="102"/>
      <c r="K123" s="102"/>
      <c r="L123" s="102"/>
      <c r="M123" s="102"/>
      <c r="N123" s="102"/>
      <c r="O123" s="102"/>
      <c r="P123" s="102"/>
      <c r="Q123" s="102"/>
      <c r="R123" s="102"/>
      <c r="S123" s="102"/>
      <c r="T123" s="102"/>
      <c r="U123" s="102"/>
      <c r="V123" s="102"/>
      <c r="W123" s="102"/>
      <c r="X123" s="103"/>
      <c r="Y123" s="264"/>
      <c r="Z123" s="222"/>
      <c r="AA123" s="266"/>
      <c r="AB123" s="104">
        <f>ROUNDDOWN(AB122*10%,-1)</f>
        <v>0</v>
      </c>
      <c r="AC123" s="105">
        <f ca="1">IFERROR(IF(AND( OR(COUNTIF(I122:X123, "&gt;0")&gt;=$AJ$1, AA122&gt;=$AJ$4),AN122&lt;60,AA122&lt;=$AH$5),ROUNDDOWN(ROUNDDOWN(AA122,-3)*$AH$4%,-1),IF(AND(COUNTIF(I122:X123,"&gt;0")&gt;=$AJ$1,AN122&lt;60,AA122&gt;$AH$5),$AJ$5,0)),0)</f>
        <v>0</v>
      </c>
      <c r="AD123" s="106">
        <f>IF(Z122&gt;=$AJ$1,ROUNDDOWN(AD122*$AH$3%/($AH$2*2%),-1),0)</f>
        <v>0</v>
      </c>
      <c r="AE123" s="266"/>
      <c r="AF123" s="266"/>
      <c r="AG123" s="222"/>
      <c r="AH123" s="222"/>
      <c r="AI123" s="222"/>
      <c r="AJ123" s="222"/>
      <c r="AK123" s="250"/>
      <c r="AL123" s="250"/>
      <c r="AM123" s="251"/>
      <c r="AN123" s="252"/>
      <c r="AO123" s="266"/>
      <c r="AP123" s="107">
        <f t="shared" ref="AP123:BE123" si="268">IF($H122*I123&gt;150000,ROUNDDOWN(($H122*I123-150000)*6%*45%,0),0)</f>
        <v>0</v>
      </c>
      <c r="AQ123" s="108">
        <f t="shared" si="268"/>
        <v>0</v>
      </c>
      <c r="AR123" s="108">
        <f t="shared" si="268"/>
        <v>0</v>
      </c>
      <c r="AS123" s="108">
        <f t="shared" si="268"/>
        <v>0</v>
      </c>
      <c r="AT123" s="108">
        <f t="shared" si="268"/>
        <v>0</v>
      </c>
      <c r="AU123" s="108">
        <f t="shared" si="268"/>
        <v>0</v>
      </c>
      <c r="AV123" s="108">
        <f t="shared" si="268"/>
        <v>0</v>
      </c>
      <c r="AW123" s="108">
        <f t="shared" si="268"/>
        <v>0</v>
      </c>
      <c r="AX123" s="108">
        <f t="shared" si="268"/>
        <v>0</v>
      </c>
      <c r="AY123" s="108">
        <f t="shared" si="268"/>
        <v>0</v>
      </c>
      <c r="AZ123" s="108">
        <f t="shared" si="268"/>
        <v>0</v>
      </c>
      <c r="BA123" s="108">
        <f t="shared" si="268"/>
        <v>0</v>
      </c>
      <c r="BB123" s="108">
        <f t="shared" si="268"/>
        <v>0</v>
      </c>
      <c r="BC123" s="108">
        <f t="shared" si="268"/>
        <v>0</v>
      </c>
      <c r="BD123" s="108">
        <f t="shared" si="268"/>
        <v>0</v>
      </c>
      <c r="BE123" s="109">
        <f t="shared" si="268"/>
        <v>0</v>
      </c>
      <c r="BG123" s="222"/>
      <c r="BH123" s="222"/>
      <c r="BI123" s="222"/>
      <c r="BJ123" s="248"/>
      <c r="BK123" s="265"/>
      <c r="BL123" s="222"/>
      <c r="BM123" s="249"/>
      <c r="BN123" s="265"/>
      <c r="BO123" s="222"/>
      <c r="BP123" s="222"/>
      <c r="BQ123" s="265"/>
      <c r="BR123" s="265"/>
      <c r="BS123" s="265"/>
      <c r="BT123" s="244"/>
      <c r="BU123" s="222"/>
      <c r="BV123" s="244"/>
      <c r="BW123" s="222"/>
    </row>
    <row r="124" spans="1:75" outlineLevel="1">
      <c r="A124" s="221">
        <v>61</v>
      </c>
      <c r="B124" s="222" t="str">
        <f>IF(LEN(D124)&gt;1,IF(VALUE(MID(RIGHT(D124,7),1,1))&gt;4,"외국인",IF(VALUE(RIGHT(11-MOD((MID(D124,1,1)*2+MID(D124,2,1)*3+MID(D124,3,1)*4+MID(D124,4,1)*5+MID(D124,5,1)*6+MID(D124,6,1)*7+MID(RIGHT(D124,7),1,1)*8+MID(RIGHT(D124,7),2,1)*9+MID(RIGHT(D124,7),3,1)*2+MID(RIGHT(D124,7),4,1)*3+MID(RIGHT(D124,7),5,1)*4+MID(RIGHT(D124,7),6,1)*5),11),1))=VALUE(RIGHT(D124,1)),"","오류")),"")</f>
        <v/>
      </c>
      <c r="C124" s="222"/>
      <c r="D124" s="225"/>
      <c r="E124" s="222"/>
      <c r="F124" s="222"/>
      <c r="G124" s="222"/>
      <c r="H124" s="266"/>
      <c r="I124" s="89"/>
      <c r="J124" s="90"/>
      <c r="K124" s="90"/>
      <c r="L124" s="90"/>
      <c r="M124" s="90"/>
      <c r="N124" s="90"/>
      <c r="O124" s="90"/>
      <c r="P124" s="90"/>
      <c r="Q124" s="90"/>
      <c r="R124" s="90"/>
      <c r="S124" s="91"/>
      <c r="T124" s="91"/>
      <c r="U124" s="90"/>
      <c r="V124" s="90"/>
      <c r="W124" s="92"/>
      <c r="X124" s="93"/>
      <c r="Y124" s="264">
        <f>SUM(I124:X125)</f>
        <v>0</v>
      </c>
      <c r="Z124" s="222">
        <f>COUNTIF(I124:X125,"&gt;0")</f>
        <v>0</v>
      </c>
      <c r="AA124" s="266">
        <f>H124*Y124</f>
        <v>0</v>
      </c>
      <c r="AB124" s="94">
        <f>IF(AO124&lt;1000, 0, AO124)</f>
        <v>0</v>
      </c>
      <c r="AC124" s="95">
        <f ca="1">IF(IFERROR($AN124&lt;65,FALSE), IF(B124&lt;&gt;"외국인", ROUNDDOWN(AA124*$AH$1%,-1), IF(AND(AM124&lt;&gt;"", ISNUMBER(SEARCH(LEFT(SUBSTITUTE(AM124, "-",""),2), "F2_F5_F6"))), ROUNDDOWN(AA124*$AH$1%,-1), 0)),0)</f>
        <v>0</v>
      </c>
      <c r="AD124" s="96">
        <f>IF(Z124&gt;=$AJ$1,ROUNDDOWN(AA124*$AH$2%,-1),0)</f>
        <v>0</v>
      </c>
      <c r="AE124" s="266">
        <f ca="1">AB124+AC124+AB125+AC125+AD124+AD125</f>
        <v>0</v>
      </c>
      <c r="AF124" s="266">
        <f ca="1">AA124-AE124</f>
        <v>0</v>
      </c>
      <c r="AG124" s="222"/>
      <c r="AH124" s="222"/>
      <c r="AI124" s="222"/>
      <c r="AJ124" s="222"/>
      <c r="AK124" s="250"/>
      <c r="AL124" s="250"/>
      <c r="AM124" s="251"/>
      <c r="AN124" s="252" t="str">
        <f ca="1">IFERROR(DATEDIF(DATE(IF(ISNUMBER(FIND(MID( SUBSTITUTE(D124, "-",""), 7, 1), "3478")), 2000, 1900)+MID(D124,1,2), MID(D124,3,2), MID(D124,5,2)), TODAY(), "Y"),"")</f>
        <v/>
      </c>
      <c r="AO124" s="266">
        <f>ROUNDDOWN(SUM(AP124:BE125),-1)</f>
        <v>0</v>
      </c>
      <c r="AP124" s="97">
        <f t="shared" ref="AP124:BD124" si="269">IF($H124*I124&gt;150000,ROUNDDOWN(($H124*I124-150000)*6%*45%,0),0)</f>
        <v>0</v>
      </c>
      <c r="AQ124" s="98">
        <f t="shared" si="269"/>
        <v>0</v>
      </c>
      <c r="AR124" s="98">
        <f t="shared" si="269"/>
        <v>0</v>
      </c>
      <c r="AS124" s="98">
        <f t="shared" si="269"/>
        <v>0</v>
      </c>
      <c r="AT124" s="98">
        <f t="shared" si="269"/>
        <v>0</v>
      </c>
      <c r="AU124" s="98">
        <f t="shared" si="269"/>
        <v>0</v>
      </c>
      <c r="AV124" s="98">
        <f t="shared" si="269"/>
        <v>0</v>
      </c>
      <c r="AW124" s="98">
        <f t="shared" si="269"/>
        <v>0</v>
      </c>
      <c r="AX124" s="98">
        <f t="shared" si="269"/>
        <v>0</v>
      </c>
      <c r="AY124" s="98">
        <f t="shared" si="269"/>
        <v>0</v>
      </c>
      <c r="AZ124" s="98">
        <f t="shared" si="269"/>
        <v>0</v>
      </c>
      <c r="BA124" s="98">
        <f t="shared" si="269"/>
        <v>0</v>
      </c>
      <c r="BB124" s="98">
        <f t="shared" si="269"/>
        <v>0</v>
      </c>
      <c r="BC124" s="98">
        <f t="shared" si="269"/>
        <v>0</v>
      </c>
      <c r="BD124" s="99">
        <f t="shared" si="269"/>
        <v>0</v>
      </c>
      <c r="BE124" s="100"/>
      <c r="BG124" s="222">
        <f t="shared" ref="BG124" si="270">C124</f>
        <v>0</v>
      </c>
      <c r="BH124" s="222"/>
      <c r="BI124" s="222"/>
      <c r="BJ124" s="248"/>
      <c r="BK124" s="265"/>
      <c r="BL124" s="222"/>
      <c r="BM124" s="249">
        <f t="shared" si="227"/>
        <v>0</v>
      </c>
      <c r="BN124" s="265"/>
      <c r="BO124" s="222"/>
      <c r="BP124" s="222"/>
      <c r="BQ124" s="265"/>
      <c r="BR124" s="265"/>
      <c r="BS124" s="265"/>
      <c r="BT124" s="244"/>
      <c r="BU124" s="222"/>
      <c r="BV124" s="244">
        <f t="shared" si="228"/>
        <v>0</v>
      </c>
      <c r="BW124" s="222"/>
    </row>
    <row r="125" spans="1:75" outlineLevel="1">
      <c r="A125" s="221"/>
      <c r="B125" s="222"/>
      <c r="C125" s="222"/>
      <c r="D125" s="225"/>
      <c r="E125" s="222"/>
      <c r="F125" s="222"/>
      <c r="G125" s="222"/>
      <c r="H125" s="266"/>
      <c r="I125" s="101"/>
      <c r="J125" s="102"/>
      <c r="K125" s="102"/>
      <c r="L125" s="102"/>
      <c r="M125" s="102"/>
      <c r="N125" s="102"/>
      <c r="O125" s="102"/>
      <c r="P125" s="102"/>
      <c r="Q125" s="102"/>
      <c r="R125" s="102"/>
      <c r="S125" s="102"/>
      <c r="T125" s="102"/>
      <c r="U125" s="102"/>
      <c r="V125" s="102"/>
      <c r="W125" s="102"/>
      <c r="X125" s="103"/>
      <c r="Y125" s="264"/>
      <c r="Z125" s="222"/>
      <c r="AA125" s="266"/>
      <c r="AB125" s="104">
        <f>ROUNDDOWN(AB124*10%,-1)</f>
        <v>0</v>
      </c>
      <c r="AC125" s="105">
        <f ca="1">IFERROR(IF(AND( OR(COUNTIF(I124:X125, "&gt;0")&gt;=$AJ$1, AA124&gt;=$AJ$4),AN124&lt;60,AA124&lt;=$AH$5),ROUNDDOWN(ROUNDDOWN(AA124,-3)*$AH$4%,-1),IF(AND(COUNTIF(I124:X125,"&gt;0")&gt;=$AJ$1,AN124&lt;60,AA124&gt;$AH$5),$AJ$5,0)),0)</f>
        <v>0</v>
      </c>
      <c r="AD125" s="106">
        <f>IF(Z124&gt;=$AJ$1,ROUNDDOWN(AD124*$AH$3%/($AH$2*2%),-1),0)</f>
        <v>0</v>
      </c>
      <c r="AE125" s="266"/>
      <c r="AF125" s="266"/>
      <c r="AG125" s="222"/>
      <c r="AH125" s="222"/>
      <c r="AI125" s="222"/>
      <c r="AJ125" s="222"/>
      <c r="AK125" s="250"/>
      <c r="AL125" s="250"/>
      <c r="AM125" s="251"/>
      <c r="AN125" s="252"/>
      <c r="AO125" s="266"/>
      <c r="AP125" s="107">
        <f t="shared" ref="AP125:BE125" si="271">IF($H124*I125&gt;150000,ROUNDDOWN(($H124*I125-150000)*6%*45%,0),0)</f>
        <v>0</v>
      </c>
      <c r="AQ125" s="108">
        <f t="shared" si="271"/>
        <v>0</v>
      </c>
      <c r="AR125" s="108">
        <f t="shared" si="271"/>
        <v>0</v>
      </c>
      <c r="AS125" s="108">
        <f t="shared" si="271"/>
        <v>0</v>
      </c>
      <c r="AT125" s="108">
        <f t="shared" si="271"/>
        <v>0</v>
      </c>
      <c r="AU125" s="108">
        <f t="shared" si="271"/>
        <v>0</v>
      </c>
      <c r="AV125" s="108">
        <f t="shared" si="271"/>
        <v>0</v>
      </c>
      <c r="AW125" s="108">
        <f t="shared" si="271"/>
        <v>0</v>
      </c>
      <c r="AX125" s="108">
        <f t="shared" si="271"/>
        <v>0</v>
      </c>
      <c r="AY125" s="108">
        <f t="shared" si="271"/>
        <v>0</v>
      </c>
      <c r="AZ125" s="108">
        <f t="shared" si="271"/>
        <v>0</v>
      </c>
      <c r="BA125" s="108">
        <f t="shared" si="271"/>
        <v>0</v>
      </c>
      <c r="BB125" s="108">
        <f t="shared" si="271"/>
        <v>0</v>
      </c>
      <c r="BC125" s="108">
        <f t="shared" si="271"/>
        <v>0</v>
      </c>
      <c r="BD125" s="108">
        <f t="shared" si="271"/>
        <v>0</v>
      </c>
      <c r="BE125" s="109">
        <f t="shared" si="271"/>
        <v>0</v>
      </c>
      <c r="BG125" s="222"/>
      <c r="BH125" s="222"/>
      <c r="BI125" s="222"/>
      <c r="BJ125" s="248"/>
      <c r="BK125" s="265"/>
      <c r="BL125" s="222"/>
      <c r="BM125" s="249"/>
      <c r="BN125" s="265"/>
      <c r="BO125" s="222"/>
      <c r="BP125" s="222"/>
      <c r="BQ125" s="265"/>
      <c r="BR125" s="265"/>
      <c r="BS125" s="265"/>
      <c r="BT125" s="244"/>
      <c r="BU125" s="222"/>
      <c r="BV125" s="244"/>
      <c r="BW125" s="222"/>
    </row>
    <row r="126" spans="1:75" outlineLevel="1">
      <c r="A126" s="221">
        <v>62</v>
      </c>
      <c r="B126" s="222" t="str">
        <f>IF(LEN(D126)&gt;1,IF(VALUE(MID(RIGHT(D126,7),1,1))&gt;4,"외국인",IF(VALUE(RIGHT(11-MOD((MID(D126,1,1)*2+MID(D126,2,1)*3+MID(D126,3,1)*4+MID(D126,4,1)*5+MID(D126,5,1)*6+MID(D126,6,1)*7+MID(RIGHT(D126,7),1,1)*8+MID(RIGHT(D126,7),2,1)*9+MID(RIGHT(D126,7),3,1)*2+MID(RIGHT(D126,7),4,1)*3+MID(RIGHT(D126,7),5,1)*4+MID(RIGHT(D126,7),6,1)*5),11),1))=VALUE(RIGHT(D126,1)),"","오류")),"")</f>
        <v/>
      </c>
      <c r="C126" s="222"/>
      <c r="D126" s="225"/>
      <c r="E126" s="222"/>
      <c r="F126" s="222"/>
      <c r="G126" s="222"/>
      <c r="H126" s="266"/>
      <c r="I126" s="89"/>
      <c r="J126" s="90"/>
      <c r="K126" s="90"/>
      <c r="L126" s="90"/>
      <c r="M126" s="90"/>
      <c r="N126" s="90"/>
      <c r="O126" s="90"/>
      <c r="P126" s="90"/>
      <c r="Q126" s="90"/>
      <c r="R126" s="90"/>
      <c r="S126" s="91"/>
      <c r="T126" s="91"/>
      <c r="U126" s="90"/>
      <c r="V126" s="90"/>
      <c r="W126" s="92"/>
      <c r="X126" s="93"/>
      <c r="Y126" s="264">
        <f>SUM(I126:X127)</f>
        <v>0</v>
      </c>
      <c r="Z126" s="222">
        <f>COUNTIF(I126:X127,"&gt;0")</f>
        <v>0</v>
      </c>
      <c r="AA126" s="266">
        <f>H126*Y126</f>
        <v>0</v>
      </c>
      <c r="AB126" s="94">
        <f>IF(AO126&lt;1000, 0, AO126)</f>
        <v>0</v>
      </c>
      <c r="AC126" s="95">
        <f ca="1">IF(IFERROR($AN126&lt;65,FALSE), IF(B126&lt;&gt;"외국인", ROUNDDOWN(AA126*$AH$1%,-1), IF(AND(AM126&lt;&gt;"", ISNUMBER(SEARCH(LEFT(SUBSTITUTE(AM126, "-",""),2), "F2_F5_F6"))), ROUNDDOWN(AA126*$AH$1%,-1), 0)),0)</f>
        <v>0</v>
      </c>
      <c r="AD126" s="96">
        <f>IF(Z126&gt;=$AJ$1,ROUNDDOWN(AA126*$AH$2%,-1),0)</f>
        <v>0</v>
      </c>
      <c r="AE126" s="266">
        <f ca="1">AB126+AC126+AB127+AC127+AD126+AD127</f>
        <v>0</v>
      </c>
      <c r="AF126" s="266">
        <f ca="1">AA126-AE126</f>
        <v>0</v>
      </c>
      <c r="AG126" s="222"/>
      <c r="AH126" s="222"/>
      <c r="AI126" s="222"/>
      <c r="AJ126" s="222"/>
      <c r="AK126" s="250"/>
      <c r="AL126" s="250"/>
      <c r="AM126" s="251"/>
      <c r="AN126" s="252" t="str">
        <f ca="1">IFERROR(DATEDIF(DATE(IF(ISNUMBER(FIND(MID( SUBSTITUTE(D126, "-",""), 7, 1), "3478")), 2000, 1900)+MID(D126,1,2), MID(D126,3,2), MID(D126,5,2)), TODAY(), "Y"),"")</f>
        <v/>
      </c>
      <c r="AO126" s="266">
        <f>ROUNDDOWN(SUM(AP126:BE127),-1)</f>
        <v>0</v>
      </c>
      <c r="AP126" s="97">
        <f t="shared" ref="AP126:BD126" si="272">IF($H126*I126&gt;150000,ROUNDDOWN(($H126*I126-150000)*6%*45%,0),0)</f>
        <v>0</v>
      </c>
      <c r="AQ126" s="98">
        <f t="shared" si="272"/>
        <v>0</v>
      </c>
      <c r="AR126" s="98">
        <f t="shared" si="272"/>
        <v>0</v>
      </c>
      <c r="AS126" s="98">
        <f t="shared" si="272"/>
        <v>0</v>
      </c>
      <c r="AT126" s="98">
        <f t="shared" si="272"/>
        <v>0</v>
      </c>
      <c r="AU126" s="98">
        <f t="shared" si="272"/>
        <v>0</v>
      </c>
      <c r="AV126" s="98">
        <f t="shared" si="272"/>
        <v>0</v>
      </c>
      <c r="AW126" s="98">
        <f t="shared" si="272"/>
        <v>0</v>
      </c>
      <c r="AX126" s="98">
        <f t="shared" si="272"/>
        <v>0</v>
      </c>
      <c r="AY126" s="98">
        <f t="shared" si="272"/>
        <v>0</v>
      </c>
      <c r="AZ126" s="98">
        <f t="shared" si="272"/>
        <v>0</v>
      </c>
      <c r="BA126" s="98">
        <f t="shared" si="272"/>
        <v>0</v>
      </c>
      <c r="BB126" s="98">
        <f t="shared" si="272"/>
        <v>0</v>
      </c>
      <c r="BC126" s="98">
        <f t="shared" si="272"/>
        <v>0</v>
      </c>
      <c r="BD126" s="99">
        <f t="shared" si="272"/>
        <v>0</v>
      </c>
      <c r="BE126" s="100"/>
      <c r="BG126" s="222">
        <f t="shared" ref="BG126" si="273">C126</f>
        <v>0</v>
      </c>
      <c r="BH126" s="222"/>
      <c r="BI126" s="222"/>
      <c r="BJ126" s="248"/>
      <c r="BK126" s="265"/>
      <c r="BL126" s="222"/>
      <c r="BM126" s="249">
        <f t="shared" si="227"/>
        <v>0</v>
      </c>
      <c r="BN126" s="265"/>
      <c r="BO126" s="222"/>
      <c r="BP126" s="222"/>
      <c r="BQ126" s="265"/>
      <c r="BR126" s="265"/>
      <c r="BS126" s="265"/>
      <c r="BT126" s="244"/>
      <c r="BU126" s="222"/>
      <c r="BV126" s="244">
        <f t="shared" si="228"/>
        <v>0</v>
      </c>
      <c r="BW126" s="222"/>
    </row>
    <row r="127" spans="1:75" outlineLevel="1">
      <c r="A127" s="221"/>
      <c r="B127" s="222"/>
      <c r="C127" s="222"/>
      <c r="D127" s="225"/>
      <c r="E127" s="222"/>
      <c r="F127" s="222"/>
      <c r="G127" s="222"/>
      <c r="H127" s="266"/>
      <c r="I127" s="101"/>
      <c r="J127" s="102"/>
      <c r="K127" s="102"/>
      <c r="L127" s="102"/>
      <c r="M127" s="102"/>
      <c r="N127" s="102"/>
      <c r="O127" s="102"/>
      <c r="P127" s="102"/>
      <c r="Q127" s="102"/>
      <c r="R127" s="102"/>
      <c r="S127" s="102"/>
      <c r="T127" s="102"/>
      <c r="U127" s="102"/>
      <c r="V127" s="102"/>
      <c r="W127" s="102"/>
      <c r="X127" s="103"/>
      <c r="Y127" s="264"/>
      <c r="Z127" s="222"/>
      <c r="AA127" s="266"/>
      <c r="AB127" s="104">
        <f>ROUNDDOWN(AB126*10%,-1)</f>
        <v>0</v>
      </c>
      <c r="AC127" s="105">
        <f ca="1">IFERROR(IF(AND( OR(COUNTIF(I126:X127, "&gt;0")&gt;=$AJ$1, AA126&gt;=$AJ$4),AN126&lt;60,AA126&lt;=$AH$5),ROUNDDOWN(ROUNDDOWN(AA126,-3)*$AH$4%,-1),IF(AND(COUNTIF(I126:X127,"&gt;0")&gt;=$AJ$1,AN126&lt;60,AA126&gt;$AH$5),$AJ$5,0)),0)</f>
        <v>0</v>
      </c>
      <c r="AD127" s="106">
        <f>IF(Z126&gt;=$AJ$1,ROUNDDOWN(AD126*$AH$3%/($AH$2*2%),-1),0)</f>
        <v>0</v>
      </c>
      <c r="AE127" s="266"/>
      <c r="AF127" s="266"/>
      <c r="AG127" s="222"/>
      <c r="AH127" s="222"/>
      <c r="AI127" s="222"/>
      <c r="AJ127" s="222"/>
      <c r="AK127" s="250"/>
      <c r="AL127" s="250"/>
      <c r="AM127" s="251"/>
      <c r="AN127" s="252"/>
      <c r="AO127" s="266"/>
      <c r="AP127" s="107">
        <f t="shared" ref="AP127:BE127" si="274">IF($H126*I127&gt;150000,ROUNDDOWN(($H126*I127-150000)*6%*45%,0),0)</f>
        <v>0</v>
      </c>
      <c r="AQ127" s="108">
        <f t="shared" si="274"/>
        <v>0</v>
      </c>
      <c r="AR127" s="108">
        <f t="shared" si="274"/>
        <v>0</v>
      </c>
      <c r="AS127" s="108">
        <f t="shared" si="274"/>
        <v>0</v>
      </c>
      <c r="AT127" s="108">
        <f t="shared" si="274"/>
        <v>0</v>
      </c>
      <c r="AU127" s="108">
        <f t="shared" si="274"/>
        <v>0</v>
      </c>
      <c r="AV127" s="108">
        <f t="shared" si="274"/>
        <v>0</v>
      </c>
      <c r="AW127" s="108">
        <f t="shared" si="274"/>
        <v>0</v>
      </c>
      <c r="AX127" s="108">
        <f t="shared" si="274"/>
        <v>0</v>
      </c>
      <c r="AY127" s="108">
        <f t="shared" si="274"/>
        <v>0</v>
      </c>
      <c r="AZ127" s="108">
        <f t="shared" si="274"/>
        <v>0</v>
      </c>
      <c r="BA127" s="108">
        <f t="shared" si="274"/>
        <v>0</v>
      </c>
      <c r="BB127" s="108">
        <f t="shared" si="274"/>
        <v>0</v>
      </c>
      <c r="BC127" s="108">
        <f t="shared" si="274"/>
        <v>0</v>
      </c>
      <c r="BD127" s="108">
        <f t="shared" si="274"/>
        <v>0</v>
      </c>
      <c r="BE127" s="109">
        <f t="shared" si="274"/>
        <v>0</v>
      </c>
      <c r="BG127" s="222"/>
      <c r="BH127" s="222"/>
      <c r="BI127" s="222"/>
      <c r="BJ127" s="248"/>
      <c r="BK127" s="265"/>
      <c r="BL127" s="222"/>
      <c r="BM127" s="249"/>
      <c r="BN127" s="265"/>
      <c r="BO127" s="222"/>
      <c r="BP127" s="222"/>
      <c r="BQ127" s="265"/>
      <c r="BR127" s="265"/>
      <c r="BS127" s="265"/>
      <c r="BT127" s="244"/>
      <c r="BU127" s="222"/>
      <c r="BV127" s="244"/>
      <c r="BW127" s="222"/>
    </row>
    <row r="128" spans="1:75" outlineLevel="1">
      <c r="A128" s="221">
        <v>63</v>
      </c>
      <c r="B128" s="222" t="str">
        <f>IF(LEN(D128)&gt;1,IF(VALUE(MID(RIGHT(D128,7),1,1))&gt;4,"외국인",IF(VALUE(RIGHT(11-MOD((MID(D128,1,1)*2+MID(D128,2,1)*3+MID(D128,3,1)*4+MID(D128,4,1)*5+MID(D128,5,1)*6+MID(D128,6,1)*7+MID(RIGHT(D128,7),1,1)*8+MID(RIGHT(D128,7),2,1)*9+MID(RIGHT(D128,7),3,1)*2+MID(RIGHT(D128,7),4,1)*3+MID(RIGHT(D128,7),5,1)*4+MID(RIGHT(D128,7),6,1)*5),11),1))=VALUE(RIGHT(D128,1)),"","오류")),"")</f>
        <v/>
      </c>
      <c r="C128" s="222"/>
      <c r="D128" s="225"/>
      <c r="E128" s="222"/>
      <c r="F128" s="222"/>
      <c r="G128" s="222"/>
      <c r="H128" s="266"/>
      <c r="I128" s="89"/>
      <c r="J128" s="90"/>
      <c r="K128" s="90"/>
      <c r="L128" s="90"/>
      <c r="M128" s="90"/>
      <c r="N128" s="90"/>
      <c r="O128" s="90"/>
      <c r="P128" s="90"/>
      <c r="Q128" s="90"/>
      <c r="R128" s="90"/>
      <c r="S128" s="91"/>
      <c r="T128" s="91"/>
      <c r="U128" s="90"/>
      <c r="V128" s="90"/>
      <c r="W128" s="92"/>
      <c r="X128" s="93"/>
      <c r="Y128" s="264">
        <f>SUM(I128:X129)</f>
        <v>0</v>
      </c>
      <c r="Z128" s="222">
        <f>COUNTIF(I128:X129,"&gt;0")</f>
        <v>0</v>
      </c>
      <c r="AA128" s="266">
        <f>H128*Y128</f>
        <v>0</v>
      </c>
      <c r="AB128" s="94">
        <f>IF(AO128&lt;1000, 0, AO128)</f>
        <v>0</v>
      </c>
      <c r="AC128" s="95">
        <f ca="1">IF(IFERROR($AN128&lt;65,FALSE), IF(B128&lt;&gt;"외국인", ROUNDDOWN(AA128*$AH$1%,-1), IF(AND(AM128&lt;&gt;"", ISNUMBER(SEARCH(LEFT(SUBSTITUTE(AM128, "-",""),2), "F2_F5_F6"))), ROUNDDOWN(AA128*$AH$1%,-1), 0)),0)</f>
        <v>0</v>
      </c>
      <c r="AD128" s="96">
        <f>IF(Z128&gt;=$AJ$1,ROUNDDOWN(AA128*$AH$2%,-1),0)</f>
        <v>0</v>
      </c>
      <c r="AE128" s="266">
        <f ca="1">AB128+AC128+AB129+AC129+AD128+AD129</f>
        <v>0</v>
      </c>
      <c r="AF128" s="266">
        <f ca="1">AA128-AE128</f>
        <v>0</v>
      </c>
      <c r="AG128" s="222"/>
      <c r="AH128" s="222"/>
      <c r="AI128" s="222"/>
      <c r="AJ128" s="222"/>
      <c r="AK128" s="250"/>
      <c r="AL128" s="250"/>
      <c r="AM128" s="251"/>
      <c r="AN128" s="252" t="str">
        <f ca="1">IFERROR(DATEDIF(DATE(IF(ISNUMBER(FIND(MID( SUBSTITUTE(D128, "-",""), 7, 1), "3478")), 2000, 1900)+MID(D128,1,2), MID(D128,3,2), MID(D128,5,2)), TODAY(), "Y"),"")</f>
        <v/>
      </c>
      <c r="AO128" s="266">
        <f>ROUNDDOWN(SUM(AP128:BE129),-1)</f>
        <v>0</v>
      </c>
      <c r="AP128" s="97">
        <f t="shared" ref="AP128:BD128" si="275">IF($H128*I128&gt;150000,ROUNDDOWN(($H128*I128-150000)*6%*45%,0),0)</f>
        <v>0</v>
      </c>
      <c r="AQ128" s="98">
        <f t="shared" si="275"/>
        <v>0</v>
      </c>
      <c r="AR128" s="98">
        <f t="shared" si="275"/>
        <v>0</v>
      </c>
      <c r="AS128" s="98">
        <f t="shared" si="275"/>
        <v>0</v>
      </c>
      <c r="AT128" s="98">
        <f t="shared" si="275"/>
        <v>0</v>
      </c>
      <c r="AU128" s="98">
        <f t="shared" si="275"/>
        <v>0</v>
      </c>
      <c r="AV128" s="98">
        <f t="shared" si="275"/>
        <v>0</v>
      </c>
      <c r="AW128" s="98">
        <f t="shared" si="275"/>
        <v>0</v>
      </c>
      <c r="AX128" s="98">
        <f t="shared" si="275"/>
        <v>0</v>
      </c>
      <c r="AY128" s="98">
        <f t="shared" si="275"/>
        <v>0</v>
      </c>
      <c r="AZ128" s="98">
        <f t="shared" si="275"/>
        <v>0</v>
      </c>
      <c r="BA128" s="98">
        <f t="shared" si="275"/>
        <v>0</v>
      </c>
      <c r="BB128" s="98">
        <f t="shared" si="275"/>
        <v>0</v>
      </c>
      <c r="BC128" s="98">
        <f t="shared" si="275"/>
        <v>0</v>
      </c>
      <c r="BD128" s="99">
        <f t="shared" si="275"/>
        <v>0</v>
      </c>
      <c r="BE128" s="100"/>
      <c r="BG128" s="222">
        <f t="shared" ref="BG128" si="276">C128</f>
        <v>0</v>
      </c>
      <c r="BH128" s="222"/>
      <c r="BI128" s="222"/>
      <c r="BJ128" s="270"/>
      <c r="BK128" s="265"/>
      <c r="BL128" s="222"/>
      <c r="BM128" s="249">
        <f t="shared" si="227"/>
        <v>0</v>
      </c>
      <c r="BN128" s="265"/>
      <c r="BO128" s="222"/>
      <c r="BP128" s="222"/>
      <c r="BQ128" s="265"/>
      <c r="BR128" s="265"/>
      <c r="BS128" s="265"/>
      <c r="BT128" s="244"/>
      <c r="BU128" s="222"/>
      <c r="BV128" s="244">
        <f t="shared" si="228"/>
        <v>0</v>
      </c>
      <c r="BW128" s="222"/>
    </row>
    <row r="129" spans="1:75" outlineLevel="1">
      <c r="A129" s="221"/>
      <c r="B129" s="222"/>
      <c r="C129" s="222"/>
      <c r="D129" s="225"/>
      <c r="E129" s="222"/>
      <c r="F129" s="222"/>
      <c r="G129" s="222"/>
      <c r="H129" s="266"/>
      <c r="I129" s="101"/>
      <c r="J129" s="102"/>
      <c r="K129" s="102"/>
      <c r="L129" s="102"/>
      <c r="M129" s="102"/>
      <c r="N129" s="102"/>
      <c r="O129" s="102"/>
      <c r="P129" s="102"/>
      <c r="Q129" s="102"/>
      <c r="R129" s="102"/>
      <c r="S129" s="102"/>
      <c r="T129" s="102"/>
      <c r="U129" s="102"/>
      <c r="V129" s="102"/>
      <c r="W129" s="102"/>
      <c r="X129" s="103"/>
      <c r="Y129" s="264"/>
      <c r="Z129" s="222"/>
      <c r="AA129" s="266"/>
      <c r="AB129" s="104">
        <f>ROUNDDOWN(AB128*10%,-1)</f>
        <v>0</v>
      </c>
      <c r="AC129" s="105">
        <f ca="1">IFERROR(IF(AND( OR(COUNTIF(I128:X129, "&gt;0")&gt;=$AJ$1, AA128&gt;=$AJ$4),AN128&lt;60,AA128&lt;=$AH$5),ROUNDDOWN(ROUNDDOWN(AA128,-3)*$AH$4%,-1),IF(AND(COUNTIF(I128:X129,"&gt;0")&gt;=$AJ$1,AN128&lt;60,AA128&gt;$AH$5),$AJ$5,0)),0)</f>
        <v>0</v>
      </c>
      <c r="AD129" s="106">
        <f>IF(Z128&gt;=$AJ$1,ROUNDDOWN(AD128*$AH$3%/($AH$2*2%),-1),0)</f>
        <v>0</v>
      </c>
      <c r="AE129" s="266"/>
      <c r="AF129" s="266"/>
      <c r="AG129" s="222"/>
      <c r="AH129" s="222"/>
      <c r="AI129" s="222"/>
      <c r="AJ129" s="222"/>
      <c r="AK129" s="250"/>
      <c r="AL129" s="250"/>
      <c r="AM129" s="251"/>
      <c r="AN129" s="252"/>
      <c r="AO129" s="266"/>
      <c r="AP129" s="107">
        <f t="shared" ref="AP129:BE129" si="277">IF($H128*I129&gt;150000,ROUNDDOWN(($H128*I129-150000)*6%*45%,0),0)</f>
        <v>0</v>
      </c>
      <c r="AQ129" s="108">
        <f t="shared" si="277"/>
        <v>0</v>
      </c>
      <c r="AR129" s="108">
        <f t="shared" si="277"/>
        <v>0</v>
      </c>
      <c r="AS129" s="108">
        <f t="shared" si="277"/>
        <v>0</v>
      </c>
      <c r="AT129" s="108">
        <f t="shared" si="277"/>
        <v>0</v>
      </c>
      <c r="AU129" s="108">
        <f t="shared" si="277"/>
        <v>0</v>
      </c>
      <c r="AV129" s="108">
        <f t="shared" si="277"/>
        <v>0</v>
      </c>
      <c r="AW129" s="108">
        <f t="shared" si="277"/>
        <v>0</v>
      </c>
      <c r="AX129" s="108">
        <f t="shared" si="277"/>
        <v>0</v>
      </c>
      <c r="AY129" s="108">
        <f t="shared" si="277"/>
        <v>0</v>
      </c>
      <c r="AZ129" s="108">
        <f t="shared" si="277"/>
        <v>0</v>
      </c>
      <c r="BA129" s="108">
        <f t="shared" si="277"/>
        <v>0</v>
      </c>
      <c r="BB129" s="108">
        <f t="shared" si="277"/>
        <v>0</v>
      </c>
      <c r="BC129" s="108">
        <f t="shared" si="277"/>
        <v>0</v>
      </c>
      <c r="BD129" s="108">
        <f t="shared" si="277"/>
        <v>0</v>
      </c>
      <c r="BE129" s="109">
        <f t="shared" si="277"/>
        <v>0</v>
      </c>
      <c r="BG129" s="222"/>
      <c r="BH129" s="222"/>
      <c r="BI129" s="222"/>
      <c r="BJ129" s="269"/>
      <c r="BK129" s="265"/>
      <c r="BL129" s="222"/>
      <c r="BM129" s="249"/>
      <c r="BN129" s="265"/>
      <c r="BO129" s="222"/>
      <c r="BP129" s="222"/>
      <c r="BQ129" s="265"/>
      <c r="BR129" s="265"/>
      <c r="BS129" s="265"/>
      <c r="BT129" s="244"/>
      <c r="BU129" s="222"/>
      <c r="BV129" s="244"/>
      <c r="BW129" s="222"/>
    </row>
    <row r="130" spans="1:75" outlineLevel="1">
      <c r="A130" s="221">
        <v>64</v>
      </c>
      <c r="B130" s="222" t="str">
        <f>IF(LEN(D130)&gt;1,IF(VALUE(MID(RIGHT(D130,7),1,1))&gt;4,"외국인",IF(VALUE(RIGHT(11-MOD((MID(D130,1,1)*2+MID(D130,2,1)*3+MID(D130,3,1)*4+MID(D130,4,1)*5+MID(D130,5,1)*6+MID(D130,6,1)*7+MID(RIGHT(D130,7),1,1)*8+MID(RIGHT(D130,7),2,1)*9+MID(RIGHT(D130,7),3,1)*2+MID(RIGHT(D130,7),4,1)*3+MID(RIGHT(D130,7),5,1)*4+MID(RIGHT(D130,7),6,1)*5),11),1))=VALUE(RIGHT(D130,1)),"","오류")),"")</f>
        <v/>
      </c>
      <c r="C130" s="222"/>
      <c r="D130" s="225"/>
      <c r="E130" s="222"/>
      <c r="F130" s="222"/>
      <c r="G130" s="222"/>
      <c r="H130" s="266"/>
      <c r="I130" s="89"/>
      <c r="J130" s="90"/>
      <c r="K130" s="90"/>
      <c r="L130" s="90"/>
      <c r="M130" s="90"/>
      <c r="N130" s="90"/>
      <c r="O130" s="90"/>
      <c r="P130" s="90"/>
      <c r="Q130" s="90"/>
      <c r="R130" s="90"/>
      <c r="S130" s="91"/>
      <c r="T130" s="91"/>
      <c r="U130" s="90"/>
      <c r="V130" s="90"/>
      <c r="W130" s="92"/>
      <c r="X130" s="93"/>
      <c r="Y130" s="264">
        <f>SUM(I130:X131)</f>
        <v>0</v>
      </c>
      <c r="Z130" s="222">
        <f>COUNTIF(I130:X131,"&gt;0")</f>
        <v>0</v>
      </c>
      <c r="AA130" s="266">
        <f>H130*Y130</f>
        <v>0</v>
      </c>
      <c r="AB130" s="94">
        <f>IF(AO130&lt;1000, 0, AO130)</f>
        <v>0</v>
      </c>
      <c r="AC130" s="95">
        <f ca="1">IF(IFERROR($AN130&lt;65,FALSE), IF(B130&lt;&gt;"외국인", ROUNDDOWN(AA130*$AH$1%,-1), IF(AND(AM130&lt;&gt;"", ISNUMBER(SEARCH(LEFT(SUBSTITUTE(AM130, "-",""),2), "F2_F5_F6"))), ROUNDDOWN(AA130*$AH$1%,-1), 0)),0)</f>
        <v>0</v>
      </c>
      <c r="AD130" s="96">
        <f>IF(Z130&gt;=$AJ$1,ROUNDDOWN(AA130*$AH$2%,-1),0)</f>
        <v>0</v>
      </c>
      <c r="AE130" s="266">
        <f ca="1">AB130+AC130+AB131+AC131+AD130+AD131</f>
        <v>0</v>
      </c>
      <c r="AF130" s="266">
        <f ca="1">AA130-AE130</f>
        <v>0</v>
      </c>
      <c r="AG130" s="222"/>
      <c r="AH130" s="222"/>
      <c r="AI130" s="222"/>
      <c r="AJ130" s="222"/>
      <c r="AK130" s="250"/>
      <c r="AL130" s="250"/>
      <c r="AM130" s="251"/>
      <c r="AN130" s="252" t="str">
        <f ca="1">IFERROR(DATEDIF(DATE(IF(ISNUMBER(FIND(MID( SUBSTITUTE(D130, "-",""), 7, 1), "3478")), 2000, 1900)+MID(D130,1,2), MID(D130,3,2), MID(D130,5,2)), TODAY(), "Y"),"")</f>
        <v/>
      </c>
      <c r="AO130" s="266">
        <f>ROUNDDOWN(SUM(AP130:BE131),-1)</f>
        <v>0</v>
      </c>
      <c r="AP130" s="97">
        <f t="shared" ref="AP130:BD130" si="278">IF($H130*I130&gt;150000,ROUNDDOWN(($H130*I130-150000)*6%*45%,0),0)</f>
        <v>0</v>
      </c>
      <c r="AQ130" s="98">
        <f t="shared" si="278"/>
        <v>0</v>
      </c>
      <c r="AR130" s="98">
        <f t="shared" si="278"/>
        <v>0</v>
      </c>
      <c r="AS130" s="98">
        <f t="shared" si="278"/>
        <v>0</v>
      </c>
      <c r="AT130" s="98">
        <f t="shared" si="278"/>
        <v>0</v>
      </c>
      <c r="AU130" s="98">
        <f t="shared" si="278"/>
        <v>0</v>
      </c>
      <c r="AV130" s="98">
        <f t="shared" si="278"/>
        <v>0</v>
      </c>
      <c r="AW130" s="98">
        <f t="shared" si="278"/>
        <v>0</v>
      </c>
      <c r="AX130" s="98">
        <f t="shared" si="278"/>
        <v>0</v>
      </c>
      <c r="AY130" s="98">
        <f t="shared" si="278"/>
        <v>0</v>
      </c>
      <c r="AZ130" s="98">
        <f t="shared" si="278"/>
        <v>0</v>
      </c>
      <c r="BA130" s="98">
        <f t="shared" si="278"/>
        <v>0</v>
      </c>
      <c r="BB130" s="98">
        <f t="shared" si="278"/>
        <v>0</v>
      </c>
      <c r="BC130" s="98">
        <f t="shared" si="278"/>
        <v>0</v>
      </c>
      <c r="BD130" s="99">
        <f t="shared" si="278"/>
        <v>0</v>
      </c>
      <c r="BE130" s="100"/>
      <c r="BG130" s="222">
        <f t="shared" ref="BG130" si="279">C130</f>
        <v>0</v>
      </c>
      <c r="BH130" s="222"/>
      <c r="BI130" s="222"/>
      <c r="BJ130" s="227"/>
      <c r="BK130" s="265"/>
      <c r="BL130" s="222"/>
      <c r="BM130" s="249">
        <f t="shared" si="227"/>
        <v>0</v>
      </c>
      <c r="BN130" s="265"/>
      <c r="BO130" s="222"/>
      <c r="BP130" s="222"/>
      <c r="BQ130" s="265"/>
      <c r="BR130" s="265"/>
      <c r="BS130" s="265"/>
      <c r="BT130" s="244"/>
      <c r="BU130" s="222"/>
      <c r="BV130" s="244">
        <f t="shared" si="228"/>
        <v>0</v>
      </c>
      <c r="BW130" s="222"/>
    </row>
    <row r="131" spans="1:75" outlineLevel="1">
      <c r="A131" s="221"/>
      <c r="B131" s="222"/>
      <c r="C131" s="222"/>
      <c r="D131" s="225"/>
      <c r="E131" s="222"/>
      <c r="F131" s="222"/>
      <c r="G131" s="222"/>
      <c r="H131" s="266"/>
      <c r="I131" s="101"/>
      <c r="J131" s="102"/>
      <c r="K131" s="102"/>
      <c r="L131" s="102"/>
      <c r="M131" s="102"/>
      <c r="N131" s="102"/>
      <c r="O131" s="102"/>
      <c r="P131" s="102"/>
      <c r="Q131" s="102"/>
      <c r="R131" s="102"/>
      <c r="S131" s="102"/>
      <c r="T131" s="102"/>
      <c r="U131" s="102"/>
      <c r="V131" s="102"/>
      <c r="W131" s="102"/>
      <c r="X131" s="103"/>
      <c r="Y131" s="264"/>
      <c r="Z131" s="222"/>
      <c r="AA131" s="266"/>
      <c r="AB131" s="104">
        <f>ROUNDDOWN(AB130*10%,-1)</f>
        <v>0</v>
      </c>
      <c r="AC131" s="105">
        <f ca="1">IFERROR(IF(AND( OR(COUNTIF(I130:X131, "&gt;0")&gt;=$AJ$1, AA130&gt;=$AJ$4),AN130&lt;60,AA130&lt;=$AH$5),ROUNDDOWN(ROUNDDOWN(AA130,-3)*$AH$4%,-1),IF(AND(COUNTIF(I130:X131,"&gt;0")&gt;=$AJ$1,AN130&lt;60,AA130&gt;$AH$5),$AJ$5,0)),0)</f>
        <v>0</v>
      </c>
      <c r="AD131" s="106">
        <f>IF(Z130&gt;=$AJ$1,ROUNDDOWN(AD130*$AH$3%/($AH$2*2%),-1),0)</f>
        <v>0</v>
      </c>
      <c r="AE131" s="266"/>
      <c r="AF131" s="266"/>
      <c r="AG131" s="222"/>
      <c r="AH131" s="222"/>
      <c r="AI131" s="222"/>
      <c r="AJ131" s="222"/>
      <c r="AK131" s="250"/>
      <c r="AL131" s="250"/>
      <c r="AM131" s="251"/>
      <c r="AN131" s="252"/>
      <c r="AO131" s="266"/>
      <c r="AP131" s="107">
        <f t="shared" ref="AP131:BE131" si="280">IF($H130*I131&gt;150000,ROUNDDOWN(($H130*I131-150000)*6%*45%,0),0)</f>
        <v>0</v>
      </c>
      <c r="AQ131" s="108">
        <f t="shared" si="280"/>
        <v>0</v>
      </c>
      <c r="AR131" s="108">
        <f t="shared" si="280"/>
        <v>0</v>
      </c>
      <c r="AS131" s="108">
        <f t="shared" si="280"/>
        <v>0</v>
      </c>
      <c r="AT131" s="108">
        <f t="shared" si="280"/>
        <v>0</v>
      </c>
      <c r="AU131" s="108">
        <f t="shared" si="280"/>
        <v>0</v>
      </c>
      <c r="AV131" s="108">
        <f t="shared" si="280"/>
        <v>0</v>
      </c>
      <c r="AW131" s="108">
        <f t="shared" si="280"/>
        <v>0</v>
      </c>
      <c r="AX131" s="108">
        <f t="shared" si="280"/>
        <v>0</v>
      </c>
      <c r="AY131" s="108">
        <f t="shared" si="280"/>
        <v>0</v>
      </c>
      <c r="AZ131" s="108">
        <f t="shared" si="280"/>
        <v>0</v>
      </c>
      <c r="BA131" s="108">
        <f t="shared" si="280"/>
        <v>0</v>
      </c>
      <c r="BB131" s="108">
        <f t="shared" si="280"/>
        <v>0</v>
      </c>
      <c r="BC131" s="108">
        <f t="shared" si="280"/>
        <v>0</v>
      </c>
      <c r="BD131" s="108">
        <f t="shared" si="280"/>
        <v>0</v>
      </c>
      <c r="BE131" s="109">
        <f t="shared" si="280"/>
        <v>0</v>
      </c>
      <c r="BG131" s="222"/>
      <c r="BH131" s="222"/>
      <c r="BI131" s="222"/>
      <c r="BJ131" s="228"/>
      <c r="BK131" s="265"/>
      <c r="BL131" s="222"/>
      <c r="BM131" s="249"/>
      <c r="BN131" s="265"/>
      <c r="BO131" s="222"/>
      <c r="BP131" s="222"/>
      <c r="BQ131" s="265"/>
      <c r="BR131" s="265"/>
      <c r="BS131" s="265"/>
      <c r="BT131" s="244"/>
      <c r="BU131" s="222"/>
      <c r="BV131" s="244"/>
      <c r="BW131" s="222"/>
    </row>
    <row r="132" spans="1:75" outlineLevel="1">
      <c r="A132" s="221">
        <v>65</v>
      </c>
      <c r="B132" s="222" t="str">
        <f>IF(LEN(D132)&gt;1,IF(VALUE(MID(RIGHT(D132,7),1,1))&gt;4,"외국인",IF(VALUE(RIGHT(11-MOD((MID(D132,1,1)*2+MID(D132,2,1)*3+MID(D132,3,1)*4+MID(D132,4,1)*5+MID(D132,5,1)*6+MID(D132,6,1)*7+MID(RIGHT(D132,7),1,1)*8+MID(RIGHT(D132,7),2,1)*9+MID(RIGHT(D132,7),3,1)*2+MID(RIGHT(D132,7),4,1)*3+MID(RIGHT(D132,7),5,1)*4+MID(RIGHT(D132,7),6,1)*5),11),1))=VALUE(RIGHT(D132,1)),"","오류")),"")</f>
        <v/>
      </c>
      <c r="C132" s="222"/>
      <c r="D132" s="225"/>
      <c r="E132" s="222"/>
      <c r="F132" s="222"/>
      <c r="G132" s="222"/>
      <c r="H132" s="266"/>
      <c r="I132" s="89"/>
      <c r="J132" s="90"/>
      <c r="K132" s="90"/>
      <c r="L132" s="90"/>
      <c r="M132" s="90"/>
      <c r="N132" s="90"/>
      <c r="O132" s="90"/>
      <c r="P132" s="90"/>
      <c r="Q132" s="90"/>
      <c r="R132" s="90"/>
      <c r="S132" s="91"/>
      <c r="T132" s="91"/>
      <c r="U132" s="90"/>
      <c r="V132" s="90"/>
      <c r="W132" s="92"/>
      <c r="X132" s="93"/>
      <c r="Y132" s="264">
        <f>SUM(I132:X133)</f>
        <v>0</v>
      </c>
      <c r="Z132" s="222">
        <f>COUNTIF(I132:X133,"&gt;0")</f>
        <v>0</v>
      </c>
      <c r="AA132" s="266">
        <f>H132*Y132</f>
        <v>0</v>
      </c>
      <c r="AB132" s="94">
        <f>IF(AO132&lt;1000, 0, AO132)</f>
        <v>0</v>
      </c>
      <c r="AC132" s="95">
        <f ca="1">IF(IFERROR($AN132&lt;65,FALSE), IF(B132&lt;&gt;"외국인", ROUNDDOWN(AA132*$AH$1%,-1), IF(AND(AM132&lt;&gt;"", ISNUMBER(SEARCH(LEFT(SUBSTITUTE(AM132, "-",""),2), "F2_F5_F6"))), ROUNDDOWN(AA132*$AH$1%,-1), 0)),0)</f>
        <v>0</v>
      </c>
      <c r="AD132" s="96">
        <f>IF(Z132&gt;=$AJ$1,ROUNDDOWN(AA132*$AH$2%,-1),0)</f>
        <v>0</v>
      </c>
      <c r="AE132" s="266">
        <f ca="1">AB132+AC132+AB133+AC133+AD132+AD133</f>
        <v>0</v>
      </c>
      <c r="AF132" s="266">
        <f ca="1">AA132-AE132</f>
        <v>0</v>
      </c>
      <c r="AG132" s="222"/>
      <c r="AH132" s="222"/>
      <c r="AI132" s="222"/>
      <c r="AJ132" s="222"/>
      <c r="AK132" s="250"/>
      <c r="AL132" s="250"/>
      <c r="AM132" s="251"/>
      <c r="AN132" s="252" t="str">
        <f ca="1">IFERROR(DATEDIF(DATE(IF(ISNUMBER(FIND(MID( SUBSTITUTE(D132, "-",""), 7, 1), "3478")), 2000, 1900)+MID(D132,1,2), MID(D132,3,2), MID(D132,5,2)), TODAY(), "Y"),"")</f>
        <v/>
      </c>
      <c r="AO132" s="266">
        <f>ROUNDDOWN(SUM(AP132:BE133),-1)</f>
        <v>0</v>
      </c>
      <c r="AP132" s="97">
        <f t="shared" ref="AP132:BD132" si="281">IF($H132*I132&gt;150000,ROUNDDOWN(($H132*I132-150000)*6%*45%,0),0)</f>
        <v>0</v>
      </c>
      <c r="AQ132" s="98">
        <f t="shared" si="281"/>
        <v>0</v>
      </c>
      <c r="AR132" s="98">
        <f t="shared" si="281"/>
        <v>0</v>
      </c>
      <c r="AS132" s="98">
        <f t="shared" si="281"/>
        <v>0</v>
      </c>
      <c r="AT132" s="98">
        <f t="shared" si="281"/>
        <v>0</v>
      </c>
      <c r="AU132" s="98">
        <f t="shared" si="281"/>
        <v>0</v>
      </c>
      <c r="AV132" s="98">
        <f t="shared" si="281"/>
        <v>0</v>
      </c>
      <c r="AW132" s="98">
        <f t="shared" si="281"/>
        <v>0</v>
      </c>
      <c r="AX132" s="98">
        <f t="shared" si="281"/>
        <v>0</v>
      </c>
      <c r="AY132" s="98">
        <f t="shared" si="281"/>
        <v>0</v>
      </c>
      <c r="AZ132" s="98">
        <f t="shared" si="281"/>
        <v>0</v>
      </c>
      <c r="BA132" s="98">
        <f t="shared" si="281"/>
        <v>0</v>
      </c>
      <c r="BB132" s="98">
        <f t="shared" si="281"/>
        <v>0</v>
      </c>
      <c r="BC132" s="98">
        <f t="shared" si="281"/>
        <v>0</v>
      </c>
      <c r="BD132" s="99">
        <f t="shared" si="281"/>
        <v>0</v>
      </c>
      <c r="BE132" s="100"/>
      <c r="BG132" s="222">
        <f t="shared" ref="BG132" si="282">C132</f>
        <v>0</v>
      </c>
      <c r="BH132" s="222"/>
      <c r="BI132" s="222"/>
      <c r="BJ132" s="247"/>
      <c r="BK132" s="265"/>
      <c r="BL132" s="222"/>
      <c r="BM132" s="249">
        <f t="shared" si="227"/>
        <v>0</v>
      </c>
      <c r="BN132" s="265"/>
      <c r="BO132" s="222"/>
      <c r="BP132" s="222"/>
      <c r="BQ132" s="265"/>
      <c r="BR132" s="265"/>
      <c r="BS132" s="265"/>
      <c r="BT132" s="244"/>
      <c r="BU132" s="222"/>
      <c r="BV132" s="244">
        <f t="shared" si="228"/>
        <v>0</v>
      </c>
      <c r="BW132" s="222"/>
    </row>
    <row r="133" spans="1:75" outlineLevel="1">
      <c r="A133" s="221"/>
      <c r="B133" s="222"/>
      <c r="C133" s="222"/>
      <c r="D133" s="225"/>
      <c r="E133" s="222"/>
      <c r="F133" s="222"/>
      <c r="G133" s="222"/>
      <c r="H133" s="266"/>
      <c r="I133" s="101"/>
      <c r="J133" s="102"/>
      <c r="K133" s="102"/>
      <c r="L133" s="102"/>
      <c r="M133" s="102"/>
      <c r="N133" s="102"/>
      <c r="O133" s="102"/>
      <c r="P133" s="102"/>
      <c r="Q133" s="102"/>
      <c r="R133" s="102"/>
      <c r="S133" s="102"/>
      <c r="T133" s="102"/>
      <c r="U133" s="102"/>
      <c r="V133" s="102"/>
      <c r="W133" s="102"/>
      <c r="X133" s="103"/>
      <c r="Y133" s="264"/>
      <c r="Z133" s="222"/>
      <c r="AA133" s="266"/>
      <c r="AB133" s="104">
        <f>ROUNDDOWN(AB132*10%,-1)</f>
        <v>0</v>
      </c>
      <c r="AC133" s="105">
        <f ca="1">IFERROR(IF(AND( OR(COUNTIF(I132:X133, "&gt;0")&gt;=$AJ$1, AA132&gt;=$AJ$4),AN132&lt;60,AA132&lt;=$AH$5),ROUNDDOWN(ROUNDDOWN(AA132,-3)*$AH$4%,-1),IF(AND(COUNTIF(I132:X133,"&gt;0")&gt;=$AJ$1,AN132&lt;60,AA132&gt;$AH$5),$AJ$5,0)),0)</f>
        <v>0</v>
      </c>
      <c r="AD133" s="106">
        <f>IF(Z132&gt;=$AJ$1,ROUNDDOWN(AD132*$AH$3%/($AH$2*2%),-1),0)</f>
        <v>0</v>
      </c>
      <c r="AE133" s="266"/>
      <c r="AF133" s="266"/>
      <c r="AG133" s="222"/>
      <c r="AH133" s="222"/>
      <c r="AI133" s="222"/>
      <c r="AJ133" s="222"/>
      <c r="AK133" s="250"/>
      <c r="AL133" s="250"/>
      <c r="AM133" s="251"/>
      <c r="AN133" s="252"/>
      <c r="AO133" s="266"/>
      <c r="AP133" s="107">
        <f t="shared" ref="AP133:BE133" si="283">IF($H132*I133&gt;150000,ROUNDDOWN(($H132*I133-150000)*6%*45%,0),0)</f>
        <v>0</v>
      </c>
      <c r="AQ133" s="108">
        <f t="shared" si="283"/>
        <v>0</v>
      </c>
      <c r="AR133" s="108">
        <f t="shared" si="283"/>
        <v>0</v>
      </c>
      <c r="AS133" s="108">
        <f t="shared" si="283"/>
        <v>0</v>
      </c>
      <c r="AT133" s="108">
        <f t="shared" si="283"/>
        <v>0</v>
      </c>
      <c r="AU133" s="108">
        <f t="shared" si="283"/>
        <v>0</v>
      </c>
      <c r="AV133" s="108">
        <f t="shared" si="283"/>
        <v>0</v>
      </c>
      <c r="AW133" s="108">
        <f t="shared" si="283"/>
        <v>0</v>
      </c>
      <c r="AX133" s="108">
        <f t="shared" si="283"/>
        <v>0</v>
      </c>
      <c r="AY133" s="108">
        <f t="shared" si="283"/>
        <v>0</v>
      </c>
      <c r="AZ133" s="108">
        <f t="shared" si="283"/>
        <v>0</v>
      </c>
      <c r="BA133" s="108">
        <f t="shared" si="283"/>
        <v>0</v>
      </c>
      <c r="BB133" s="108">
        <f t="shared" si="283"/>
        <v>0</v>
      </c>
      <c r="BC133" s="108">
        <f t="shared" si="283"/>
        <v>0</v>
      </c>
      <c r="BD133" s="108">
        <f t="shared" si="283"/>
        <v>0</v>
      </c>
      <c r="BE133" s="109">
        <f t="shared" si="283"/>
        <v>0</v>
      </c>
      <c r="BG133" s="222"/>
      <c r="BH133" s="222"/>
      <c r="BI133" s="222"/>
      <c r="BJ133" s="248"/>
      <c r="BK133" s="265"/>
      <c r="BL133" s="222"/>
      <c r="BM133" s="249"/>
      <c r="BN133" s="265"/>
      <c r="BO133" s="222"/>
      <c r="BP133" s="222"/>
      <c r="BQ133" s="265"/>
      <c r="BR133" s="265"/>
      <c r="BS133" s="265"/>
      <c r="BT133" s="244"/>
      <c r="BU133" s="222"/>
      <c r="BV133" s="244"/>
      <c r="BW133" s="222"/>
    </row>
    <row r="134" spans="1:75" outlineLevel="1">
      <c r="A134" s="221">
        <v>66</v>
      </c>
      <c r="B134" s="222" t="str">
        <f>IF(LEN(D134)&gt;1,IF(VALUE(MID(RIGHT(D134,7),1,1))&gt;4,"외국인",IF(VALUE(RIGHT(11-MOD((MID(D134,1,1)*2+MID(D134,2,1)*3+MID(D134,3,1)*4+MID(D134,4,1)*5+MID(D134,5,1)*6+MID(D134,6,1)*7+MID(RIGHT(D134,7),1,1)*8+MID(RIGHT(D134,7),2,1)*9+MID(RIGHT(D134,7),3,1)*2+MID(RIGHT(D134,7),4,1)*3+MID(RIGHT(D134,7),5,1)*4+MID(RIGHT(D134,7),6,1)*5),11),1))=VALUE(RIGHT(D134,1)),"","오류")),"")</f>
        <v/>
      </c>
      <c r="C134" s="222"/>
      <c r="D134" s="225"/>
      <c r="E134" s="222"/>
      <c r="F134" s="222"/>
      <c r="G134" s="222"/>
      <c r="H134" s="266"/>
      <c r="I134" s="89"/>
      <c r="J134" s="90"/>
      <c r="K134" s="90"/>
      <c r="L134" s="90"/>
      <c r="M134" s="90"/>
      <c r="N134" s="90"/>
      <c r="O134" s="90"/>
      <c r="P134" s="90"/>
      <c r="Q134" s="90"/>
      <c r="R134" s="90"/>
      <c r="S134" s="91"/>
      <c r="T134" s="91"/>
      <c r="U134" s="90"/>
      <c r="V134" s="90"/>
      <c r="W134" s="92"/>
      <c r="X134" s="93"/>
      <c r="Y134" s="264">
        <f>SUM(I134:X135)</f>
        <v>0</v>
      </c>
      <c r="Z134" s="222">
        <f>COUNTIF(I134:X135,"&gt;0")</f>
        <v>0</v>
      </c>
      <c r="AA134" s="266">
        <f>H134*Y134</f>
        <v>0</v>
      </c>
      <c r="AB134" s="94">
        <f>IF(AO134&lt;1000, 0, AO134)</f>
        <v>0</v>
      </c>
      <c r="AC134" s="95">
        <f ca="1">IF(IFERROR($AN134&lt;65,FALSE), IF(B134&lt;&gt;"외국인", ROUNDDOWN(AA134*$AH$1%,-1), IF(AND(AM134&lt;&gt;"", ISNUMBER(SEARCH(LEFT(SUBSTITUTE(AM134, "-",""),2), "F2_F5_F6"))), ROUNDDOWN(AA134*$AH$1%,-1), 0)),0)</f>
        <v>0</v>
      </c>
      <c r="AD134" s="96">
        <f>IF(Z134&gt;=$AJ$1,ROUNDDOWN(AA134*$AH$2%,-1),0)</f>
        <v>0</v>
      </c>
      <c r="AE134" s="266">
        <f ca="1">AB134+AC134+AB135+AC135+AD134+AD135</f>
        <v>0</v>
      </c>
      <c r="AF134" s="266">
        <f ca="1">AA134-AE134</f>
        <v>0</v>
      </c>
      <c r="AG134" s="222"/>
      <c r="AH134" s="222"/>
      <c r="AI134" s="222"/>
      <c r="AJ134" s="222"/>
      <c r="AK134" s="250"/>
      <c r="AL134" s="250"/>
      <c r="AM134" s="251"/>
      <c r="AN134" s="252" t="str">
        <f ca="1">IFERROR(DATEDIF(DATE(IF(ISNUMBER(FIND(MID( SUBSTITUTE(D134, "-",""), 7, 1), "3478")), 2000, 1900)+MID(D134,1,2), MID(D134,3,2), MID(D134,5,2)), TODAY(), "Y"),"")</f>
        <v/>
      </c>
      <c r="AO134" s="266">
        <f>ROUNDDOWN(SUM(AP134:BE135),-1)</f>
        <v>0</v>
      </c>
      <c r="AP134" s="97">
        <f t="shared" ref="AP134:BD134" si="284">IF($H134*I134&gt;150000,ROUNDDOWN(($H134*I134-150000)*6%*45%,0),0)</f>
        <v>0</v>
      </c>
      <c r="AQ134" s="98">
        <f t="shared" si="284"/>
        <v>0</v>
      </c>
      <c r="AR134" s="98">
        <f t="shared" si="284"/>
        <v>0</v>
      </c>
      <c r="AS134" s="98">
        <f t="shared" si="284"/>
        <v>0</v>
      </c>
      <c r="AT134" s="98">
        <f t="shared" si="284"/>
        <v>0</v>
      </c>
      <c r="AU134" s="98">
        <f t="shared" si="284"/>
        <v>0</v>
      </c>
      <c r="AV134" s="98">
        <f t="shared" si="284"/>
        <v>0</v>
      </c>
      <c r="AW134" s="98">
        <f t="shared" si="284"/>
        <v>0</v>
      </c>
      <c r="AX134" s="98">
        <f t="shared" si="284"/>
        <v>0</v>
      </c>
      <c r="AY134" s="98">
        <f t="shared" si="284"/>
        <v>0</v>
      </c>
      <c r="AZ134" s="98">
        <f t="shared" si="284"/>
        <v>0</v>
      </c>
      <c r="BA134" s="98">
        <f t="shared" si="284"/>
        <v>0</v>
      </c>
      <c r="BB134" s="98">
        <f t="shared" si="284"/>
        <v>0</v>
      </c>
      <c r="BC134" s="98">
        <f t="shared" si="284"/>
        <v>0</v>
      </c>
      <c r="BD134" s="99">
        <f t="shared" si="284"/>
        <v>0</v>
      </c>
      <c r="BE134" s="100"/>
      <c r="BG134" s="222">
        <f t="shared" ref="BG134" si="285">C134</f>
        <v>0</v>
      </c>
      <c r="BH134" s="222"/>
      <c r="BI134" s="222"/>
      <c r="BJ134" s="248"/>
      <c r="BK134" s="265"/>
      <c r="BL134" s="222"/>
      <c r="BM134" s="249">
        <f t="shared" si="227"/>
        <v>0</v>
      </c>
      <c r="BN134" s="265"/>
      <c r="BO134" s="222"/>
      <c r="BP134" s="222"/>
      <c r="BQ134" s="265"/>
      <c r="BR134" s="265"/>
      <c r="BS134" s="265"/>
      <c r="BT134" s="244"/>
      <c r="BU134" s="222"/>
      <c r="BV134" s="244">
        <f t="shared" si="228"/>
        <v>0</v>
      </c>
      <c r="BW134" s="222"/>
    </row>
    <row r="135" spans="1:75" outlineLevel="1">
      <c r="A135" s="221"/>
      <c r="B135" s="222"/>
      <c r="C135" s="222"/>
      <c r="D135" s="225"/>
      <c r="E135" s="222"/>
      <c r="F135" s="222"/>
      <c r="G135" s="222"/>
      <c r="H135" s="266"/>
      <c r="I135" s="101"/>
      <c r="J135" s="102"/>
      <c r="K135" s="102"/>
      <c r="L135" s="102"/>
      <c r="M135" s="102"/>
      <c r="N135" s="102"/>
      <c r="O135" s="102"/>
      <c r="P135" s="102"/>
      <c r="Q135" s="102"/>
      <c r="R135" s="102"/>
      <c r="S135" s="102"/>
      <c r="T135" s="102"/>
      <c r="U135" s="102"/>
      <c r="V135" s="102"/>
      <c r="W135" s="102"/>
      <c r="X135" s="103"/>
      <c r="Y135" s="264"/>
      <c r="Z135" s="222"/>
      <c r="AA135" s="266"/>
      <c r="AB135" s="104">
        <f>ROUNDDOWN(AB134*10%,-1)</f>
        <v>0</v>
      </c>
      <c r="AC135" s="105">
        <f ca="1">IFERROR(IF(AND( OR(COUNTIF(I134:X135, "&gt;0")&gt;=$AJ$1, AA134&gt;=$AJ$4),AN134&lt;60,AA134&lt;=$AH$5),ROUNDDOWN(ROUNDDOWN(AA134,-3)*$AH$4%,-1),IF(AND(COUNTIF(I134:X135,"&gt;0")&gt;=$AJ$1,AN134&lt;60,AA134&gt;$AH$5),$AJ$5,0)),0)</f>
        <v>0</v>
      </c>
      <c r="AD135" s="106">
        <f>IF(Z134&gt;=$AJ$1,ROUNDDOWN(AD134*$AH$3%/($AH$2*2%),-1),0)</f>
        <v>0</v>
      </c>
      <c r="AE135" s="266"/>
      <c r="AF135" s="266"/>
      <c r="AG135" s="222"/>
      <c r="AH135" s="222"/>
      <c r="AI135" s="222"/>
      <c r="AJ135" s="222"/>
      <c r="AK135" s="250"/>
      <c r="AL135" s="250"/>
      <c r="AM135" s="251"/>
      <c r="AN135" s="252"/>
      <c r="AO135" s="266"/>
      <c r="AP135" s="107">
        <f t="shared" ref="AP135:BE135" si="286">IF($H134*I135&gt;150000,ROUNDDOWN(($H134*I135-150000)*6%*45%,0),0)</f>
        <v>0</v>
      </c>
      <c r="AQ135" s="108">
        <f t="shared" si="286"/>
        <v>0</v>
      </c>
      <c r="AR135" s="108">
        <f t="shared" si="286"/>
        <v>0</v>
      </c>
      <c r="AS135" s="108">
        <f t="shared" si="286"/>
        <v>0</v>
      </c>
      <c r="AT135" s="108">
        <f t="shared" si="286"/>
        <v>0</v>
      </c>
      <c r="AU135" s="108">
        <f t="shared" si="286"/>
        <v>0</v>
      </c>
      <c r="AV135" s="108">
        <f t="shared" si="286"/>
        <v>0</v>
      </c>
      <c r="AW135" s="108">
        <f t="shared" si="286"/>
        <v>0</v>
      </c>
      <c r="AX135" s="108">
        <f t="shared" si="286"/>
        <v>0</v>
      </c>
      <c r="AY135" s="108">
        <f t="shared" si="286"/>
        <v>0</v>
      </c>
      <c r="AZ135" s="108">
        <f t="shared" si="286"/>
        <v>0</v>
      </c>
      <c r="BA135" s="108">
        <f t="shared" si="286"/>
        <v>0</v>
      </c>
      <c r="BB135" s="108">
        <f t="shared" si="286"/>
        <v>0</v>
      </c>
      <c r="BC135" s="108">
        <f t="shared" si="286"/>
        <v>0</v>
      </c>
      <c r="BD135" s="108">
        <f t="shared" si="286"/>
        <v>0</v>
      </c>
      <c r="BE135" s="109">
        <f t="shared" si="286"/>
        <v>0</v>
      </c>
      <c r="BG135" s="222"/>
      <c r="BH135" s="222"/>
      <c r="BI135" s="222"/>
      <c r="BJ135" s="248"/>
      <c r="BK135" s="265"/>
      <c r="BL135" s="222"/>
      <c r="BM135" s="249"/>
      <c r="BN135" s="265"/>
      <c r="BO135" s="222"/>
      <c r="BP135" s="222"/>
      <c r="BQ135" s="265"/>
      <c r="BR135" s="265"/>
      <c r="BS135" s="265"/>
      <c r="BT135" s="244"/>
      <c r="BU135" s="222"/>
      <c r="BV135" s="244"/>
      <c r="BW135" s="222"/>
    </row>
    <row r="136" spans="1:75" outlineLevel="1">
      <c r="A136" s="221">
        <v>67</v>
      </c>
      <c r="B136" s="222" t="str">
        <f>IF(LEN(D136)&gt;1,IF(VALUE(MID(RIGHT(D136,7),1,1))&gt;4,"외국인",IF(VALUE(RIGHT(11-MOD((MID(D136,1,1)*2+MID(D136,2,1)*3+MID(D136,3,1)*4+MID(D136,4,1)*5+MID(D136,5,1)*6+MID(D136,6,1)*7+MID(RIGHT(D136,7),1,1)*8+MID(RIGHT(D136,7),2,1)*9+MID(RIGHT(D136,7),3,1)*2+MID(RIGHT(D136,7),4,1)*3+MID(RIGHT(D136,7),5,1)*4+MID(RIGHT(D136,7),6,1)*5),11),1))=VALUE(RIGHT(D136,1)),"","오류")),"")</f>
        <v/>
      </c>
      <c r="C136" s="222"/>
      <c r="D136" s="225"/>
      <c r="E136" s="222"/>
      <c r="F136" s="222"/>
      <c r="G136" s="222"/>
      <c r="H136" s="266"/>
      <c r="I136" s="89"/>
      <c r="J136" s="90"/>
      <c r="K136" s="90"/>
      <c r="L136" s="90"/>
      <c r="M136" s="90"/>
      <c r="N136" s="90"/>
      <c r="O136" s="90"/>
      <c r="P136" s="90"/>
      <c r="Q136" s="90"/>
      <c r="R136" s="90"/>
      <c r="S136" s="91"/>
      <c r="T136" s="91"/>
      <c r="U136" s="90"/>
      <c r="V136" s="90"/>
      <c r="W136" s="92"/>
      <c r="X136" s="93"/>
      <c r="Y136" s="264">
        <f>SUM(I136:X137)</f>
        <v>0</v>
      </c>
      <c r="Z136" s="222">
        <f>COUNTIF(I136:X137,"&gt;0")</f>
        <v>0</v>
      </c>
      <c r="AA136" s="266">
        <f>H136*Y136</f>
        <v>0</v>
      </c>
      <c r="AB136" s="94">
        <f>IF(AO136&lt;1000, 0, AO136)</f>
        <v>0</v>
      </c>
      <c r="AC136" s="95">
        <f ca="1">IF(IFERROR($AN136&lt;65,FALSE), IF(B136&lt;&gt;"외국인", ROUNDDOWN(AA136*$AH$1%,-1), IF(AND(AM136&lt;&gt;"", ISNUMBER(SEARCH(LEFT(SUBSTITUTE(AM136, "-",""),2), "F2_F5_F6"))), ROUNDDOWN(AA136*$AH$1%,-1), 0)),0)</f>
        <v>0</v>
      </c>
      <c r="AD136" s="96">
        <f>IF(Z136&gt;=$AJ$1,ROUNDDOWN(AA136*$AH$2%,-1),0)</f>
        <v>0</v>
      </c>
      <c r="AE136" s="266">
        <f ca="1">AB136+AC136+AB137+AC137+AD136+AD137</f>
        <v>0</v>
      </c>
      <c r="AF136" s="266">
        <f ca="1">AA136-AE136</f>
        <v>0</v>
      </c>
      <c r="AG136" s="222"/>
      <c r="AH136" s="222"/>
      <c r="AI136" s="222"/>
      <c r="AJ136" s="222"/>
      <c r="AK136" s="250"/>
      <c r="AL136" s="250"/>
      <c r="AM136" s="251"/>
      <c r="AN136" s="252" t="str">
        <f ca="1">IFERROR(DATEDIF(DATE(IF(ISNUMBER(FIND(MID( SUBSTITUTE(D136, "-",""), 7, 1), "3478")), 2000, 1900)+MID(D136,1,2), MID(D136,3,2), MID(D136,5,2)), TODAY(), "Y"),"")</f>
        <v/>
      </c>
      <c r="AO136" s="266">
        <f>ROUNDDOWN(SUM(AP136:BE137),-1)</f>
        <v>0</v>
      </c>
      <c r="AP136" s="97">
        <f t="shared" ref="AP136:BD136" si="287">IF($H136*I136&gt;150000,ROUNDDOWN(($H136*I136-150000)*6%*45%,0),0)</f>
        <v>0</v>
      </c>
      <c r="AQ136" s="98">
        <f t="shared" si="287"/>
        <v>0</v>
      </c>
      <c r="AR136" s="98">
        <f t="shared" si="287"/>
        <v>0</v>
      </c>
      <c r="AS136" s="98">
        <f t="shared" si="287"/>
        <v>0</v>
      </c>
      <c r="AT136" s="98">
        <f t="shared" si="287"/>
        <v>0</v>
      </c>
      <c r="AU136" s="98">
        <f t="shared" si="287"/>
        <v>0</v>
      </c>
      <c r="AV136" s="98">
        <f t="shared" si="287"/>
        <v>0</v>
      </c>
      <c r="AW136" s="98">
        <f t="shared" si="287"/>
        <v>0</v>
      </c>
      <c r="AX136" s="98">
        <f t="shared" si="287"/>
        <v>0</v>
      </c>
      <c r="AY136" s="98">
        <f t="shared" si="287"/>
        <v>0</v>
      </c>
      <c r="AZ136" s="98">
        <f t="shared" si="287"/>
        <v>0</v>
      </c>
      <c r="BA136" s="98">
        <f t="shared" si="287"/>
        <v>0</v>
      </c>
      <c r="BB136" s="98">
        <f t="shared" si="287"/>
        <v>0</v>
      </c>
      <c r="BC136" s="98">
        <f t="shared" si="287"/>
        <v>0</v>
      </c>
      <c r="BD136" s="99">
        <f t="shared" si="287"/>
        <v>0</v>
      </c>
      <c r="BE136" s="100"/>
      <c r="BG136" s="222">
        <f t="shared" ref="BG136" si="288">C136</f>
        <v>0</v>
      </c>
      <c r="BH136" s="222"/>
      <c r="BI136" s="222"/>
      <c r="BJ136" s="271"/>
      <c r="BK136" s="265"/>
      <c r="BL136" s="222"/>
      <c r="BM136" s="249">
        <f t="shared" si="227"/>
        <v>0</v>
      </c>
      <c r="BN136" s="265"/>
      <c r="BO136" s="222"/>
      <c r="BP136" s="222"/>
      <c r="BQ136" s="265"/>
      <c r="BR136" s="265"/>
      <c r="BS136" s="265"/>
      <c r="BT136" s="244"/>
      <c r="BU136" s="222"/>
      <c r="BV136" s="244">
        <f t="shared" si="228"/>
        <v>0</v>
      </c>
      <c r="BW136" s="222"/>
    </row>
    <row r="137" spans="1:75" outlineLevel="1">
      <c r="A137" s="221"/>
      <c r="B137" s="222"/>
      <c r="C137" s="222"/>
      <c r="D137" s="225"/>
      <c r="E137" s="222"/>
      <c r="F137" s="222"/>
      <c r="G137" s="222"/>
      <c r="H137" s="266"/>
      <c r="I137" s="101"/>
      <c r="J137" s="102"/>
      <c r="K137" s="102"/>
      <c r="L137" s="102"/>
      <c r="M137" s="102"/>
      <c r="N137" s="102"/>
      <c r="O137" s="102"/>
      <c r="P137" s="102"/>
      <c r="Q137" s="102"/>
      <c r="R137" s="102"/>
      <c r="S137" s="102"/>
      <c r="T137" s="102"/>
      <c r="U137" s="102"/>
      <c r="V137" s="102"/>
      <c r="W137" s="102"/>
      <c r="X137" s="103"/>
      <c r="Y137" s="264"/>
      <c r="Z137" s="222"/>
      <c r="AA137" s="266"/>
      <c r="AB137" s="104">
        <f>ROUNDDOWN(AB136*10%,-1)</f>
        <v>0</v>
      </c>
      <c r="AC137" s="105">
        <f ca="1">IFERROR(IF(AND( OR(COUNTIF(I136:X137, "&gt;0")&gt;=$AJ$1, AA136&gt;=$AJ$4),AN136&lt;60,AA136&lt;=$AH$5),ROUNDDOWN(ROUNDDOWN(AA136,-3)*$AH$4%,-1),IF(AND(COUNTIF(I136:X137,"&gt;0")&gt;=$AJ$1,AN136&lt;60,AA136&gt;$AH$5),$AJ$5,0)),0)</f>
        <v>0</v>
      </c>
      <c r="AD137" s="106">
        <f>IF(Z136&gt;=$AJ$1,ROUNDDOWN(AD136*$AH$3%/($AH$2*2%),-1),0)</f>
        <v>0</v>
      </c>
      <c r="AE137" s="266"/>
      <c r="AF137" s="266"/>
      <c r="AG137" s="222"/>
      <c r="AH137" s="222"/>
      <c r="AI137" s="222"/>
      <c r="AJ137" s="222"/>
      <c r="AK137" s="250"/>
      <c r="AL137" s="250"/>
      <c r="AM137" s="251"/>
      <c r="AN137" s="252"/>
      <c r="AO137" s="266"/>
      <c r="AP137" s="107">
        <f t="shared" ref="AP137:BE137" si="289">IF($H136*I137&gt;150000,ROUNDDOWN(($H136*I137-150000)*6%*45%,0),0)</f>
        <v>0</v>
      </c>
      <c r="AQ137" s="108">
        <f t="shared" si="289"/>
        <v>0</v>
      </c>
      <c r="AR137" s="108">
        <f t="shared" si="289"/>
        <v>0</v>
      </c>
      <c r="AS137" s="108">
        <f t="shared" si="289"/>
        <v>0</v>
      </c>
      <c r="AT137" s="108">
        <f t="shared" si="289"/>
        <v>0</v>
      </c>
      <c r="AU137" s="108">
        <f t="shared" si="289"/>
        <v>0</v>
      </c>
      <c r="AV137" s="108">
        <f t="shared" si="289"/>
        <v>0</v>
      </c>
      <c r="AW137" s="108">
        <f t="shared" si="289"/>
        <v>0</v>
      </c>
      <c r="AX137" s="108">
        <f t="shared" si="289"/>
        <v>0</v>
      </c>
      <c r="AY137" s="108">
        <f t="shared" si="289"/>
        <v>0</v>
      </c>
      <c r="AZ137" s="108">
        <f t="shared" si="289"/>
        <v>0</v>
      </c>
      <c r="BA137" s="108">
        <f t="shared" si="289"/>
        <v>0</v>
      </c>
      <c r="BB137" s="108">
        <f t="shared" si="289"/>
        <v>0</v>
      </c>
      <c r="BC137" s="108">
        <f t="shared" si="289"/>
        <v>0</v>
      </c>
      <c r="BD137" s="108">
        <f t="shared" si="289"/>
        <v>0</v>
      </c>
      <c r="BE137" s="109">
        <f t="shared" si="289"/>
        <v>0</v>
      </c>
      <c r="BG137" s="222"/>
      <c r="BH137" s="222"/>
      <c r="BI137" s="222"/>
      <c r="BJ137" s="271"/>
      <c r="BK137" s="265"/>
      <c r="BL137" s="222"/>
      <c r="BM137" s="249"/>
      <c r="BN137" s="265"/>
      <c r="BO137" s="222"/>
      <c r="BP137" s="222"/>
      <c r="BQ137" s="265"/>
      <c r="BR137" s="265"/>
      <c r="BS137" s="265"/>
      <c r="BT137" s="244"/>
      <c r="BU137" s="222"/>
      <c r="BV137" s="244"/>
      <c r="BW137" s="222"/>
    </row>
    <row r="138" spans="1:75" outlineLevel="1">
      <c r="A138" s="221">
        <v>68</v>
      </c>
      <c r="B138" s="222" t="str">
        <f>IF(LEN(D138)&gt;1,IF(VALUE(MID(RIGHT(D138,7),1,1))&gt;4,"외국인",IF(VALUE(RIGHT(11-MOD((MID(D138,1,1)*2+MID(D138,2,1)*3+MID(D138,3,1)*4+MID(D138,4,1)*5+MID(D138,5,1)*6+MID(D138,6,1)*7+MID(RIGHT(D138,7),1,1)*8+MID(RIGHT(D138,7),2,1)*9+MID(RIGHT(D138,7),3,1)*2+MID(RIGHT(D138,7),4,1)*3+MID(RIGHT(D138,7),5,1)*4+MID(RIGHT(D138,7),6,1)*5),11),1))=VALUE(RIGHT(D138,1)),"","오류")),"")</f>
        <v/>
      </c>
      <c r="C138" s="222"/>
      <c r="D138" s="225"/>
      <c r="E138" s="222"/>
      <c r="F138" s="222"/>
      <c r="G138" s="222"/>
      <c r="H138" s="266"/>
      <c r="I138" s="89"/>
      <c r="J138" s="90"/>
      <c r="K138" s="90"/>
      <c r="L138" s="90"/>
      <c r="M138" s="90"/>
      <c r="N138" s="90"/>
      <c r="O138" s="90"/>
      <c r="P138" s="90"/>
      <c r="Q138" s="90"/>
      <c r="R138" s="90"/>
      <c r="S138" s="91"/>
      <c r="T138" s="91"/>
      <c r="U138" s="90"/>
      <c r="V138" s="90"/>
      <c r="W138" s="92"/>
      <c r="X138" s="93"/>
      <c r="Y138" s="264">
        <f>SUM(I138:X139)</f>
        <v>0</v>
      </c>
      <c r="Z138" s="222">
        <f>COUNTIF(I138:X139,"&gt;0")</f>
        <v>0</v>
      </c>
      <c r="AA138" s="266">
        <f>H138*Y138</f>
        <v>0</v>
      </c>
      <c r="AB138" s="94">
        <f>IF(AO138&lt;1000, 0, AO138)</f>
        <v>0</v>
      </c>
      <c r="AC138" s="95">
        <f ca="1">IF(IFERROR($AN138&lt;65,FALSE), IF(B138&lt;&gt;"외국인", ROUNDDOWN(AA138*$AH$1%,-1), IF(AND(AM138&lt;&gt;"", ISNUMBER(SEARCH(LEFT(SUBSTITUTE(AM138, "-",""),2), "F2_F5_F6"))), ROUNDDOWN(AA138*$AH$1%,-1), 0)),0)</f>
        <v>0</v>
      </c>
      <c r="AD138" s="96">
        <f>IF(Z138&gt;=$AJ$1,ROUNDDOWN(AA138*$AH$2%,-1),0)</f>
        <v>0</v>
      </c>
      <c r="AE138" s="266">
        <f ca="1">AB138+AC138+AB139+AC139+AD138+AD139</f>
        <v>0</v>
      </c>
      <c r="AF138" s="266">
        <f ca="1">AA138-AE138</f>
        <v>0</v>
      </c>
      <c r="AG138" s="222"/>
      <c r="AH138" s="222"/>
      <c r="AI138" s="222"/>
      <c r="AJ138" s="222"/>
      <c r="AK138" s="250"/>
      <c r="AL138" s="250"/>
      <c r="AM138" s="251"/>
      <c r="AN138" s="252" t="str">
        <f ca="1">IFERROR(DATEDIF(DATE(IF(ISNUMBER(FIND(MID( SUBSTITUTE(D138, "-",""), 7, 1), "3478")), 2000, 1900)+MID(D138,1,2), MID(D138,3,2), MID(D138,5,2)), TODAY(), "Y"),"")</f>
        <v/>
      </c>
      <c r="AO138" s="266">
        <f>ROUNDDOWN(SUM(AP138:BE139),-1)</f>
        <v>0</v>
      </c>
      <c r="AP138" s="97">
        <f t="shared" ref="AP138:BD138" si="290">IF($H138*I138&gt;150000,ROUNDDOWN(($H138*I138-150000)*6%*45%,0),0)</f>
        <v>0</v>
      </c>
      <c r="AQ138" s="98">
        <f t="shared" si="290"/>
        <v>0</v>
      </c>
      <c r="AR138" s="98">
        <f t="shared" si="290"/>
        <v>0</v>
      </c>
      <c r="AS138" s="98">
        <f t="shared" si="290"/>
        <v>0</v>
      </c>
      <c r="AT138" s="98">
        <f t="shared" si="290"/>
        <v>0</v>
      </c>
      <c r="AU138" s="98">
        <f t="shared" si="290"/>
        <v>0</v>
      </c>
      <c r="AV138" s="98">
        <f t="shared" si="290"/>
        <v>0</v>
      </c>
      <c r="AW138" s="98">
        <f t="shared" si="290"/>
        <v>0</v>
      </c>
      <c r="AX138" s="98">
        <f t="shared" si="290"/>
        <v>0</v>
      </c>
      <c r="AY138" s="98">
        <f t="shared" si="290"/>
        <v>0</v>
      </c>
      <c r="AZ138" s="98">
        <f t="shared" si="290"/>
        <v>0</v>
      </c>
      <c r="BA138" s="98">
        <f t="shared" si="290"/>
        <v>0</v>
      </c>
      <c r="BB138" s="98">
        <f t="shared" si="290"/>
        <v>0</v>
      </c>
      <c r="BC138" s="98">
        <f t="shared" si="290"/>
        <v>0</v>
      </c>
      <c r="BD138" s="99">
        <f t="shared" si="290"/>
        <v>0</v>
      </c>
      <c r="BE138" s="100"/>
      <c r="BG138" s="222">
        <f t="shared" ref="BG138" si="291">C138</f>
        <v>0</v>
      </c>
      <c r="BH138" s="222"/>
      <c r="BI138" s="222"/>
      <c r="BJ138" s="267"/>
      <c r="BK138" s="265"/>
      <c r="BL138" s="222"/>
      <c r="BM138" s="249">
        <f t="shared" si="227"/>
        <v>0</v>
      </c>
      <c r="BN138" s="265"/>
      <c r="BO138" s="222"/>
      <c r="BP138" s="222"/>
      <c r="BQ138" s="265"/>
      <c r="BR138" s="265"/>
      <c r="BS138" s="265"/>
      <c r="BT138" s="244"/>
      <c r="BU138" s="222"/>
      <c r="BV138" s="244">
        <f t="shared" si="228"/>
        <v>0</v>
      </c>
      <c r="BW138" s="222"/>
    </row>
    <row r="139" spans="1:75" outlineLevel="1">
      <c r="A139" s="221"/>
      <c r="B139" s="222"/>
      <c r="C139" s="222"/>
      <c r="D139" s="225"/>
      <c r="E139" s="222"/>
      <c r="F139" s="222"/>
      <c r="G139" s="222"/>
      <c r="H139" s="266"/>
      <c r="I139" s="101"/>
      <c r="J139" s="102"/>
      <c r="K139" s="102"/>
      <c r="L139" s="102"/>
      <c r="M139" s="102"/>
      <c r="N139" s="102"/>
      <c r="O139" s="102"/>
      <c r="P139" s="102"/>
      <c r="Q139" s="102"/>
      <c r="R139" s="102"/>
      <c r="S139" s="102"/>
      <c r="T139" s="102"/>
      <c r="U139" s="102"/>
      <c r="V139" s="102"/>
      <c r="W139" s="102"/>
      <c r="X139" s="103"/>
      <c r="Y139" s="264"/>
      <c r="Z139" s="222"/>
      <c r="AA139" s="266"/>
      <c r="AB139" s="104">
        <f>ROUNDDOWN(AB138*10%,-1)</f>
        <v>0</v>
      </c>
      <c r="AC139" s="105">
        <f ca="1">IFERROR(IF(AND( OR(COUNTIF(I138:X139, "&gt;0")&gt;=$AJ$1, AA138&gt;=$AJ$4),AN138&lt;60,AA138&lt;=$AH$5),ROUNDDOWN(ROUNDDOWN(AA138,-3)*$AH$4%,-1),IF(AND(COUNTIF(I138:X139,"&gt;0")&gt;=$AJ$1,AN138&lt;60,AA138&gt;$AH$5),$AJ$5,0)),0)</f>
        <v>0</v>
      </c>
      <c r="AD139" s="106">
        <f>IF(Z138&gt;=$AJ$1,ROUNDDOWN(AD138*$AH$3%/($AH$2*2%),-1),0)</f>
        <v>0</v>
      </c>
      <c r="AE139" s="266"/>
      <c r="AF139" s="266"/>
      <c r="AG139" s="222"/>
      <c r="AH139" s="222"/>
      <c r="AI139" s="222"/>
      <c r="AJ139" s="222"/>
      <c r="AK139" s="250"/>
      <c r="AL139" s="250"/>
      <c r="AM139" s="251"/>
      <c r="AN139" s="252"/>
      <c r="AO139" s="266"/>
      <c r="AP139" s="107">
        <f t="shared" ref="AP139:BE139" si="292">IF($H138*I139&gt;150000,ROUNDDOWN(($H138*I139-150000)*6%*45%,0),0)</f>
        <v>0</v>
      </c>
      <c r="AQ139" s="108">
        <f t="shared" si="292"/>
        <v>0</v>
      </c>
      <c r="AR139" s="108">
        <f t="shared" si="292"/>
        <v>0</v>
      </c>
      <c r="AS139" s="108">
        <f t="shared" si="292"/>
        <v>0</v>
      </c>
      <c r="AT139" s="108">
        <f t="shared" si="292"/>
        <v>0</v>
      </c>
      <c r="AU139" s="108">
        <f t="shared" si="292"/>
        <v>0</v>
      </c>
      <c r="AV139" s="108">
        <f t="shared" si="292"/>
        <v>0</v>
      </c>
      <c r="AW139" s="108">
        <f t="shared" si="292"/>
        <v>0</v>
      </c>
      <c r="AX139" s="108">
        <f t="shared" si="292"/>
        <v>0</v>
      </c>
      <c r="AY139" s="108">
        <f t="shared" si="292"/>
        <v>0</v>
      </c>
      <c r="AZ139" s="108">
        <f t="shared" si="292"/>
        <v>0</v>
      </c>
      <c r="BA139" s="108">
        <f t="shared" si="292"/>
        <v>0</v>
      </c>
      <c r="BB139" s="108">
        <f t="shared" si="292"/>
        <v>0</v>
      </c>
      <c r="BC139" s="108">
        <f t="shared" si="292"/>
        <v>0</v>
      </c>
      <c r="BD139" s="108">
        <f t="shared" si="292"/>
        <v>0</v>
      </c>
      <c r="BE139" s="109">
        <f t="shared" si="292"/>
        <v>0</v>
      </c>
      <c r="BG139" s="222"/>
      <c r="BH139" s="222"/>
      <c r="BI139" s="222"/>
      <c r="BJ139" s="268"/>
      <c r="BK139" s="265"/>
      <c r="BL139" s="222"/>
      <c r="BM139" s="249"/>
      <c r="BN139" s="265"/>
      <c r="BO139" s="222"/>
      <c r="BP139" s="222"/>
      <c r="BQ139" s="265"/>
      <c r="BR139" s="265"/>
      <c r="BS139" s="265"/>
      <c r="BT139" s="244"/>
      <c r="BU139" s="222"/>
      <c r="BV139" s="244"/>
      <c r="BW139" s="222"/>
    </row>
    <row r="140" spans="1:75" outlineLevel="1">
      <c r="A140" s="221">
        <v>69</v>
      </c>
      <c r="B140" s="222" t="str">
        <f>IF(LEN(D140)&gt;1,IF(VALUE(MID(RIGHT(D140,7),1,1))&gt;4,"외국인",IF(VALUE(RIGHT(11-MOD((MID(D140,1,1)*2+MID(D140,2,1)*3+MID(D140,3,1)*4+MID(D140,4,1)*5+MID(D140,5,1)*6+MID(D140,6,1)*7+MID(RIGHT(D140,7),1,1)*8+MID(RIGHT(D140,7),2,1)*9+MID(RIGHT(D140,7),3,1)*2+MID(RIGHT(D140,7),4,1)*3+MID(RIGHT(D140,7),5,1)*4+MID(RIGHT(D140,7),6,1)*5),11),1))=VALUE(RIGHT(D140,1)),"","오류")),"")</f>
        <v/>
      </c>
      <c r="C140" s="222"/>
      <c r="D140" s="225"/>
      <c r="E140" s="222"/>
      <c r="F140" s="222"/>
      <c r="G140" s="222"/>
      <c r="H140" s="266"/>
      <c r="I140" s="89"/>
      <c r="J140" s="90"/>
      <c r="K140" s="90"/>
      <c r="L140" s="90"/>
      <c r="M140" s="90"/>
      <c r="N140" s="90"/>
      <c r="O140" s="90"/>
      <c r="P140" s="90"/>
      <c r="Q140" s="90"/>
      <c r="R140" s="90"/>
      <c r="S140" s="91"/>
      <c r="T140" s="91"/>
      <c r="U140" s="90"/>
      <c r="V140" s="90"/>
      <c r="W140" s="92"/>
      <c r="X140" s="93"/>
      <c r="Y140" s="264">
        <f>SUM(I140:X141)</f>
        <v>0</v>
      </c>
      <c r="Z140" s="222">
        <f>COUNTIF(I140:X141,"&gt;0")</f>
        <v>0</v>
      </c>
      <c r="AA140" s="266">
        <f>H140*Y140</f>
        <v>0</v>
      </c>
      <c r="AB140" s="94">
        <f>IF(AO140&lt;1000, 0, AO140)</f>
        <v>0</v>
      </c>
      <c r="AC140" s="95">
        <f ca="1">IF(IFERROR($AN140&lt;65,FALSE), IF(B140&lt;&gt;"외국인", ROUNDDOWN(AA140*$AH$1%,-1), IF(AND(AM140&lt;&gt;"", ISNUMBER(SEARCH(LEFT(SUBSTITUTE(AM140, "-",""),2), "F2_F5_F6"))), ROUNDDOWN(AA140*$AH$1%,-1), 0)),0)</f>
        <v>0</v>
      </c>
      <c r="AD140" s="96">
        <f>IF(Z140&gt;=$AJ$1,ROUNDDOWN(AA140*$AH$2%,-1),0)</f>
        <v>0</v>
      </c>
      <c r="AE140" s="266">
        <f ca="1">AB140+AC140+AB141+AC141+AD140+AD141</f>
        <v>0</v>
      </c>
      <c r="AF140" s="266">
        <f ca="1">AA140-AE140</f>
        <v>0</v>
      </c>
      <c r="AG140" s="222"/>
      <c r="AH140" s="222"/>
      <c r="AI140" s="222"/>
      <c r="AJ140" s="222"/>
      <c r="AK140" s="250"/>
      <c r="AL140" s="250"/>
      <c r="AM140" s="251"/>
      <c r="AN140" s="252" t="str">
        <f ca="1">IFERROR(DATEDIF(DATE(IF(ISNUMBER(FIND(MID( SUBSTITUTE(D140, "-",""), 7, 1), "3478")), 2000, 1900)+MID(D140,1,2), MID(D140,3,2), MID(D140,5,2)), TODAY(), "Y"),"")</f>
        <v/>
      </c>
      <c r="AO140" s="266">
        <f>ROUNDDOWN(SUM(AP140:BE141),-1)</f>
        <v>0</v>
      </c>
      <c r="AP140" s="97">
        <f t="shared" ref="AP140:BD140" si="293">IF($H140*I140&gt;150000,ROUNDDOWN(($H140*I140-150000)*6%*45%,0),0)</f>
        <v>0</v>
      </c>
      <c r="AQ140" s="98">
        <f t="shared" si="293"/>
        <v>0</v>
      </c>
      <c r="AR140" s="98">
        <f t="shared" si="293"/>
        <v>0</v>
      </c>
      <c r="AS140" s="98">
        <f t="shared" si="293"/>
        <v>0</v>
      </c>
      <c r="AT140" s="98">
        <f t="shared" si="293"/>
        <v>0</v>
      </c>
      <c r="AU140" s="98">
        <f t="shared" si="293"/>
        <v>0</v>
      </c>
      <c r="AV140" s="98">
        <f t="shared" si="293"/>
        <v>0</v>
      </c>
      <c r="AW140" s="98">
        <f t="shared" si="293"/>
        <v>0</v>
      </c>
      <c r="AX140" s="98">
        <f t="shared" si="293"/>
        <v>0</v>
      </c>
      <c r="AY140" s="98">
        <f t="shared" si="293"/>
        <v>0</v>
      </c>
      <c r="AZ140" s="98">
        <f t="shared" si="293"/>
        <v>0</v>
      </c>
      <c r="BA140" s="98">
        <f t="shared" si="293"/>
        <v>0</v>
      </c>
      <c r="BB140" s="98">
        <f t="shared" si="293"/>
        <v>0</v>
      </c>
      <c r="BC140" s="98">
        <f t="shared" si="293"/>
        <v>0</v>
      </c>
      <c r="BD140" s="99">
        <f t="shared" si="293"/>
        <v>0</v>
      </c>
      <c r="BE140" s="100"/>
      <c r="BG140" s="222">
        <f t="shared" ref="BG140" si="294">C140</f>
        <v>0</v>
      </c>
      <c r="BH140" s="222"/>
      <c r="BI140" s="222"/>
      <c r="BJ140" s="248"/>
      <c r="BK140" s="265"/>
      <c r="BL140" s="222"/>
      <c r="BM140" s="249">
        <f t="shared" si="227"/>
        <v>0</v>
      </c>
      <c r="BN140" s="265"/>
      <c r="BO140" s="222"/>
      <c r="BP140" s="222"/>
      <c r="BQ140" s="265"/>
      <c r="BR140" s="265"/>
      <c r="BS140" s="265"/>
      <c r="BT140" s="244"/>
      <c r="BU140" s="222"/>
      <c r="BV140" s="244">
        <f t="shared" si="228"/>
        <v>0</v>
      </c>
      <c r="BW140" s="222"/>
    </row>
    <row r="141" spans="1:75" outlineLevel="1">
      <c r="A141" s="221"/>
      <c r="B141" s="222"/>
      <c r="C141" s="222"/>
      <c r="D141" s="225"/>
      <c r="E141" s="222"/>
      <c r="F141" s="222"/>
      <c r="G141" s="222"/>
      <c r="H141" s="266"/>
      <c r="I141" s="101"/>
      <c r="J141" s="102"/>
      <c r="K141" s="102"/>
      <c r="L141" s="102"/>
      <c r="M141" s="102"/>
      <c r="N141" s="102"/>
      <c r="O141" s="102"/>
      <c r="P141" s="102"/>
      <c r="Q141" s="102"/>
      <c r="R141" s="102"/>
      <c r="S141" s="102"/>
      <c r="T141" s="102"/>
      <c r="U141" s="102"/>
      <c r="V141" s="102"/>
      <c r="W141" s="102"/>
      <c r="X141" s="103"/>
      <c r="Y141" s="264"/>
      <c r="Z141" s="222"/>
      <c r="AA141" s="266"/>
      <c r="AB141" s="104">
        <f>ROUNDDOWN(AB140*10%,-1)</f>
        <v>0</v>
      </c>
      <c r="AC141" s="105">
        <f ca="1">IFERROR(IF(AND( OR(COUNTIF(I140:X141, "&gt;0")&gt;=$AJ$1, AA140&gt;=$AJ$4),AN140&lt;60,AA140&lt;=$AH$5),ROUNDDOWN(ROUNDDOWN(AA140,-3)*$AH$4%,-1),IF(AND(COUNTIF(I140:X141,"&gt;0")&gt;=$AJ$1,AN140&lt;60,AA140&gt;$AH$5),$AJ$5,0)),0)</f>
        <v>0</v>
      </c>
      <c r="AD141" s="106">
        <f>IF(Z140&gt;=$AJ$1,ROUNDDOWN(AD140*$AH$3%/($AH$2*2%),-1),0)</f>
        <v>0</v>
      </c>
      <c r="AE141" s="266"/>
      <c r="AF141" s="266"/>
      <c r="AG141" s="222"/>
      <c r="AH141" s="222"/>
      <c r="AI141" s="222"/>
      <c r="AJ141" s="222"/>
      <c r="AK141" s="250"/>
      <c r="AL141" s="250"/>
      <c r="AM141" s="251"/>
      <c r="AN141" s="252"/>
      <c r="AO141" s="266"/>
      <c r="AP141" s="107">
        <f t="shared" ref="AP141:BE141" si="295">IF($H140*I141&gt;150000,ROUNDDOWN(($H140*I141-150000)*6%*45%,0),0)</f>
        <v>0</v>
      </c>
      <c r="AQ141" s="108">
        <f t="shared" si="295"/>
        <v>0</v>
      </c>
      <c r="AR141" s="108">
        <f t="shared" si="295"/>
        <v>0</v>
      </c>
      <c r="AS141" s="108">
        <f t="shared" si="295"/>
        <v>0</v>
      </c>
      <c r="AT141" s="108">
        <f t="shared" si="295"/>
        <v>0</v>
      </c>
      <c r="AU141" s="108">
        <f t="shared" si="295"/>
        <v>0</v>
      </c>
      <c r="AV141" s="108">
        <f t="shared" si="295"/>
        <v>0</v>
      </c>
      <c r="AW141" s="108">
        <f t="shared" si="295"/>
        <v>0</v>
      </c>
      <c r="AX141" s="108">
        <f t="shared" si="295"/>
        <v>0</v>
      </c>
      <c r="AY141" s="108">
        <f t="shared" si="295"/>
        <v>0</v>
      </c>
      <c r="AZ141" s="108">
        <f t="shared" si="295"/>
        <v>0</v>
      </c>
      <c r="BA141" s="108">
        <f t="shared" si="295"/>
        <v>0</v>
      </c>
      <c r="BB141" s="108">
        <f t="shared" si="295"/>
        <v>0</v>
      </c>
      <c r="BC141" s="108">
        <f t="shared" si="295"/>
        <v>0</v>
      </c>
      <c r="BD141" s="108">
        <f t="shared" si="295"/>
        <v>0</v>
      </c>
      <c r="BE141" s="109">
        <f t="shared" si="295"/>
        <v>0</v>
      </c>
      <c r="BG141" s="222"/>
      <c r="BH141" s="222"/>
      <c r="BI141" s="222"/>
      <c r="BJ141" s="248"/>
      <c r="BK141" s="265"/>
      <c r="BL141" s="222"/>
      <c r="BM141" s="249"/>
      <c r="BN141" s="265"/>
      <c r="BO141" s="222"/>
      <c r="BP141" s="222"/>
      <c r="BQ141" s="265"/>
      <c r="BR141" s="265"/>
      <c r="BS141" s="265"/>
      <c r="BT141" s="244"/>
      <c r="BU141" s="222"/>
      <c r="BV141" s="244"/>
      <c r="BW141" s="222"/>
    </row>
    <row r="142" spans="1:75" outlineLevel="1">
      <c r="A142" s="221">
        <v>70</v>
      </c>
      <c r="B142" s="222" t="str">
        <f>IF(LEN(D142)&gt;1,IF(VALUE(MID(RIGHT(D142,7),1,1))&gt;4,"외국인",IF(VALUE(RIGHT(11-MOD((MID(D142,1,1)*2+MID(D142,2,1)*3+MID(D142,3,1)*4+MID(D142,4,1)*5+MID(D142,5,1)*6+MID(D142,6,1)*7+MID(RIGHT(D142,7),1,1)*8+MID(RIGHT(D142,7),2,1)*9+MID(RIGHT(D142,7),3,1)*2+MID(RIGHT(D142,7),4,1)*3+MID(RIGHT(D142,7),5,1)*4+MID(RIGHT(D142,7),6,1)*5),11),1))=VALUE(RIGHT(D142,1)),"","오류")),"")</f>
        <v/>
      </c>
      <c r="C142" s="222"/>
      <c r="D142" s="225"/>
      <c r="E142" s="222"/>
      <c r="F142" s="222"/>
      <c r="G142" s="222"/>
      <c r="H142" s="266"/>
      <c r="I142" s="89"/>
      <c r="J142" s="90"/>
      <c r="K142" s="90"/>
      <c r="L142" s="90"/>
      <c r="M142" s="90"/>
      <c r="N142" s="90"/>
      <c r="O142" s="90"/>
      <c r="P142" s="90"/>
      <c r="Q142" s="90"/>
      <c r="R142" s="90"/>
      <c r="S142" s="91"/>
      <c r="T142" s="91"/>
      <c r="U142" s="90"/>
      <c r="V142" s="90"/>
      <c r="W142" s="92"/>
      <c r="X142" s="93"/>
      <c r="Y142" s="264">
        <f>SUM(I142:X143)</f>
        <v>0</v>
      </c>
      <c r="Z142" s="222">
        <f>COUNTIF(I142:X143,"&gt;0")</f>
        <v>0</v>
      </c>
      <c r="AA142" s="266">
        <f>H142*Y142</f>
        <v>0</v>
      </c>
      <c r="AB142" s="94">
        <f>IF(AO142&lt;1000, 0, AO142)</f>
        <v>0</v>
      </c>
      <c r="AC142" s="95">
        <f ca="1">IF(IFERROR($AN142&lt;65,FALSE), IF(B142&lt;&gt;"외국인", ROUNDDOWN(AA142*$AH$1%,-1), IF(AND(AM142&lt;&gt;"", ISNUMBER(SEARCH(LEFT(SUBSTITUTE(AM142, "-",""),2), "F2_F5_F6"))), ROUNDDOWN(AA142*$AH$1%,-1), 0)),0)</f>
        <v>0</v>
      </c>
      <c r="AD142" s="96">
        <f>IF(Z142&gt;=$AJ$1,ROUNDDOWN(AA142*$AH$2%,-1),0)</f>
        <v>0</v>
      </c>
      <c r="AE142" s="266">
        <f ca="1">AB142+AC142+AB143+AC143+AD142+AD143</f>
        <v>0</v>
      </c>
      <c r="AF142" s="266">
        <f ca="1">AA142-AE142</f>
        <v>0</v>
      </c>
      <c r="AG142" s="222"/>
      <c r="AH142" s="222"/>
      <c r="AI142" s="222"/>
      <c r="AJ142" s="222"/>
      <c r="AK142" s="250"/>
      <c r="AL142" s="250"/>
      <c r="AM142" s="251"/>
      <c r="AN142" s="252" t="str">
        <f ca="1">IFERROR(DATEDIF(DATE(IF(ISNUMBER(FIND(MID( SUBSTITUTE(D142, "-",""), 7, 1), "3478")), 2000, 1900)+MID(D142,1,2), MID(D142,3,2), MID(D142,5,2)), TODAY(), "Y"),"")</f>
        <v/>
      </c>
      <c r="AO142" s="266">
        <f>ROUNDDOWN(SUM(AP142:BE143),-1)</f>
        <v>0</v>
      </c>
      <c r="AP142" s="97">
        <f t="shared" ref="AP142:BD142" si="296">IF($H142*I142&gt;150000,ROUNDDOWN(($H142*I142-150000)*6%*45%,0),0)</f>
        <v>0</v>
      </c>
      <c r="AQ142" s="98">
        <f t="shared" si="296"/>
        <v>0</v>
      </c>
      <c r="AR142" s="98">
        <f t="shared" si="296"/>
        <v>0</v>
      </c>
      <c r="AS142" s="98">
        <f t="shared" si="296"/>
        <v>0</v>
      </c>
      <c r="AT142" s="98">
        <f t="shared" si="296"/>
        <v>0</v>
      </c>
      <c r="AU142" s="98">
        <f t="shared" si="296"/>
        <v>0</v>
      </c>
      <c r="AV142" s="98">
        <f t="shared" si="296"/>
        <v>0</v>
      </c>
      <c r="AW142" s="98">
        <f t="shared" si="296"/>
        <v>0</v>
      </c>
      <c r="AX142" s="98">
        <f t="shared" si="296"/>
        <v>0</v>
      </c>
      <c r="AY142" s="98">
        <f t="shared" si="296"/>
        <v>0</v>
      </c>
      <c r="AZ142" s="98">
        <f t="shared" si="296"/>
        <v>0</v>
      </c>
      <c r="BA142" s="98">
        <f t="shared" si="296"/>
        <v>0</v>
      </c>
      <c r="BB142" s="98">
        <f t="shared" si="296"/>
        <v>0</v>
      </c>
      <c r="BC142" s="98">
        <f t="shared" si="296"/>
        <v>0</v>
      </c>
      <c r="BD142" s="99">
        <f t="shared" si="296"/>
        <v>0</v>
      </c>
      <c r="BE142" s="100"/>
      <c r="BG142" s="222">
        <f t="shared" ref="BG142" si="297">C142</f>
        <v>0</v>
      </c>
      <c r="BH142" s="222"/>
      <c r="BI142" s="222"/>
      <c r="BJ142" s="269"/>
      <c r="BK142" s="265"/>
      <c r="BL142" s="222"/>
      <c r="BM142" s="249">
        <f t="shared" si="227"/>
        <v>0</v>
      </c>
      <c r="BN142" s="265"/>
      <c r="BO142" s="222"/>
      <c r="BP142" s="222"/>
      <c r="BQ142" s="265"/>
      <c r="BR142" s="265"/>
      <c r="BS142" s="265"/>
      <c r="BT142" s="244"/>
      <c r="BU142" s="222"/>
      <c r="BV142" s="244">
        <f t="shared" si="228"/>
        <v>0</v>
      </c>
      <c r="BW142" s="222"/>
    </row>
    <row r="143" spans="1:75" outlineLevel="1">
      <c r="A143" s="221"/>
      <c r="B143" s="222"/>
      <c r="C143" s="222"/>
      <c r="D143" s="225"/>
      <c r="E143" s="222"/>
      <c r="F143" s="222"/>
      <c r="G143" s="222"/>
      <c r="H143" s="266"/>
      <c r="I143" s="101"/>
      <c r="J143" s="102"/>
      <c r="K143" s="102"/>
      <c r="L143" s="102"/>
      <c r="M143" s="102"/>
      <c r="N143" s="102"/>
      <c r="O143" s="102"/>
      <c r="P143" s="102"/>
      <c r="Q143" s="102"/>
      <c r="R143" s="102"/>
      <c r="S143" s="102"/>
      <c r="T143" s="102"/>
      <c r="U143" s="102"/>
      <c r="V143" s="102"/>
      <c r="W143" s="102"/>
      <c r="X143" s="103"/>
      <c r="Y143" s="264"/>
      <c r="Z143" s="222"/>
      <c r="AA143" s="266"/>
      <c r="AB143" s="104">
        <f>ROUNDDOWN(AB142*10%,-1)</f>
        <v>0</v>
      </c>
      <c r="AC143" s="105">
        <f ca="1">IFERROR(IF(AND( OR(COUNTIF(I142:X143, "&gt;0")&gt;=$AJ$1, AA142&gt;=$AJ$4),AN142&lt;60,AA142&lt;=$AH$5),ROUNDDOWN(ROUNDDOWN(AA142,-3)*$AH$4%,-1),IF(AND(COUNTIF(I142:X143,"&gt;0")&gt;=$AJ$1,AN142&lt;60,AA142&gt;$AH$5),$AJ$5,0)),0)</f>
        <v>0</v>
      </c>
      <c r="AD143" s="106">
        <f>IF(Z142&gt;=$AJ$1,ROUNDDOWN(AD142*$AH$3%/($AH$2*2%),-1),0)</f>
        <v>0</v>
      </c>
      <c r="AE143" s="266"/>
      <c r="AF143" s="266"/>
      <c r="AG143" s="222"/>
      <c r="AH143" s="222"/>
      <c r="AI143" s="222"/>
      <c r="AJ143" s="222"/>
      <c r="AK143" s="250"/>
      <c r="AL143" s="250"/>
      <c r="AM143" s="251"/>
      <c r="AN143" s="252"/>
      <c r="AO143" s="266"/>
      <c r="AP143" s="107">
        <f t="shared" ref="AP143:BE143" si="298">IF($H142*I143&gt;150000,ROUNDDOWN(($H142*I143-150000)*6%*45%,0),0)</f>
        <v>0</v>
      </c>
      <c r="AQ143" s="108">
        <f t="shared" si="298"/>
        <v>0</v>
      </c>
      <c r="AR143" s="108">
        <f t="shared" si="298"/>
        <v>0</v>
      </c>
      <c r="AS143" s="108">
        <f t="shared" si="298"/>
        <v>0</v>
      </c>
      <c r="AT143" s="108">
        <f t="shared" si="298"/>
        <v>0</v>
      </c>
      <c r="AU143" s="108">
        <f t="shared" si="298"/>
        <v>0</v>
      </c>
      <c r="AV143" s="108">
        <f t="shared" si="298"/>
        <v>0</v>
      </c>
      <c r="AW143" s="108">
        <f t="shared" si="298"/>
        <v>0</v>
      </c>
      <c r="AX143" s="108">
        <f t="shared" si="298"/>
        <v>0</v>
      </c>
      <c r="AY143" s="108">
        <f t="shared" si="298"/>
        <v>0</v>
      </c>
      <c r="AZ143" s="108">
        <f t="shared" si="298"/>
        <v>0</v>
      </c>
      <c r="BA143" s="108">
        <f t="shared" si="298"/>
        <v>0</v>
      </c>
      <c r="BB143" s="108">
        <f t="shared" si="298"/>
        <v>0</v>
      </c>
      <c r="BC143" s="108">
        <f t="shared" si="298"/>
        <v>0</v>
      </c>
      <c r="BD143" s="108">
        <f t="shared" si="298"/>
        <v>0</v>
      </c>
      <c r="BE143" s="109">
        <f t="shared" si="298"/>
        <v>0</v>
      </c>
      <c r="BG143" s="222"/>
      <c r="BH143" s="222"/>
      <c r="BI143" s="222"/>
      <c r="BJ143" s="269"/>
      <c r="BK143" s="265"/>
      <c r="BL143" s="222"/>
      <c r="BM143" s="249"/>
      <c r="BN143" s="265"/>
      <c r="BO143" s="222"/>
      <c r="BP143" s="222"/>
      <c r="BQ143" s="265"/>
      <c r="BR143" s="265"/>
      <c r="BS143" s="265"/>
      <c r="BT143" s="244"/>
      <c r="BU143" s="222"/>
      <c r="BV143" s="244"/>
      <c r="BW143" s="222"/>
    </row>
    <row r="144" spans="1:75" outlineLevel="1">
      <c r="A144" s="221">
        <v>71</v>
      </c>
      <c r="B144" s="222" t="str">
        <f>IF(LEN(D144)&gt;1,IF(VALUE(MID(RIGHT(D144,7),1,1))&gt;4,"외국인",IF(VALUE(RIGHT(11-MOD((MID(D144,1,1)*2+MID(D144,2,1)*3+MID(D144,3,1)*4+MID(D144,4,1)*5+MID(D144,5,1)*6+MID(D144,6,1)*7+MID(RIGHT(D144,7),1,1)*8+MID(RIGHT(D144,7),2,1)*9+MID(RIGHT(D144,7),3,1)*2+MID(RIGHT(D144,7),4,1)*3+MID(RIGHT(D144,7),5,1)*4+MID(RIGHT(D144,7),6,1)*5),11),1))=VALUE(RIGHT(D144,1)),"","오류")),"")</f>
        <v/>
      </c>
      <c r="C144" s="222"/>
      <c r="D144" s="225"/>
      <c r="E144" s="222"/>
      <c r="F144" s="222"/>
      <c r="G144" s="222"/>
      <c r="H144" s="266"/>
      <c r="I144" s="89"/>
      <c r="J144" s="90"/>
      <c r="K144" s="90"/>
      <c r="L144" s="90"/>
      <c r="M144" s="90"/>
      <c r="N144" s="90"/>
      <c r="O144" s="90"/>
      <c r="P144" s="90"/>
      <c r="Q144" s="90"/>
      <c r="R144" s="90"/>
      <c r="S144" s="91"/>
      <c r="T144" s="91"/>
      <c r="U144" s="90"/>
      <c r="V144" s="90"/>
      <c r="W144" s="92"/>
      <c r="X144" s="93"/>
      <c r="Y144" s="264">
        <f>SUM(I144:X145)</f>
        <v>0</v>
      </c>
      <c r="Z144" s="222">
        <f>COUNTIF(I144:X145,"&gt;0")</f>
        <v>0</v>
      </c>
      <c r="AA144" s="266">
        <f>H144*Y144</f>
        <v>0</v>
      </c>
      <c r="AB144" s="94">
        <f>IF(AO144&lt;1000, 0, AO144)</f>
        <v>0</v>
      </c>
      <c r="AC144" s="95">
        <f ca="1">IF(IFERROR($AN144&lt;65,FALSE), IF(B144&lt;&gt;"외국인", ROUNDDOWN(AA144*$AH$1%,-1), IF(AND(AM144&lt;&gt;"", ISNUMBER(SEARCH(LEFT(SUBSTITUTE(AM144, "-",""),2), "F2_F5_F6"))), ROUNDDOWN(AA144*$AH$1%,-1), 0)),0)</f>
        <v>0</v>
      </c>
      <c r="AD144" s="96">
        <f>IF(Z144&gt;=$AJ$1,ROUNDDOWN(AA144*$AH$2%,-1),0)</f>
        <v>0</v>
      </c>
      <c r="AE144" s="266">
        <f ca="1">AB144+AC144+AB145+AC145+AD144+AD145</f>
        <v>0</v>
      </c>
      <c r="AF144" s="266">
        <f ca="1">AA144-AE144</f>
        <v>0</v>
      </c>
      <c r="AG144" s="222"/>
      <c r="AH144" s="222"/>
      <c r="AI144" s="222"/>
      <c r="AJ144" s="222"/>
      <c r="AK144" s="250"/>
      <c r="AL144" s="250"/>
      <c r="AM144" s="251"/>
      <c r="AN144" s="252" t="str">
        <f ca="1">IFERROR(DATEDIF(DATE(IF(ISNUMBER(FIND(MID( SUBSTITUTE(D144, "-",""), 7, 1), "3478")), 2000, 1900)+MID(D144,1,2), MID(D144,3,2), MID(D144,5,2)), TODAY(), "Y"),"")</f>
        <v/>
      </c>
      <c r="AO144" s="266">
        <f>ROUNDDOWN(SUM(AP144:BE145),-1)</f>
        <v>0</v>
      </c>
      <c r="AP144" s="97">
        <f t="shared" ref="AP144:BD144" si="299">IF($H144*I144&gt;150000,ROUNDDOWN(($H144*I144-150000)*6%*45%,0),0)</f>
        <v>0</v>
      </c>
      <c r="AQ144" s="98">
        <f t="shared" si="299"/>
        <v>0</v>
      </c>
      <c r="AR144" s="98">
        <f t="shared" si="299"/>
        <v>0</v>
      </c>
      <c r="AS144" s="98">
        <f t="shared" si="299"/>
        <v>0</v>
      </c>
      <c r="AT144" s="98">
        <f t="shared" si="299"/>
        <v>0</v>
      </c>
      <c r="AU144" s="98">
        <f t="shared" si="299"/>
        <v>0</v>
      </c>
      <c r="AV144" s="98">
        <f t="shared" si="299"/>
        <v>0</v>
      </c>
      <c r="AW144" s="98">
        <f t="shared" si="299"/>
        <v>0</v>
      </c>
      <c r="AX144" s="98">
        <f t="shared" si="299"/>
        <v>0</v>
      </c>
      <c r="AY144" s="98">
        <f t="shared" si="299"/>
        <v>0</v>
      </c>
      <c r="AZ144" s="98">
        <f t="shared" si="299"/>
        <v>0</v>
      </c>
      <c r="BA144" s="98">
        <f t="shared" si="299"/>
        <v>0</v>
      </c>
      <c r="BB144" s="98">
        <f t="shared" si="299"/>
        <v>0</v>
      </c>
      <c r="BC144" s="98">
        <f t="shared" si="299"/>
        <v>0</v>
      </c>
      <c r="BD144" s="99">
        <f t="shared" si="299"/>
        <v>0</v>
      </c>
      <c r="BE144" s="100"/>
      <c r="BG144" s="222">
        <f t="shared" ref="BG144" si="300">C144</f>
        <v>0</v>
      </c>
      <c r="BH144" s="222"/>
      <c r="BI144" s="222"/>
      <c r="BJ144" s="269"/>
      <c r="BK144" s="265"/>
      <c r="BL144" s="222"/>
      <c r="BM144" s="249">
        <f t="shared" si="227"/>
        <v>0</v>
      </c>
      <c r="BN144" s="265"/>
      <c r="BO144" s="222"/>
      <c r="BP144" s="222"/>
      <c r="BQ144" s="265"/>
      <c r="BR144" s="265"/>
      <c r="BS144" s="265"/>
      <c r="BT144" s="244"/>
      <c r="BU144" s="222"/>
      <c r="BV144" s="244">
        <f t="shared" si="228"/>
        <v>0</v>
      </c>
      <c r="BW144" s="222"/>
    </row>
    <row r="145" spans="1:75" outlineLevel="1">
      <c r="A145" s="221"/>
      <c r="B145" s="222"/>
      <c r="C145" s="222"/>
      <c r="D145" s="225"/>
      <c r="E145" s="222"/>
      <c r="F145" s="222"/>
      <c r="G145" s="222"/>
      <c r="H145" s="266"/>
      <c r="I145" s="101"/>
      <c r="J145" s="102"/>
      <c r="K145" s="102"/>
      <c r="L145" s="102"/>
      <c r="M145" s="102"/>
      <c r="N145" s="102"/>
      <c r="O145" s="102"/>
      <c r="P145" s="102"/>
      <c r="Q145" s="102"/>
      <c r="R145" s="102"/>
      <c r="S145" s="102"/>
      <c r="T145" s="102"/>
      <c r="U145" s="102"/>
      <c r="V145" s="102"/>
      <c r="W145" s="102"/>
      <c r="X145" s="103"/>
      <c r="Y145" s="264"/>
      <c r="Z145" s="222"/>
      <c r="AA145" s="266"/>
      <c r="AB145" s="104">
        <f>ROUNDDOWN(AB144*10%,-1)</f>
        <v>0</v>
      </c>
      <c r="AC145" s="105">
        <f ca="1">IFERROR(IF(AND( OR(COUNTIF(I144:X145, "&gt;0")&gt;=$AJ$1, AA144&gt;=$AJ$4),AN144&lt;60,AA144&lt;=$AH$5),ROUNDDOWN(ROUNDDOWN(AA144,-3)*$AH$4%,-1),IF(AND(COUNTIF(I144:X145,"&gt;0")&gt;=$AJ$1,AN144&lt;60,AA144&gt;$AH$5),$AJ$5,0)),0)</f>
        <v>0</v>
      </c>
      <c r="AD145" s="106">
        <f>IF(Z144&gt;=$AJ$1,ROUNDDOWN(AD144*$AH$3%/($AH$2*2%),-1),0)</f>
        <v>0</v>
      </c>
      <c r="AE145" s="266"/>
      <c r="AF145" s="266"/>
      <c r="AG145" s="222"/>
      <c r="AH145" s="222"/>
      <c r="AI145" s="222"/>
      <c r="AJ145" s="222"/>
      <c r="AK145" s="250"/>
      <c r="AL145" s="250"/>
      <c r="AM145" s="251"/>
      <c r="AN145" s="252"/>
      <c r="AO145" s="266"/>
      <c r="AP145" s="107">
        <f t="shared" ref="AP145:BE145" si="301">IF($H144*I145&gt;150000,ROUNDDOWN(($H144*I145-150000)*6%*45%,0),0)</f>
        <v>0</v>
      </c>
      <c r="AQ145" s="108">
        <f t="shared" si="301"/>
        <v>0</v>
      </c>
      <c r="AR145" s="108">
        <f t="shared" si="301"/>
        <v>0</v>
      </c>
      <c r="AS145" s="108">
        <f t="shared" si="301"/>
        <v>0</v>
      </c>
      <c r="AT145" s="108">
        <f t="shared" si="301"/>
        <v>0</v>
      </c>
      <c r="AU145" s="108">
        <f t="shared" si="301"/>
        <v>0</v>
      </c>
      <c r="AV145" s="108">
        <f t="shared" si="301"/>
        <v>0</v>
      </c>
      <c r="AW145" s="108">
        <f t="shared" si="301"/>
        <v>0</v>
      </c>
      <c r="AX145" s="108">
        <f t="shared" si="301"/>
        <v>0</v>
      </c>
      <c r="AY145" s="108">
        <f t="shared" si="301"/>
        <v>0</v>
      </c>
      <c r="AZ145" s="108">
        <f t="shared" si="301"/>
        <v>0</v>
      </c>
      <c r="BA145" s="108">
        <f t="shared" si="301"/>
        <v>0</v>
      </c>
      <c r="BB145" s="108">
        <f t="shared" si="301"/>
        <v>0</v>
      </c>
      <c r="BC145" s="108">
        <f t="shared" si="301"/>
        <v>0</v>
      </c>
      <c r="BD145" s="108">
        <f t="shared" si="301"/>
        <v>0</v>
      </c>
      <c r="BE145" s="109">
        <f t="shared" si="301"/>
        <v>0</v>
      </c>
      <c r="BG145" s="222"/>
      <c r="BH145" s="222"/>
      <c r="BI145" s="222"/>
      <c r="BJ145" s="269"/>
      <c r="BK145" s="265"/>
      <c r="BL145" s="222"/>
      <c r="BM145" s="249"/>
      <c r="BN145" s="265"/>
      <c r="BO145" s="222"/>
      <c r="BP145" s="222"/>
      <c r="BQ145" s="265"/>
      <c r="BR145" s="265"/>
      <c r="BS145" s="265"/>
      <c r="BT145" s="244"/>
      <c r="BU145" s="222"/>
      <c r="BV145" s="244"/>
      <c r="BW145" s="222"/>
    </row>
    <row r="146" spans="1:75" outlineLevel="1">
      <c r="A146" s="221">
        <v>72</v>
      </c>
      <c r="B146" s="222" t="str">
        <f>IF(LEN(D146)&gt;1,IF(VALUE(MID(RIGHT(D146,7),1,1))&gt;4,"외국인",IF(VALUE(RIGHT(11-MOD((MID(D146,1,1)*2+MID(D146,2,1)*3+MID(D146,3,1)*4+MID(D146,4,1)*5+MID(D146,5,1)*6+MID(D146,6,1)*7+MID(RIGHT(D146,7),1,1)*8+MID(RIGHT(D146,7),2,1)*9+MID(RIGHT(D146,7),3,1)*2+MID(RIGHT(D146,7),4,1)*3+MID(RIGHT(D146,7),5,1)*4+MID(RIGHT(D146,7),6,1)*5),11),1))=VALUE(RIGHT(D146,1)),"","오류")),"")</f>
        <v/>
      </c>
      <c r="C146" s="222"/>
      <c r="D146" s="225"/>
      <c r="E146" s="222"/>
      <c r="F146" s="222"/>
      <c r="G146" s="222"/>
      <c r="H146" s="266"/>
      <c r="I146" s="89"/>
      <c r="J146" s="90"/>
      <c r="K146" s="90"/>
      <c r="L146" s="90"/>
      <c r="M146" s="90"/>
      <c r="N146" s="90"/>
      <c r="O146" s="90"/>
      <c r="P146" s="90"/>
      <c r="Q146" s="90"/>
      <c r="R146" s="90"/>
      <c r="S146" s="91"/>
      <c r="T146" s="91"/>
      <c r="U146" s="90"/>
      <c r="V146" s="90"/>
      <c r="W146" s="92"/>
      <c r="X146" s="93"/>
      <c r="Y146" s="264">
        <f>SUM(I146:X147)</f>
        <v>0</v>
      </c>
      <c r="Z146" s="222">
        <f>COUNTIF(I146:X147,"&gt;0")</f>
        <v>0</v>
      </c>
      <c r="AA146" s="266">
        <f>H146*Y146</f>
        <v>0</v>
      </c>
      <c r="AB146" s="94">
        <f>IF(AO146&lt;1000, 0, AO146)</f>
        <v>0</v>
      </c>
      <c r="AC146" s="95">
        <f ca="1">IF(IFERROR($AN146&lt;65,FALSE), IF(B146&lt;&gt;"외국인", ROUNDDOWN(AA146*$AH$1%,-1), IF(AND(AM146&lt;&gt;"", ISNUMBER(SEARCH(LEFT(SUBSTITUTE(AM146, "-",""),2), "F2_F5_F6"))), ROUNDDOWN(AA146*$AH$1%,-1), 0)),0)</f>
        <v>0</v>
      </c>
      <c r="AD146" s="96">
        <f>IF(Z146&gt;=$AJ$1,ROUNDDOWN(AA146*$AH$2%,-1),0)</f>
        <v>0</v>
      </c>
      <c r="AE146" s="266">
        <f ca="1">AB146+AC146+AB147+AC147+AD146+AD147</f>
        <v>0</v>
      </c>
      <c r="AF146" s="266">
        <f ca="1">AA146-AE146</f>
        <v>0</v>
      </c>
      <c r="AG146" s="222"/>
      <c r="AH146" s="222"/>
      <c r="AI146" s="222"/>
      <c r="AJ146" s="222"/>
      <c r="AK146" s="250"/>
      <c r="AL146" s="250"/>
      <c r="AM146" s="251"/>
      <c r="AN146" s="252" t="str">
        <f ca="1">IFERROR(DATEDIF(DATE(IF(ISNUMBER(FIND(MID( SUBSTITUTE(D146, "-",""), 7, 1), "3478")), 2000, 1900)+MID(D146,1,2), MID(D146,3,2), MID(D146,5,2)), TODAY(), "Y"),"")</f>
        <v/>
      </c>
      <c r="AO146" s="266">
        <f>ROUNDDOWN(SUM(AP146:BE147),-1)</f>
        <v>0</v>
      </c>
      <c r="AP146" s="97">
        <f t="shared" ref="AP146:BD146" si="302">IF($H146*I146&gt;150000,ROUNDDOWN(($H146*I146-150000)*6%*45%,0),0)</f>
        <v>0</v>
      </c>
      <c r="AQ146" s="98">
        <f t="shared" si="302"/>
        <v>0</v>
      </c>
      <c r="AR146" s="98">
        <f t="shared" si="302"/>
        <v>0</v>
      </c>
      <c r="AS146" s="98">
        <f t="shared" si="302"/>
        <v>0</v>
      </c>
      <c r="AT146" s="98">
        <f t="shared" si="302"/>
        <v>0</v>
      </c>
      <c r="AU146" s="98">
        <f t="shared" si="302"/>
        <v>0</v>
      </c>
      <c r="AV146" s="98">
        <f t="shared" si="302"/>
        <v>0</v>
      </c>
      <c r="AW146" s="98">
        <f t="shared" si="302"/>
        <v>0</v>
      </c>
      <c r="AX146" s="98">
        <f t="shared" si="302"/>
        <v>0</v>
      </c>
      <c r="AY146" s="98">
        <f t="shared" si="302"/>
        <v>0</v>
      </c>
      <c r="AZ146" s="98">
        <f t="shared" si="302"/>
        <v>0</v>
      </c>
      <c r="BA146" s="98">
        <f t="shared" si="302"/>
        <v>0</v>
      </c>
      <c r="BB146" s="98">
        <f t="shared" si="302"/>
        <v>0</v>
      </c>
      <c r="BC146" s="98">
        <f t="shared" si="302"/>
        <v>0</v>
      </c>
      <c r="BD146" s="99">
        <f t="shared" si="302"/>
        <v>0</v>
      </c>
      <c r="BE146" s="100"/>
      <c r="BG146" s="222">
        <f t="shared" ref="BG146" si="303">C146</f>
        <v>0</v>
      </c>
      <c r="BH146" s="222"/>
      <c r="BI146" s="222"/>
      <c r="BJ146" s="248"/>
      <c r="BK146" s="265"/>
      <c r="BL146" s="222"/>
      <c r="BM146" s="249">
        <f t="shared" si="227"/>
        <v>0</v>
      </c>
      <c r="BN146" s="265"/>
      <c r="BO146" s="222"/>
      <c r="BP146" s="222"/>
      <c r="BQ146" s="265"/>
      <c r="BR146" s="265"/>
      <c r="BS146" s="265"/>
      <c r="BT146" s="244"/>
      <c r="BU146" s="222"/>
      <c r="BV146" s="244">
        <f t="shared" si="228"/>
        <v>0</v>
      </c>
      <c r="BW146" s="222"/>
    </row>
    <row r="147" spans="1:75" outlineLevel="1">
      <c r="A147" s="221"/>
      <c r="B147" s="222"/>
      <c r="C147" s="222"/>
      <c r="D147" s="225"/>
      <c r="E147" s="222"/>
      <c r="F147" s="222"/>
      <c r="G147" s="222"/>
      <c r="H147" s="266"/>
      <c r="I147" s="101"/>
      <c r="J147" s="102"/>
      <c r="K147" s="102"/>
      <c r="L147" s="102"/>
      <c r="M147" s="102"/>
      <c r="N147" s="102"/>
      <c r="O147" s="102"/>
      <c r="P147" s="102"/>
      <c r="Q147" s="102"/>
      <c r="R147" s="102"/>
      <c r="S147" s="102"/>
      <c r="T147" s="102"/>
      <c r="U147" s="102"/>
      <c r="V147" s="102"/>
      <c r="W147" s="102"/>
      <c r="X147" s="103"/>
      <c r="Y147" s="264"/>
      <c r="Z147" s="222"/>
      <c r="AA147" s="266"/>
      <c r="AB147" s="104">
        <f>ROUNDDOWN(AB146*10%,-1)</f>
        <v>0</v>
      </c>
      <c r="AC147" s="105">
        <f ca="1">IFERROR(IF(AND( OR(COUNTIF(I146:X147, "&gt;0")&gt;=$AJ$1, AA146&gt;=$AJ$4),AN146&lt;60,AA146&lt;=$AH$5),ROUNDDOWN(ROUNDDOWN(AA146,-3)*$AH$4%,-1),IF(AND(COUNTIF(I146:X147,"&gt;0")&gt;=$AJ$1,AN146&lt;60,AA146&gt;$AH$5),$AJ$5,0)),0)</f>
        <v>0</v>
      </c>
      <c r="AD147" s="106">
        <f>IF(Z146&gt;=$AJ$1,ROUNDDOWN(AD146*$AH$3%/($AH$2*2%),-1),0)</f>
        <v>0</v>
      </c>
      <c r="AE147" s="266"/>
      <c r="AF147" s="266"/>
      <c r="AG147" s="222"/>
      <c r="AH147" s="222"/>
      <c r="AI147" s="222"/>
      <c r="AJ147" s="222"/>
      <c r="AK147" s="250"/>
      <c r="AL147" s="250"/>
      <c r="AM147" s="251"/>
      <c r="AN147" s="252"/>
      <c r="AO147" s="266"/>
      <c r="AP147" s="107">
        <f t="shared" ref="AP147:BE147" si="304">IF($H146*I147&gt;150000,ROUNDDOWN(($H146*I147-150000)*6%*45%,0),0)</f>
        <v>0</v>
      </c>
      <c r="AQ147" s="108">
        <f t="shared" si="304"/>
        <v>0</v>
      </c>
      <c r="AR147" s="108">
        <f t="shared" si="304"/>
        <v>0</v>
      </c>
      <c r="AS147" s="108">
        <f t="shared" si="304"/>
        <v>0</v>
      </c>
      <c r="AT147" s="108">
        <f t="shared" si="304"/>
        <v>0</v>
      </c>
      <c r="AU147" s="108">
        <f t="shared" si="304"/>
        <v>0</v>
      </c>
      <c r="AV147" s="108">
        <f t="shared" si="304"/>
        <v>0</v>
      </c>
      <c r="AW147" s="108">
        <f t="shared" si="304"/>
        <v>0</v>
      </c>
      <c r="AX147" s="108">
        <f t="shared" si="304"/>
        <v>0</v>
      </c>
      <c r="AY147" s="108">
        <f t="shared" si="304"/>
        <v>0</v>
      </c>
      <c r="AZ147" s="108">
        <f t="shared" si="304"/>
        <v>0</v>
      </c>
      <c r="BA147" s="108">
        <f t="shared" si="304"/>
        <v>0</v>
      </c>
      <c r="BB147" s="108">
        <f t="shared" si="304"/>
        <v>0</v>
      </c>
      <c r="BC147" s="108">
        <f t="shared" si="304"/>
        <v>0</v>
      </c>
      <c r="BD147" s="108">
        <f t="shared" si="304"/>
        <v>0</v>
      </c>
      <c r="BE147" s="109">
        <f t="shared" si="304"/>
        <v>0</v>
      </c>
      <c r="BG147" s="222"/>
      <c r="BH147" s="222"/>
      <c r="BI147" s="222"/>
      <c r="BJ147" s="248"/>
      <c r="BK147" s="265"/>
      <c r="BL147" s="222"/>
      <c r="BM147" s="249"/>
      <c r="BN147" s="265"/>
      <c r="BO147" s="222"/>
      <c r="BP147" s="222"/>
      <c r="BQ147" s="265"/>
      <c r="BR147" s="265"/>
      <c r="BS147" s="265"/>
      <c r="BT147" s="244"/>
      <c r="BU147" s="222"/>
      <c r="BV147" s="244"/>
      <c r="BW147" s="222"/>
    </row>
    <row r="148" spans="1:75" outlineLevel="1">
      <c r="A148" s="221">
        <v>73</v>
      </c>
      <c r="B148" s="222" t="str">
        <f>IF(LEN(D148)&gt;1,IF(VALUE(MID(RIGHT(D148,7),1,1))&gt;4,"외국인",IF(VALUE(RIGHT(11-MOD((MID(D148,1,1)*2+MID(D148,2,1)*3+MID(D148,3,1)*4+MID(D148,4,1)*5+MID(D148,5,1)*6+MID(D148,6,1)*7+MID(RIGHT(D148,7),1,1)*8+MID(RIGHT(D148,7),2,1)*9+MID(RIGHT(D148,7),3,1)*2+MID(RIGHT(D148,7),4,1)*3+MID(RIGHT(D148,7),5,1)*4+MID(RIGHT(D148,7),6,1)*5),11),1))=VALUE(RIGHT(D148,1)),"","오류")),"")</f>
        <v/>
      </c>
      <c r="C148" s="222"/>
      <c r="D148" s="225"/>
      <c r="E148" s="222"/>
      <c r="F148" s="222"/>
      <c r="G148" s="222"/>
      <c r="H148" s="266"/>
      <c r="I148" s="89"/>
      <c r="J148" s="90"/>
      <c r="K148" s="90"/>
      <c r="L148" s="90"/>
      <c r="M148" s="90"/>
      <c r="N148" s="90"/>
      <c r="O148" s="90"/>
      <c r="P148" s="90"/>
      <c r="Q148" s="90"/>
      <c r="R148" s="90"/>
      <c r="S148" s="91"/>
      <c r="T148" s="91"/>
      <c r="U148" s="90"/>
      <c r="V148" s="90"/>
      <c r="W148" s="92"/>
      <c r="X148" s="93"/>
      <c r="Y148" s="264">
        <f>SUM(I148:X149)</f>
        <v>0</v>
      </c>
      <c r="Z148" s="222">
        <f>COUNTIF(I148:X149,"&gt;0")</f>
        <v>0</v>
      </c>
      <c r="AA148" s="266">
        <f>H148*Y148</f>
        <v>0</v>
      </c>
      <c r="AB148" s="94">
        <f>IF(AO148&lt;1000, 0, AO148)</f>
        <v>0</v>
      </c>
      <c r="AC148" s="95">
        <f ca="1">IF(IFERROR($AN148&lt;65,FALSE), IF(B148&lt;&gt;"외국인", ROUNDDOWN(AA148*$AH$1%,-1), IF(AND(AM148&lt;&gt;"", ISNUMBER(SEARCH(LEFT(SUBSTITUTE(AM148, "-",""),2), "F2_F5_F6"))), ROUNDDOWN(AA148*$AH$1%,-1), 0)),0)</f>
        <v>0</v>
      </c>
      <c r="AD148" s="96">
        <f>IF(Z148&gt;=$AJ$1,ROUNDDOWN(AA148*$AH$2%,-1),0)</f>
        <v>0</v>
      </c>
      <c r="AE148" s="266">
        <f ca="1">AB148+AC148+AB149+AC149+AD148+AD149</f>
        <v>0</v>
      </c>
      <c r="AF148" s="266">
        <f ca="1">AA148-AE148</f>
        <v>0</v>
      </c>
      <c r="AG148" s="222"/>
      <c r="AH148" s="222"/>
      <c r="AI148" s="222"/>
      <c r="AJ148" s="222"/>
      <c r="AK148" s="250"/>
      <c r="AL148" s="250"/>
      <c r="AM148" s="251"/>
      <c r="AN148" s="252" t="str">
        <f ca="1">IFERROR(DATEDIF(DATE(IF(ISNUMBER(FIND(MID( SUBSTITUTE(D148, "-",""), 7, 1), "3478")), 2000, 1900)+MID(D148,1,2), MID(D148,3,2), MID(D148,5,2)), TODAY(), "Y"),"")</f>
        <v/>
      </c>
      <c r="AO148" s="266">
        <f>ROUNDDOWN(SUM(AP148:BE149),-1)</f>
        <v>0</v>
      </c>
      <c r="AP148" s="97">
        <f t="shared" ref="AP148:BD148" si="305">IF($H148*I148&gt;150000,ROUNDDOWN(($H148*I148-150000)*6%*45%,0),0)</f>
        <v>0</v>
      </c>
      <c r="AQ148" s="98">
        <f t="shared" si="305"/>
        <v>0</v>
      </c>
      <c r="AR148" s="98">
        <f t="shared" si="305"/>
        <v>0</v>
      </c>
      <c r="AS148" s="98">
        <f t="shared" si="305"/>
        <v>0</v>
      </c>
      <c r="AT148" s="98">
        <f t="shared" si="305"/>
        <v>0</v>
      </c>
      <c r="AU148" s="98">
        <f t="shared" si="305"/>
        <v>0</v>
      </c>
      <c r="AV148" s="98">
        <f t="shared" si="305"/>
        <v>0</v>
      </c>
      <c r="AW148" s="98">
        <f t="shared" si="305"/>
        <v>0</v>
      </c>
      <c r="AX148" s="98">
        <f t="shared" si="305"/>
        <v>0</v>
      </c>
      <c r="AY148" s="98">
        <f t="shared" si="305"/>
        <v>0</v>
      </c>
      <c r="AZ148" s="98">
        <f t="shared" si="305"/>
        <v>0</v>
      </c>
      <c r="BA148" s="98">
        <f t="shared" si="305"/>
        <v>0</v>
      </c>
      <c r="BB148" s="98">
        <f t="shared" si="305"/>
        <v>0</v>
      </c>
      <c r="BC148" s="98">
        <f t="shared" si="305"/>
        <v>0</v>
      </c>
      <c r="BD148" s="99">
        <f t="shared" si="305"/>
        <v>0</v>
      </c>
      <c r="BE148" s="100"/>
      <c r="BG148" s="222">
        <f t="shared" ref="BG148" si="306">C148</f>
        <v>0</v>
      </c>
      <c r="BH148" s="222"/>
      <c r="BI148" s="222"/>
      <c r="BJ148" s="269"/>
      <c r="BK148" s="265"/>
      <c r="BL148" s="222"/>
      <c r="BM148" s="249">
        <f t="shared" si="227"/>
        <v>0</v>
      </c>
      <c r="BN148" s="265"/>
      <c r="BO148" s="222"/>
      <c r="BP148" s="222"/>
      <c r="BQ148" s="265"/>
      <c r="BR148" s="265"/>
      <c r="BS148" s="265"/>
      <c r="BT148" s="244"/>
      <c r="BU148" s="222"/>
      <c r="BV148" s="244">
        <f t="shared" si="228"/>
        <v>0</v>
      </c>
      <c r="BW148" s="222"/>
    </row>
    <row r="149" spans="1:75" outlineLevel="1">
      <c r="A149" s="221"/>
      <c r="B149" s="222"/>
      <c r="C149" s="222"/>
      <c r="D149" s="225"/>
      <c r="E149" s="222"/>
      <c r="F149" s="222"/>
      <c r="G149" s="222"/>
      <c r="H149" s="266"/>
      <c r="I149" s="101"/>
      <c r="J149" s="102"/>
      <c r="K149" s="102"/>
      <c r="L149" s="102"/>
      <c r="M149" s="102"/>
      <c r="N149" s="102"/>
      <c r="O149" s="102"/>
      <c r="P149" s="102"/>
      <c r="Q149" s="102"/>
      <c r="R149" s="102"/>
      <c r="S149" s="102"/>
      <c r="T149" s="102"/>
      <c r="U149" s="102"/>
      <c r="V149" s="102"/>
      <c r="W149" s="102"/>
      <c r="X149" s="103"/>
      <c r="Y149" s="264"/>
      <c r="Z149" s="222"/>
      <c r="AA149" s="266"/>
      <c r="AB149" s="104">
        <f>ROUNDDOWN(AB148*10%,-1)</f>
        <v>0</v>
      </c>
      <c r="AC149" s="105">
        <f ca="1">IFERROR(IF(AND( OR(COUNTIF(I148:X149, "&gt;0")&gt;=$AJ$1, AA148&gt;=$AJ$4),AN148&lt;60,AA148&lt;=$AH$5),ROUNDDOWN(ROUNDDOWN(AA148,-3)*$AH$4%,-1),IF(AND(COUNTIF(I148:X149,"&gt;0")&gt;=$AJ$1,AN148&lt;60,AA148&gt;$AH$5),$AJ$5,0)),0)</f>
        <v>0</v>
      </c>
      <c r="AD149" s="106">
        <f>IF(Z148&gt;=$AJ$1,ROUNDDOWN(AD148*$AH$3%/($AH$2*2%),-1),0)</f>
        <v>0</v>
      </c>
      <c r="AE149" s="266"/>
      <c r="AF149" s="266"/>
      <c r="AG149" s="222"/>
      <c r="AH149" s="222"/>
      <c r="AI149" s="222"/>
      <c r="AJ149" s="222"/>
      <c r="AK149" s="250"/>
      <c r="AL149" s="250"/>
      <c r="AM149" s="251"/>
      <c r="AN149" s="252"/>
      <c r="AO149" s="266"/>
      <c r="AP149" s="107">
        <f t="shared" ref="AP149:BE149" si="307">IF($H148*I149&gt;150000,ROUNDDOWN(($H148*I149-150000)*6%*45%,0),0)</f>
        <v>0</v>
      </c>
      <c r="AQ149" s="108">
        <f t="shared" si="307"/>
        <v>0</v>
      </c>
      <c r="AR149" s="108">
        <f t="shared" si="307"/>
        <v>0</v>
      </c>
      <c r="AS149" s="108">
        <f t="shared" si="307"/>
        <v>0</v>
      </c>
      <c r="AT149" s="108">
        <f t="shared" si="307"/>
        <v>0</v>
      </c>
      <c r="AU149" s="108">
        <f t="shared" si="307"/>
        <v>0</v>
      </c>
      <c r="AV149" s="108">
        <f t="shared" si="307"/>
        <v>0</v>
      </c>
      <c r="AW149" s="108">
        <f t="shared" si="307"/>
        <v>0</v>
      </c>
      <c r="AX149" s="108">
        <f t="shared" si="307"/>
        <v>0</v>
      </c>
      <c r="AY149" s="108">
        <f t="shared" si="307"/>
        <v>0</v>
      </c>
      <c r="AZ149" s="108">
        <f t="shared" si="307"/>
        <v>0</v>
      </c>
      <c r="BA149" s="108">
        <f t="shared" si="307"/>
        <v>0</v>
      </c>
      <c r="BB149" s="108">
        <f t="shared" si="307"/>
        <v>0</v>
      </c>
      <c r="BC149" s="108">
        <f t="shared" si="307"/>
        <v>0</v>
      </c>
      <c r="BD149" s="108">
        <f t="shared" si="307"/>
        <v>0</v>
      </c>
      <c r="BE149" s="109">
        <f t="shared" si="307"/>
        <v>0</v>
      </c>
      <c r="BG149" s="222"/>
      <c r="BH149" s="222"/>
      <c r="BI149" s="222"/>
      <c r="BJ149" s="269"/>
      <c r="BK149" s="265"/>
      <c r="BL149" s="222"/>
      <c r="BM149" s="249"/>
      <c r="BN149" s="265"/>
      <c r="BO149" s="222"/>
      <c r="BP149" s="222"/>
      <c r="BQ149" s="265"/>
      <c r="BR149" s="265"/>
      <c r="BS149" s="265"/>
      <c r="BT149" s="244"/>
      <c r="BU149" s="222"/>
      <c r="BV149" s="244"/>
      <c r="BW149" s="222"/>
    </row>
    <row r="150" spans="1:75" outlineLevel="1">
      <c r="A150" s="221">
        <v>74</v>
      </c>
      <c r="B150" s="222" t="str">
        <f>IF(LEN(D150)&gt;1,IF(VALUE(MID(RIGHT(D150,7),1,1))&gt;4,"외국인",IF(VALUE(RIGHT(11-MOD((MID(D150,1,1)*2+MID(D150,2,1)*3+MID(D150,3,1)*4+MID(D150,4,1)*5+MID(D150,5,1)*6+MID(D150,6,1)*7+MID(RIGHT(D150,7),1,1)*8+MID(RIGHT(D150,7),2,1)*9+MID(RIGHT(D150,7),3,1)*2+MID(RIGHT(D150,7),4,1)*3+MID(RIGHT(D150,7),5,1)*4+MID(RIGHT(D150,7),6,1)*5),11),1))=VALUE(RIGHT(D150,1)),"","오류")),"")</f>
        <v/>
      </c>
      <c r="C150" s="222"/>
      <c r="D150" s="225"/>
      <c r="E150" s="222"/>
      <c r="F150" s="222"/>
      <c r="G150" s="222"/>
      <c r="H150" s="266"/>
      <c r="I150" s="89"/>
      <c r="J150" s="90"/>
      <c r="K150" s="90"/>
      <c r="L150" s="90"/>
      <c r="M150" s="90"/>
      <c r="N150" s="90"/>
      <c r="O150" s="90"/>
      <c r="P150" s="90"/>
      <c r="Q150" s="90"/>
      <c r="R150" s="90"/>
      <c r="S150" s="91"/>
      <c r="T150" s="91"/>
      <c r="U150" s="90"/>
      <c r="V150" s="90"/>
      <c r="W150" s="92"/>
      <c r="X150" s="93"/>
      <c r="Y150" s="264">
        <f>SUM(I150:X151)</f>
        <v>0</v>
      </c>
      <c r="Z150" s="222">
        <f>COUNTIF(I150:X151,"&gt;0")</f>
        <v>0</v>
      </c>
      <c r="AA150" s="266">
        <f>H150*Y150</f>
        <v>0</v>
      </c>
      <c r="AB150" s="94">
        <f>IF(AO150&lt;1000, 0, AO150)</f>
        <v>0</v>
      </c>
      <c r="AC150" s="95">
        <f ca="1">IF(IFERROR($AN150&lt;65,FALSE), IF(B150&lt;&gt;"외국인", ROUNDDOWN(AA150*$AH$1%,-1), IF(AND(AM150&lt;&gt;"", ISNUMBER(SEARCH(LEFT(SUBSTITUTE(AM150, "-",""),2), "F2_F5_F6"))), ROUNDDOWN(AA150*$AH$1%,-1), 0)),0)</f>
        <v>0</v>
      </c>
      <c r="AD150" s="96">
        <f>IF(Z150&gt;=$AJ$1,ROUNDDOWN(AA150*$AH$2%,-1),0)</f>
        <v>0</v>
      </c>
      <c r="AE150" s="266">
        <f ca="1">AB150+AC150+AB151+AC151+AD150+AD151</f>
        <v>0</v>
      </c>
      <c r="AF150" s="266">
        <f ca="1">AA150-AE150</f>
        <v>0</v>
      </c>
      <c r="AG150" s="222"/>
      <c r="AH150" s="222"/>
      <c r="AI150" s="222"/>
      <c r="AJ150" s="222"/>
      <c r="AK150" s="250"/>
      <c r="AL150" s="250"/>
      <c r="AM150" s="251"/>
      <c r="AN150" s="252" t="str">
        <f ca="1">IFERROR(DATEDIF(DATE(IF(ISNUMBER(FIND(MID( SUBSTITUTE(D150, "-",""), 7, 1), "3478")), 2000, 1900)+MID(D150,1,2), MID(D150,3,2), MID(D150,5,2)), TODAY(), "Y"),"")</f>
        <v/>
      </c>
      <c r="AO150" s="266">
        <f>ROUNDDOWN(SUM(AP150:BE151),-1)</f>
        <v>0</v>
      </c>
      <c r="AP150" s="97">
        <f t="shared" ref="AP150:BD150" si="308">IF($H150*I150&gt;150000,ROUNDDOWN(($H150*I150-150000)*6%*45%,0),0)</f>
        <v>0</v>
      </c>
      <c r="AQ150" s="98">
        <f t="shared" si="308"/>
        <v>0</v>
      </c>
      <c r="AR150" s="98">
        <f t="shared" si="308"/>
        <v>0</v>
      </c>
      <c r="AS150" s="98">
        <f t="shared" si="308"/>
        <v>0</v>
      </c>
      <c r="AT150" s="98">
        <f t="shared" si="308"/>
        <v>0</v>
      </c>
      <c r="AU150" s="98">
        <f t="shared" si="308"/>
        <v>0</v>
      </c>
      <c r="AV150" s="98">
        <f t="shared" si="308"/>
        <v>0</v>
      </c>
      <c r="AW150" s="98">
        <f t="shared" si="308"/>
        <v>0</v>
      </c>
      <c r="AX150" s="98">
        <f t="shared" si="308"/>
        <v>0</v>
      </c>
      <c r="AY150" s="98">
        <f t="shared" si="308"/>
        <v>0</v>
      </c>
      <c r="AZ150" s="98">
        <f t="shared" si="308"/>
        <v>0</v>
      </c>
      <c r="BA150" s="98">
        <f t="shared" si="308"/>
        <v>0</v>
      </c>
      <c r="BB150" s="98">
        <f t="shared" si="308"/>
        <v>0</v>
      </c>
      <c r="BC150" s="98">
        <f t="shared" si="308"/>
        <v>0</v>
      </c>
      <c r="BD150" s="99">
        <f t="shared" si="308"/>
        <v>0</v>
      </c>
      <c r="BE150" s="100"/>
      <c r="BG150" s="222">
        <f t="shared" ref="BG150" si="309">C150</f>
        <v>0</v>
      </c>
      <c r="BH150" s="222"/>
      <c r="BI150" s="222"/>
      <c r="BJ150" s="248"/>
      <c r="BK150" s="265"/>
      <c r="BL150" s="222"/>
      <c r="BM150" s="249">
        <f t="shared" si="227"/>
        <v>0</v>
      </c>
      <c r="BN150" s="265"/>
      <c r="BO150" s="222"/>
      <c r="BP150" s="222"/>
      <c r="BQ150" s="265"/>
      <c r="BR150" s="265"/>
      <c r="BS150" s="265"/>
      <c r="BT150" s="244"/>
      <c r="BU150" s="222"/>
      <c r="BV150" s="244">
        <f t="shared" si="228"/>
        <v>0</v>
      </c>
      <c r="BW150" s="222"/>
    </row>
    <row r="151" spans="1:75" outlineLevel="1">
      <c r="A151" s="221"/>
      <c r="B151" s="222"/>
      <c r="C151" s="222"/>
      <c r="D151" s="225"/>
      <c r="E151" s="222"/>
      <c r="F151" s="222"/>
      <c r="G151" s="222"/>
      <c r="H151" s="266"/>
      <c r="I151" s="101"/>
      <c r="J151" s="102"/>
      <c r="K151" s="102"/>
      <c r="L151" s="102"/>
      <c r="M151" s="102"/>
      <c r="N151" s="102"/>
      <c r="O151" s="102"/>
      <c r="P151" s="102"/>
      <c r="Q151" s="102"/>
      <c r="R151" s="102"/>
      <c r="S151" s="102"/>
      <c r="T151" s="102"/>
      <c r="U151" s="102"/>
      <c r="V151" s="102"/>
      <c r="W151" s="102"/>
      <c r="X151" s="103"/>
      <c r="Y151" s="264"/>
      <c r="Z151" s="222"/>
      <c r="AA151" s="266"/>
      <c r="AB151" s="104">
        <f>ROUNDDOWN(AB150*10%,-1)</f>
        <v>0</v>
      </c>
      <c r="AC151" s="105">
        <f ca="1">IFERROR(IF(AND( OR(COUNTIF(I150:X151, "&gt;0")&gt;=$AJ$1, AA150&gt;=$AJ$4),AN150&lt;60,AA150&lt;=$AH$5),ROUNDDOWN(ROUNDDOWN(AA150,-3)*$AH$4%,-1),IF(AND(COUNTIF(I150:X151,"&gt;0")&gt;=$AJ$1,AN150&lt;60,AA150&gt;$AH$5),$AJ$5,0)),0)</f>
        <v>0</v>
      </c>
      <c r="AD151" s="106">
        <f>IF(Z150&gt;=$AJ$1,ROUNDDOWN(AD150*$AH$3%/($AH$2*2%),-1),0)</f>
        <v>0</v>
      </c>
      <c r="AE151" s="266"/>
      <c r="AF151" s="266"/>
      <c r="AG151" s="222"/>
      <c r="AH151" s="222"/>
      <c r="AI151" s="222"/>
      <c r="AJ151" s="222"/>
      <c r="AK151" s="250"/>
      <c r="AL151" s="250"/>
      <c r="AM151" s="251"/>
      <c r="AN151" s="252"/>
      <c r="AO151" s="266"/>
      <c r="AP151" s="107">
        <f t="shared" ref="AP151:BE151" si="310">IF($H150*I151&gt;150000,ROUNDDOWN(($H150*I151-150000)*6%*45%,0),0)</f>
        <v>0</v>
      </c>
      <c r="AQ151" s="108">
        <f t="shared" si="310"/>
        <v>0</v>
      </c>
      <c r="AR151" s="108">
        <f t="shared" si="310"/>
        <v>0</v>
      </c>
      <c r="AS151" s="108">
        <f t="shared" si="310"/>
        <v>0</v>
      </c>
      <c r="AT151" s="108">
        <f t="shared" si="310"/>
        <v>0</v>
      </c>
      <c r="AU151" s="108">
        <f t="shared" si="310"/>
        <v>0</v>
      </c>
      <c r="AV151" s="108">
        <f t="shared" si="310"/>
        <v>0</v>
      </c>
      <c r="AW151" s="108">
        <f t="shared" si="310"/>
        <v>0</v>
      </c>
      <c r="AX151" s="108">
        <f t="shared" si="310"/>
        <v>0</v>
      </c>
      <c r="AY151" s="108">
        <f t="shared" si="310"/>
        <v>0</v>
      </c>
      <c r="AZ151" s="108">
        <f t="shared" si="310"/>
        <v>0</v>
      </c>
      <c r="BA151" s="108">
        <f t="shared" si="310"/>
        <v>0</v>
      </c>
      <c r="BB151" s="108">
        <f t="shared" si="310"/>
        <v>0</v>
      </c>
      <c r="BC151" s="108">
        <f t="shared" si="310"/>
        <v>0</v>
      </c>
      <c r="BD151" s="108">
        <f t="shared" si="310"/>
        <v>0</v>
      </c>
      <c r="BE151" s="109">
        <f t="shared" si="310"/>
        <v>0</v>
      </c>
      <c r="BG151" s="222"/>
      <c r="BH151" s="222"/>
      <c r="BI151" s="222"/>
      <c r="BJ151" s="248"/>
      <c r="BK151" s="265"/>
      <c r="BL151" s="222"/>
      <c r="BM151" s="249"/>
      <c r="BN151" s="265"/>
      <c r="BO151" s="222"/>
      <c r="BP151" s="222"/>
      <c r="BQ151" s="265"/>
      <c r="BR151" s="265"/>
      <c r="BS151" s="265"/>
      <c r="BT151" s="244"/>
      <c r="BU151" s="222"/>
      <c r="BV151" s="244"/>
      <c r="BW151" s="222"/>
    </row>
    <row r="152" spans="1:75" outlineLevel="1">
      <c r="A152" s="221">
        <v>75</v>
      </c>
      <c r="B152" s="222" t="str">
        <f>IF(LEN(D152)&gt;1,IF(VALUE(MID(RIGHT(D152,7),1,1))&gt;4,"외국인",IF(VALUE(RIGHT(11-MOD((MID(D152,1,1)*2+MID(D152,2,1)*3+MID(D152,3,1)*4+MID(D152,4,1)*5+MID(D152,5,1)*6+MID(D152,6,1)*7+MID(RIGHT(D152,7),1,1)*8+MID(RIGHT(D152,7),2,1)*9+MID(RIGHT(D152,7),3,1)*2+MID(RIGHT(D152,7),4,1)*3+MID(RIGHT(D152,7),5,1)*4+MID(RIGHT(D152,7),6,1)*5),11),1))=VALUE(RIGHT(D152,1)),"","오류")),"")</f>
        <v/>
      </c>
      <c r="C152" s="222"/>
      <c r="D152" s="225"/>
      <c r="E152" s="222"/>
      <c r="F152" s="222"/>
      <c r="G152" s="222"/>
      <c r="H152" s="266"/>
      <c r="I152" s="89"/>
      <c r="J152" s="90"/>
      <c r="K152" s="90"/>
      <c r="L152" s="90"/>
      <c r="M152" s="90"/>
      <c r="N152" s="90"/>
      <c r="O152" s="90"/>
      <c r="P152" s="90"/>
      <c r="Q152" s="90"/>
      <c r="R152" s="90"/>
      <c r="S152" s="91"/>
      <c r="T152" s="91"/>
      <c r="U152" s="90"/>
      <c r="V152" s="90"/>
      <c r="W152" s="92"/>
      <c r="X152" s="93"/>
      <c r="Y152" s="264">
        <f>SUM(I152:X153)</f>
        <v>0</v>
      </c>
      <c r="Z152" s="222">
        <f>COUNTIF(I152:X153,"&gt;0")</f>
        <v>0</v>
      </c>
      <c r="AA152" s="266">
        <f>H152*Y152</f>
        <v>0</v>
      </c>
      <c r="AB152" s="94">
        <f>IF(AO152&lt;1000, 0, AO152)</f>
        <v>0</v>
      </c>
      <c r="AC152" s="95">
        <f ca="1">IF(IFERROR($AN152&lt;65,FALSE), IF(B152&lt;&gt;"외국인", ROUNDDOWN(AA152*$AH$1%,-1), IF(AND(AM152&lt;&gt;"", ISNUMBER(SEARCH(LEFT(SUBSTITUTE(AM152, "-",""),2), "F2_F5_F6"))), ROUNDDOWN(AA152*$AH$1%,-1), 0)),0)</f>
        <v>0</v>
      </c>
      <c r="AD152" s="96">
        <f>IF(Z152&gt;=$AJ$1,ROUNDDOWN(AA152*$AH$2%,-1),0)</f>
        <v>0</v>
      </c>
      <c r="AE152" s="266">
        <f ca="1">AB152+AC152+AB153+AC153+AD152+AD153</f>
        <v>0</v>
      </c>
      <c r="AF152" s="266">
        <f ca="1">AA152-AE152</f>
        <v>0</v>
      </c>
      <c r="AG152" s="222"/>
      <c r="AH152" s="222"/>
      <c r="AI152" s="222"/>
      <c r="AJ152" s="222"/>
      <c r="AK152" s="250"/>
      <c r="AL152" s="250"/>
      <c r="AM152" s="251"/>
      <c r="AN152" s="252" t="str">
        <f ca="1">IFERROR(DATEDIF(DATE(IF(ISNUMBER(FIND(MID( SUBSTITUTE(D152, "-",""), 7, 1), "3478")), 2000, 1900)+MID(D152,1,2), MID(D152,3,2), MID(D152,5,2)), TODAY(), "Y"),"")</f>
        <v/>
      </c>
      <c r="AO152" s="266">
        <f>ROUNDDOWN(SUM(AP152:BE153),-1)</f>
        <v>0</v>
      </c>
      <c r="AP152" s="97">
        <f t="shared" ref="AP152:BD152" si="311">IF($H152*I152&gt;150000,ROUNDDOWN(($H152*I152-150000)*6%*45%,0),0)</f>
        <v>0</v>
      </c>
      <c r="AQ152" s="98">
        <f t="shared" si="311"/>
        <v>0</v>
      </c>
      <c r="AR152" s="98">
        <f t="shared" si="311"/>
        <v>0</v>
      </c>
      <c r="AS152" s="98">
        <f t="shared" si="311"/>
        <v>0</v>
      </c>
      <c r="AT152" s="98">
        <f t="shared" si="311"/>
        <v>0</v>
      </c>
      <c r="AU152" s="98">
        <f t="shared" si="311"/>
        <v>0</v>
      </c>
      <c r="AV152" s="98">
        <f t="shared" si="311"/>
        <v>0</v>
      </c>
      <c r="AW152" s="98">
        <f t="shared" si="311"/>
        <v>0</v>
      </c>
      <c r="AX152" s="98">
        <f t="shared" si="311"/>
        <v>0</v>
      </c>
      <c r="AY152" s="98">
        <f t="shared" si="311"/>
        <v>0</v>
      </c>
      <c r="AZ152" s="98">
        <f t="shared" si="311"/>
        <v>0</v>
      </c>
      <c r="BA152" s="98">
        <f t="shared" si="311"/>
        <v>0</v>
      </c>
      <c r="BB152" s="98">
        <f t="shared" si="311"/>
        <v>0</v>
      </c>
      <c r="BC152" s="98">
        <f t="shared" si="311"/>
        <v>0</v>
      </c>
      <c r="BD152" s="99">
        <f t="shared" si="311"/>
        <v>0</v>
      </c>
      <c r="BE152" s="100"/>
      <c r="BG152" s="222">
        <f t="shared" ref="BG152" si="312">C152</f>
        <v>0</v>
      </c>
      <c r="BH152" s="222"/>
      <c r="BI152" s="222"/>
      <c r="BJ152" s="248"/>
      <c r="BK152" s="265"/>
      <c r="BL152" s="222"/>
      <c r="BM152" s="249">
        <f t="shared" si="227"/>
        <v>0</v>
      </c>
      <c r="BN152" s="265"/>
      <c r="BO152" s="222"/>
      <c r="BP152" s="222"/>
      <c r="BQ152" s="265"/>
      <c r="BR152" s="265"/>
      <c r="BS152" s="265"/>
      <c r="BT152" s="244"/>
      <c r="BU152" s="222"/>
      <c r="BV152" s="244">
        <f t="shared" si="228"/>
        <v>0</v>
      </c>
      <c r="BW152" s="222"/>
    </row>
    <row r="153" spans="1:75" outlineLevel="1">
      <c r="A153" s="221"/>
      <c r="B153" s="222"/>
      <c r="C153" s="222"/>
      <c r="D153" s="225"/>
      <c r="E153" s="222"/>
      <c r="F153" s="222"/>
      <c r="G153" s="222"/>
      <c r="H153" s="266"/>
      <c r="I153" s="101"/>
      <c r="J153" s="102"/>
      <c r="K153" s="102"/>
      <c r="L153" s="102"/>
      <c r="M153" s="102"/>
      <c r="N153" s="102"/>
      <c r="O153" s="102"/>
      <c r="P153" s="102"/>
      <c r="Q153" s="102"/>
      <c r="R153" s="102"/>
      <c r="S153" s="102"/>
      <c r="T153" s="102"/>
      <c r="U153" s="102"/>
      <c r="V153" s="102"/>
      <c r="W153" s="102"/>
      <c r="X153" s="103"/>
      <c r="Y153" s="264"/>
      <c r="Z153" s="222"/>
      <c r="AA153" s="266"/>
      <c r="AB153" s="104">
        <f>ROUNDDOWN(AB152*10%,-1)</f>
        <v>0</v>
      </c>
      <c r="AC153" s="105">
        <f ca="1">IFERROR(IF(AND( OR(COUNTIF(I152:X153, "&gt;0")&gt;=$AJ$1, AA152&gt;=$AJ$4),AN152&lt;60,AA152&lt;=$AH$5),ROUNDDOWN(ROUNDDOWN(AA152,-3)*$AH$4%,-1),IF(AND(COUNTIF(I152:X153,"&gt;0")&gt;=$AJ$1,AN152&lt;60,AA152&gt;$AH$5),$AJ$5,0)),0)</f>
        <v>0</v>
      </c>
      <c r="AD153" s="106">
        <f>IF(Z152&gt;=$AJ$1,ROUNDDOWN(AD152*$AH$3%/($AH$2*2%),-1),0)</f>
        <v>0</v>
      </c>
      <c r="AE153" s="266"/>
      <c r="AF153" s="266"/>
      <c r="AG153" s="222"/>
      <c r="AH153" s="222"/>
      <c r="AI153" s="222"/>
      <c r="AJ153" s="222"/>
      <c r="AK153" s="250"/>
      <c r="AL153" s="250"/>
      <c r="AM153" s="251"/>
      <c r="AN153" s="252"/>
      <c r="AO153" s="266"/>
      <c r="AP153" s="107">
        <f t="shared" ref="AP153:BE153" si="313">IF($H152*I153&gt;150000,ROUNDDOWN(($H152*I153-150000)*6%*45%,0),0)</f>
        <v>0</v>
      </c>
      <c r="AQ153" s="108">
        <f t="shared" si="313"/>
        <v>0</v>
      </c>
      <c r="AR153" s="108">
        <f t="shared" si="313"/>
        <v>0</v>
      </c>
      <c r="AS153" s="108">
        <f t="shared" si="313"/>
        <v>0</v>
      </c>
      <c r="AT153" s="108">
        <f t="shared" si="313"/>
        <v>0</v>
      </c>
      <c r="AU153" s="108">
        <f t="shared" si="313"/>
        <v>0</v>
      </c>
      <c r="AV153" s="108">
        <f t="shared" si="313"/>
        <v>0</v>
      </c>
      <c r="AW153" s="108">
        <f t="shared" si="313"/>
        <v>0</v>
      </c>
      <c r="AX153" s="108">
        <f t="shared" si="313"/>
        <v>0</v>
      </c>
      <c r="AY153" s="108">
        <f t="shared" si="313"/>
        <v>0</v>
      </c>
      <c r="AZ153" s="108">
        <f t="shared" si="313"/>
        <v>0</v>
      </c>
      <c r="BA153" s="108">
        <f t="shared" si="313"/>
        <v>0</v>
      </c>
      <c r="BB153" s="108">
        <f t="shared" si="313"/>
        <v>0</v>
      </c>
      <c r="BC153" s="108">
        <f t="shared" si="313"/>
        <v>0</v>
      </c>
      <c r="BD153" s="108">
        <f t="shared" si="313"/>
        <v>0</v>
      </c>
      <c r="BE153" s="109">
        <f t="shared" si="313"/>
        <v>0</v>
      </c>
      <c r="BG153" s="222"/>
      <c r="BH153" s="222"/>
      <c r="BI153" s="222"/>
      <c r="BJ153" s="248"/>
      <c r="BK153" s="265"/>
      <c r="BL153" s="222"/>
      <c r="BM153" s="249"/>
      <c r="BN153" s="265"/>
      <c r="BO153" s="222"/>
      <c r="BP153" s="222"/>
      <c r="BQ153" s="265"/>
      <c r="BR153" s="265"/>
      <c r="BS153" s="265"/>
      <c r="BT153" s="244"/>
      <c r="BU153" s="222"/>
      <c r="BV153" s="244"/>
      <c r="BW153" s="222"/>
    </row>
    <row r="154" spans="1:75" outlineLevel="1">
      <c r="A154" s="221">
        <v>76</v>
      </c>
      <c r="B154" s="222" t="str">
        <f>IF(LEN(D154)&gt;1,IF(VALUE(MID(RIGHT(D154,7),1,1))&gt;4,"외국인",IF(VALUE(RIGHT(11-MOD((MID(D154,1,1)*2+MID(D154,2,1)*3+MID(D154,3,1)*4+MID(D154,4,1)*5+MID(D154,5,1)*6+MID(D154,6,1)*7+MID(RIGHT(D154,7),1,1)*8+MID(RIGHT(D154,7),2,1)*9+MID(RIGHT(D154,7),3,1)*2+MID(RIGHT(D154,7),4,1)*3+MID(RIGHT(D154,7),5,1)*4+MID(RIGHT(D154,7),6,1)*5),11),1))=VALUE(RIGHT(D154,1)),"","오류")),"")</f>
        <v/>
      </c>
      <c r="C154" s="222"/>
      <c r="D154" s="225"/>
      <c r="E154" s="222"/>
      <c r="F154" s="222"/>
      <c r="G154" s="222"/>
      <c r="H154" s="266"/>
      <c r="I154" s="89"/>
      <c r="J154" s="90"/>
      <c r="K154" s="90"/>
      <c r="L154" s="90"/>
      <c r="M154" s="90"/>
      <c r="N154" s="90"/>
      <c r="O154" s="90"/>
      <c r="P154" s="90"/>
      <c r="Q154" s="90"/>
      <c r="R154" s="90"/>
      <c r="S154" s="91"/>
      <c r="T154" s="91"/>
      <c r="U154" s="90"/>
      <c r="V154" s="90"/>
      <c r="W154" s="92"/>
      <c r="X154" s="93"/>
      <c r="Y154" s="264">
        <f>SUM(I154:X155)</f>
        <v>0</v>
      </c>
      <c r="Z154" s="222">
        <f>COUNTIF(I154:X155,"&gt;0")</f>
        <v>0</v>
      </c>
      <c r="AA154" s="266">
        <f>H154*Y154</f>
        <v>0</v>
      </c>
      <c r="AB154" s="94">
        <f>IF(AO154&lt;1000, 0, AO154)</f>
        <v>0</v>
      </c>
      <c r="AC154" s="95">
        <f ca="1">IF(IFERROR($AN154&lt;65,FALSE), IF(B154&lt;&gt;"외국인", ROUNDDOWN(AA154*$AH$1%,-1), IF(AND(AM154&lt;&gt;"", ISNUMBER(SEARCH(LEFT(SUBSTITUTE(AM154, "-",""),2), "F2_F5_F6"))), ROUNDDOWN(AA154*$AH$1%,-1), 0)),0)</f>
        <v>0</v>
      </c>
      <c r="AD154" s="96">
        <f>IF(Z154&gt;=$AJ$1,ROUNDDOWN(AA154*$AH$2%,-1),0)</f>
        <v>0</v>
      </c>
      <c r="AE154" s="266">
        <f ca="1">AB154+AC154+AB155+AC155+AD154+AD155</f>
        <v>0</v>
      </c>
      <c r="AF154" s="266">
        <f ca="1">AA154-AE154</f>
        <v>0</v>
      </c>
      <c r="AG154" s="222"/>
      <c r="AH154" s="222"/>
      <c r="AI154" s="222"/>
      <c r="AJ154" s="222"/>
      <c r="AK154" s="250"/>
      <c r="AL154" s="250"/>
      <c r="AM154" s="251"/>
      <c r="AN154" s="252" t="str">
        <f ca="1">IFERROR(DATEDIF(DATE(IF(ISNUMBER(FIND(MID( SUBSTITUTE(D154, "-",""), 7, 1), "3478")), 2000, 1900)+MID(D154,1,2), MID(D154,3,2), MID(D154,5,2)), TODAY(), "Y"),"")</f>
        <v/>
      </c>
      <c r="AO154" s="266">
        <f>ROUNDDOWN(SUM(AP154:BE155),-1)</f>
        <v>0</v>
      </c>
      <c r="AP154" s="97">
        <f t="shared" ref="AP154:BD154" si="314">IF($H154*I154&gt;150000,ROUNDDOWN(($H154*I154-150000)*6%*45%,0),0)</f>
        <v>0</v>
      </c>
      <c r="AQ154" s="98">
        <f t="shared" si="314"/>
        <v>0</v>
      </c>
      <c r="AR154" s="98">
        <f t="shared" si="314"/>
        <v>0</v>
      </c>
      <c r="AS154" s="98">
        <f t="shared" si="314"/>
        <v>0</v>
      </c>
      <c r="AT154" s="98">
        <f t="shared" si="314"/>
        <v>0</v>
      </c>
      <c r="AU154" s="98">
        <f t="shared" si="314"/>
        <v>0</v>
      </c>
      <c r="AV154" s="98">
        <f t="shared" si="314"/>
        <v>0</v>
      </c>
      <c r="AW154" s="98">
        <f t="shared" si="314"/>
        <v>0</v>
      </c>
      <c r="AX154" s="98">
        <f t="shared" si="314"/>
        <v>0</v>
      </c>
      <c r="AY154" s="98">
        <f t="shared" si="314"/>
        <v>0</v>
      </c>
      <c r="AZ154" s="98">
        <f t="shared" si="314"/>
        <v>0</v>
      </c>
      <c r="BA154" s="98">
        <f t="shared" si="314"/>
        <v>0</v>
      </c>
      <c r="BB154" s="98">
        <f t="shared" si="314"/>
        <v>0</v>
      </c>
      <c r="BC154" s="98">
        <f t="shared" si="314"/>
        <v>0</v>
      </c>
      <c r="BD154" s="99">
        <f t="shared" si="314"/>
        <v>0</v>
      </c>
      <c r="BE154" s="100"/>
      <c r="BG154" s="222">
        <f t="shared" ref="BG154" si="315">C154</f>
        <v>0</v>
      </c>
      <c r="BH154" s="222"/>
      <c r="BI154" s="222"/>
      <c r="BJ154" s="248"/>
      <c r="BK154" s="265"/>
      <c r="BL154" s="222"/>
      <c r="BM154" s="249">
        <f t="shared" si="227"/>
        <v>0</v>
      </c>
      <c r="BN154" s="265"/>
      <c r="BO154" s="222"/>
      <c r="BP154" s="222"/>
      <c r="BQ154" s="265"/>
      <c r="BR154" s="265"/>
      <c r="BS154" s="265"/>
      <c r="BT154" s="244"/>
      <c r="BU154" s="222"/>
      <c r="BV154" s="244">
        <f t="shared" si="228"/>
        <v>0</v>
      </c>
      <c r="BW154" s="222"/>
    </row>
    <row r="155" spans="1:75" outlineLevel="1">
      <c r="A155" s="221"/>
      <c r="B155" s="222"/>
      <c r="C155" s="222"/>
      <c r="D155" s="225"/>
      <c r="E155" s="222"/>
      <c r="F155" s="222"/>
      <c r="G155" s="222"/>
      <c r="H155" s="266"/>
      <c r="I155" s="101"/>
      <c r="J155" s="102"/>
      <c r="K155" s="102"/>
      <c r="L155" s="102"/>
      <c r="M155" s="102"/>
      <c r="N155" s="102"/>
      <c r="O155" s="102"/>
      <c r="P155" s="102"/>
      <c r="Q155" s="102"/>
      <c r="R155" s="102"/>
      <c r="S155" s="102"/>
      <c r="T155" s="102"/>
      <c r="U155" s="102"/>
      <c r="V155" s="102"/>
      <c r="W155" s="102"/>
      <c r="X155" s="103"/>
      <c r="Y155" s="264"/>
      <c r="Z155" s="222"/>
      <c r="AA155" s="266"/>
      <c r="AB155" s="104">
        <f>ROUNDDOWN(AB154*10%,-1)</f>
        <v>0</v>
      </c>
      <c r="AC155" s="105">
        <f ca="1">IFERROR(IF(AND( OR(COUNTIF(I154:X155, "&gt;0")&gt;=$AJ$1, AA154&gt;=$AJ$4),AN154&lt;60,AA154&lt;=$AH$5),ROUNDDOWN(ROUNDDOWN(AA154,-3)*$AH$4%,-1),IF(AND(COUNTIF(I154:X155,"&gt;0")&gt;=$AJ$1,AN154&lt;60,AA154&gt;$AH$5),$AJ$5,0)),0)</f>
        <v>0</v>
      </c>
      <c r="AD155" s="106">
        <f>IF(Z154&gt;=$AJ$1,ROUNDDOWN(AD154*$AH$3%/($AH$2*2%),-1),0)</f>
        <v>0</v>
      </c>
      <c r="AE155" s="266"/>
      <c r="AF155" s="266"/>
      <c r="AG155" s="222"/>
      <c r="AH155" s="222"/>
      <c r="AI155" s="222"/>
      <c r="AJ155" s="222"/>
      <c r="AK155" s="250"/>
      <c r="AL155" s="250"/>
      <c r="AM155" s="251"/>
      <c r="AN155" s="252"/>
      <c r="AO155" s="266"/>
      <c r="AP155" s="107">
        <f t="shared" ref="AP155:BE155" si="316">IF($H154*I155&gt;150000,ROUNDDOWN(($H154*I155-150000)*6%*45%,0),0)</f>
        <v>0</v>
      </c>
      <c r="AQ155" s="108">
        <f t="shared" si="316"/>
        <v>0</v>
      </c>
      <c r="AR155" s="108">
        <f t="shared" si="316"/>
        <v>0</v>
      </c>
      <c r="AS155" s="108">
        <f t="shared" si="316"/>
        <v>0</v>
      </c>
      <c r="AT155" s="108">
        <f t="shared" si="316"/>
        <v>0</v>
      </c>
      <c r="AU155" s="108">
        <f t="shared" si="316"/>
        <v>0</v>
      </c>
      <c r="AV155" s="108">
        <f t="shared" si="316"/>
        <v>0</v>
      </c>
      <c r="AW155" s="108">
        <f t="shared" si="316"/>
        <v>0</v>
      </c>
      <c r="AX155" s="108">
        <f t="shared" si="316"/>
        <v>0</v>
      </c>
      <c r="AY155" s="108">
        <f t="shared" si="316"/>
        <v>0</v>
      </c>
      <c r="AZ155" s="108">
        <f t="shared" si="316"/>
        <v>0</v>
      </c>
      <c r="BA155" s="108">
        <f t="shared" si="316"/>
        <v>0</v>
      </c>
      <c r="BB155" s="108">
        <f t="shared" si="316"/>
        <v>0</v>
      </c>
      <c r="BC155" s="108">
        <f t="shared" si="316"/>
        <v>0</v>
      </c>
      <c r="BD155" s="108">
        <f t="shared" si="316"/>
        <v>0</v>
      </c>
      <c r="BE155" s="109">
        <f t="shared" si="316"/>
        <v>0</v>
      </c>
      <c r="BG155" s="222"/>
      <c r="BH155" s="222"/>
      <c r="BI155" s="222"/>
      <c r="BJ155" s="248"/>
      <c r="BK155" s="265"/>
      <c r="BL155" s="222"/>
      <c r="BM155" s="249"/>
      <c r="BN155" s="265"/>
      <c r="BO155" s="222"/>
      <c r="BP155" s="222"/>
      <c r="BQ155" s="265"/>
      <c r="BR155" s="265"/>
      <c r="BS155" s="265"/>
      <c r="BT155" s="244"/>
      <c r="BU155" s="222"/>
      <c r="BV155" s="244"/>
      <c r="BW155" s="222"/>
    </row>
    <row r="156" spans="1:75" outlineLevel="1">
      <c r="A156" s="221">
        <v>77</v>
      </c>
      <c r="B156" s="222" t="str">
        <f>IF(LEN(D156)&gt;1,IF(VALUE(MID(RIGHT(D156,7),1,1))&gt;4,"외국인",IF(VALUE(RIGHT(11-MOD((MID(D156,1,1)*2+MID(D156,2,1)*3+MID(D156,3,1)*4+MID(D156,4,1)*5+MID(D156,5,1)*6+MID(D156,6,1)*7+MID(RIGHT(D156,7),1,1)*8+MID(RIGHT(D156,7),2,1)*9+MID(RIGHT(D156,7),3,1)*2+MID(RIGHT(D156,7),4,1)*3+MID(RIGHT(D156,7),5,1)*4+MID(RIGHT(D156,7),6,1)*5),11),1))=VALUE(RIGHT(D156,1)),"","오류")),"")</f>
        <v/>
      </c>
      <c r="C156" s="222"/>
      <c r="D156" s="225"/>
      <c r="E156" s="222"/>
      <c r="F156" s="222"/>
      <c r="G156" s="222"/>
      <c r="H156" s="266"/>
      <c r="I156" s="89"/>
      <c r="J156" s="90"/>
      <c r="K156" s="90"/>
      <c r="L156" s="90"/>
      <c r="M156" s="90"/>
      <c r="N156" s="90"/>
      <c r="O156" s="90"/>
      <c r="P156" s="90"/>
      <c r="Q156" s="90"/>
      <c r="R156" s="90"/>
      <c r="S156" s="91"/>
      <c r="T156" s="91"/>
      <c r="U156" s="90"/>
      <c r="V156" s="90"/>
      <c r="W156" s="92"/>
      <c r="X156" s="93"/>
      <c r="Y156" s="264">
        <f>SUM(I156:X157)</f>
        <v>0</v>
      </c>
      <c r="Z156" s="222">
        <f>COUNTIF(I156:X157,"&gt;0")</f>
        <v>0</v>
      </c>
      <c r="AA156" s="266">
        <f>H156*Y156</f>
        <v>0</v>
      </c>
      <c r="AB156" s="94">
        <f>IF(AO156&lt;1000, 0, AO156)</f>
        <v>0</v>
      </c>
      <c r="AC156" s="95">
        <f ca="1">IF(IFERROR($AN156&lt;65,FALSE), IF(B156&lt;&gt;"외국인", ROUNDDOWN(AA156*$AH$1%,-1), IF(AND(AM156&lt;&gt;"", ISNUMBER(SEARCH(LEFT(SUBSTITUTE(AM156, "-",""),2), "F2_F5_F6"))), ROUNDDOWN(AA156*$AH$1%,-1), 0)),0)</f>
        <v>0</v>
      </c>
      <c r="AD156" s="96">
        <f>IF(Z156&gt;=$AJ$1,ROUNDDOWN(AA156*$AH$2%,-1),0)</f>
        <v>0</v>
      </c>
      <c r="AE156" s="266">
        <f ca="1">AB156+AC156+AB157+AC157+AD156+AD157</f>
        <v>0</v>
      </c>
      <c r="AF156" s="266">
        <f ca="1">AA156-AE156</f>
        <v>0</v>
      </c>
      <c r="AG156" s="222"/>
      <c r="AH156" s="222"/>
      <c r="AI156" s="222"/>
      <c r="AJ156" s="222"/>
      <c r="AK156" s="250"/>
      <c r="AL156" s="250"/>
      <c r="AM156" s="251"/>
      <c r="AN156" s="252" t="str">
        <f ca="1">IFERROR(DATEDIF(DATE(IF(ISNUMBER(FIND(MID( SUBSTITUTE(D156, "-",""), 7, 1), "3478")), 2000, 1900)+MID(D156,1,2), MID(D156,3,2), MID(D156,5,2)), TODAY(), "Y"),"")</f>
        <v/>
      </c>
      <c r="AO156" s="266">
        <f>ROUNDDOWN(SUM(AP156:BE157),-1)</f>
        <v>0</v>
      </c>
      <c r="AP156" s="97">
        <f t="shared" ref="AP156:BD156" si="317">IF($H156*I156&gt;150000,ROUNDDOWN(($H156*I156-150000)*6%*45%,0),0)</f>
        <v>0</v>
      </c>
      <c r="AQ156" s="98">
        <f t="shared" si="317"/>
        <v>0</v>
      </c>
      <c r="AR156" s="98">
        <f t="shared" si="317"/>
        <v>0</v>
      </c>
      <c r="AS156" s="98">
        <f t="shared" si="317"/>
        <v>0</v>
      </c>
      <c r="AT156" s="98">
        <f t="shared" si="317"/>
        <v>0</v>
      </c>
      <c r="AU156" s="98">
        <f t="shared" si="317"/>
        <v>0</v>
      </c>
      <c r="AV156" s="98">
        <f t="shared" si="317"/>
        <v>0</v>
      </c>
      <c r="AW156" s="98">
        <f t="shared" si="317"/>
        <v>0</v>
      </c>
      <c r="AX156" s="98">
        <f t="shared" si="317"/>
        <v>0</v>
      </c>
      <c r="AY156" s="98">
        <f t="shared" si="317"/>
        <v>0</v>
      </c>
      <c r="AZ156" s="98">
        <f t="shared" si="317"/>
        <v>0</v>
      </c>
      <c r="BA156" s="98">
        <f t="shared" si="317"/>
        <v>0</v>
      </c>
      <c r="BB156" s="98">
        <f t="shared" si="317"/>
        <v>0</v>
      </c>
      <c r="BC156" s="98">
        <f t="shared" si="317"/>
        <v>0</v>
      </c>
      <c r="BD156" s="99">
        <f t="shared" si="317"/>
        <v>0</v>
      </c>
      <c r="BE156" s="100"/>
      <c r="BG156" s="222">
        <f t="shared" ref="BG156" si="318">C156</f>
        <v>0</v>
      </c>
      <c r="BH156" s="222"/>
      <c r="BI156" s="222"/>
      <c r="BJ156" s="248"/>
      <c r="BK156" s="265"/>
      <c r="BL156" s="222"/>
      <c r="BM156" s="249">
        <f t="shared" si="227"/>
        <v>0</v>
      </c>
      <c r="BN156" s="265"/>
      <c r="BO156" s="222"/>
      <c r="BP156" s="222"/>
      <c r="BQ156" s="265"/>
      <c r="BR156" s="265"/>
      <c r="BS156" s="265"/>
      <c r="BT156" s="244"/>
      <c r="BU156" s="222"/>
      <c r="BV156" s="244">
        <f t="shared" si="228"/>
        <v>0</v>
      </c>
      <c r="BW156" s="222"/>
    </row>
    <row r="157" spans="1:75" outlineLevel="1">
      <c r="A157" s="221"/>
      <c r="B157" s="222"/>
      <c r="C157" s="222"/>
      <c r="D157" s="225"/>
      <c r="E157" s="222"/>
      <c r="F157" s="222"/>
      <c r="G157" s="222"/>
      <c r="H157" s="266"/>
      <c r="I157" s="101"/>
      <c r="J157" s="102"/>
      <c r="K157" s="102"/>
      <c r="L157" s="102"/>
      <c r="M157" s="102"/>
      <c r="N157" s="102"/>
      <c r="O157" s="102"/>
      <c r="P157" s="102"/>
      <c r="Q157" s="102"/>
      <c r="R157" s="102"/>
      <c r="S157" s="102"/>
      <c r="T157" s="102"/>
      <c r="U157" s="102"/>
      <c r="V157" s="102"/>
      <c r="W157" s="102"/>
      <c r="X157" s="103"/>
      <c r="Y157" s="264"/>
      <c r="Z157" s="222"/>
      <c r="AA157" s="266"/>
      <c r="AB157" s="104">
        <f>ROUNDDOWN(AB156*10%,-1)</f>
        <v>0</v>
      </c>
      <c r="AC157" s="105">
        <f ca="1">IFERROR(IF(AND( OR(COUNTIF(I156:X157, "&gt;0")&gt;=$AJ$1, AA156&gt;=$AJ$4),AN156&lt;60,AA156&lt;=$AH$5),ROUNDDOWN(ROUNDDOWN(AA156,-3)*$AH$4%,-1),IF(AND(COUNTIF(I156:X157,"&gt;0")&gt;=$AJ$1,AN156&lt;60,AA156&gt;$AH$5),$AJ$5,0)),0)</f>
        <v>0</v>
      </c>
      <c r="AD157" s="106">
        <f>IF(Z156&gt;=$AJ$1,ROUNDDOWN(AD156*$AH$3%/($AH$2*2%),-1),0)</f>
        <v>0</v>
      </c>
      <c r="AE157" s="266"/>
      <c r="AF157" s="266"/>
      <c r="AG157" s="222"/>
      <c r="AH157" s="222"/>
      <c r="AI157" s="222"/>
      <c r="AJ157" s="222"/>
      <c r="AK157" s="250"/>
      <c r="AL157" s="250"/>
      <c r="AM157" s="251"/>
      <c r="AN157" s="252"/>
      <c r="AO157" s="266"/>
      <c r="AP157" s="107">
        <f t="shared" ref="AP157:BE157" si="319">IF($H156*I157&gt;150000,ROUNDDOWN(($H156*I157-150000)*6%*45%,0),0)</f>
        <v>0</v>
      </c>
      <c r="AQ157" s="108">
        <f t="shared" si="319"/>
        <v>0</v>
      </c>
      <c r="AR157" s="108">
        <f t="shared" si="319"/>
        <v>0</v>
      </c>
      <c r="AS157" s="108">
        <f t="shared" si="319"/>
        <v>0</v>
      </c>
      <c r="AT157" s="108">
        <f t="shared" si="319"/>
        <v>0</v>
      </c>
      <c r="AU157" s="108">
        <f t="shared" si="319"/>
        <v>0</v>
      </c>
      <c r="AV157" s="108">
        <f t="shared" si="319"/>
        <v>0</v>
      </c>
      <c r="AW157" s="108">
        <f t="shared" si="319"/>
        <v>0</v>
      </c>
      <c r="AX157" s="108">
        <f t="shared" si="319"/>
        <v>0</v>
      </c>
      <c r="AY157" s="108">
        <f t="shared" si="319"/>
        <v>0</v>
      </c>
      <c r="AZ157" s="108">
        <f t="shared" si="319"/>
        <v>0</v>
      </c>
      <c r="BA157" s="108">
        <f t="shared" si="319"/>
        <v>0</v>
      </c>
      <c r="BB157" s="108">
        <f t="shared" si="319"/>
        <v>0</v>
      </c>
      <c r="BC157" s="108">
        <f t="shared" si="319"/>
        <v>0</v>
      </c>
      <c r="BD157" s="108">
        <f t="shared" si="319"/>
        <v>0</v>
      </c>
      <c r="BE157" s="109">
        <f t="shared" si="319"/>
        <v>0</v>
      </c>
      <c r="BG157" s="222"/>
      <c r="BH157" s="222"/>
      <c r="BI157" s="222"/>
      <c r="BJ157" s="248"/>
      <c r="BK157" s="265"/>
      <c r="BL157" s="222"/>
      <c r="BM157" s="249"/>
      <c r="BN157" s="265"/>
      <c r="BO157" s="222"/>
      <c r="BP157" s="222"/>
      <c r="BQ157" s="265"/>
      <c r="BR157" s="265"/>
      <c r="BS157" s="265"/>
      <c r="BT157" s="244"/>
      <c r="BU157" s="222"/>
      <c r="BV157" s="244"/>
      <c r="BW157" s="222"/>
    </row>
    <row r="158" spans="1:75" outlineLevel="1">
      <c r="A158" s="221">
        <v>78</v>
      </c>
      <c r="B158" s="222" t="str">
        <f>IF(LEN(D158)&gt;1,IF(VALUE(MID(RIGHT(D158,7),1,1))&gt;4,"외국인",IF(VALUE(RIGHT(11-MOD((MID(D158,1,1)*2+MID(D158,2,1)*3+MID(D158,3,1)*4+MID(D158,4,1)*5+MID(D158,5,1)*6+MID(D158,6,1)*7+MID(RIGHT(D158,7),1,1)*8+MID(RIGHT(D158,7),2,1)*9+MID(RIGHT(D158,7),3,1)*2+MID(RIGHT(D158,7),4,1)*3+MID(RIGHT(D158,7),5,1)*4+MID(RIGHT(D158,7),6,1)*5),11),1))=VALUE(RIGHT(D158,1)),"","오류")),"")</f>
        <v/>
      </c>
      <c r="C158" s="222"/>
      <c r="D158" s="225"/>
      <c r="E158" s="222"/>
      <c r="F158" s="222"/>
      <c r="G158" s="222"/>
      <c r="H158" s="266"/>
      <c r="I158" s="89"/>
      <c r="J158" s="90"/>
      <c r="K158" s="90"/>
      <c r="L158" s="90"/>
      <c r="M158" s="90"/>
      <c r="N158" s="90"/>
      <c r="O158" s="90"/>
      <c r="P158" s="90"/>
      <c r="Q158" s="90"/>
      <c r="R158" s="90"/>
      <c r="S158" s="91"/>
      <c r="T158" s="91"/>
      <c r="U158" s="90"/>
      <c r="V158" s="90"/>
      <c r="W158" s="92"/>
      <c r="X158" s="93"/>
      <c r="Y158" s="264">
        <f>SUM(I158:X159)</f>
        <v>0</v>
      </c>
      <c r="Z158" s="222">
        <f>COUNTIF(I158:X159,"&gt;0")</f>
        <v>0</v>
      </c>
      <c r="AA158" s="266">
        <f>H158*Y158</f>
        <v>0</v>
      </c>
      <c r="AB158" s="94">
        <f>IF(AO158&lt;1000, 0, AO158)</f>
        <v>0</v>
      </c>
      <c r="AC158" s="95">
        <f ca="1">IF(IFERROR($AN158&lt;65,FALSE), IF(B158&lt;&gt;"외국인", ROUNDDOWN(AA158*$AH$1%,-1), IF(AND(AM158&lt;&gt;"", ISNUMBER(SEARCH(LEFT(SUBSTITUTE(AM158, "-",""),2), "F2_F5_F6"))), ROUNDDOWN(AA158*$AH$1%,-1), 0)),0)</f>
        <v>0</v>
      </c>
      <c r="AD158" s="96">
        <f>IF(Z158&gt;=$AJ$1,ROUNDDOWN(AA158*$AH$2%,-1),0)</f>
        <v>0</v>
      </c>
      <c r="AE158" s="266">
        <f ca="1">AB158+AC158+AB159+AC159+AD158+AD159</f>
        <v>0</v>
      </c>
      <c r="AF158" s="266">
        <f ca="1">AA158-AE158</f>
        <v>0</v>
      </c>
      <c r="AG158" s="222"/>
      <c r="AH158" s="222"/>
      <c r="AI158" s="222"/>
      <c r="AJ158" s="222"/>
      <c r="AK158" s="250"/>
      <c r="AL158" s="250"/>
      <c r="AM158" s="251"/>
      <c r="AN158" s="252" t="str">
        <f ca="1">IFERROR(DATEDIF(DATE(IF(ISNUMBER(FIND(MID( SUBSTITUTE(D158, "-",""), 7, 1), "3478")), 2000, 1900)+MID(D158,1,2), MID(D158,3,2), MID(D158,5,2)), TODAY(), "Y"),"")</f>
        <v/>
      </c>
      <c r="AO158" s="266">
        <f>ROUNDDOWN(SUM(AP158:BE159),-1)</f>
        <v>0</v>
      </c>
      <c r="AP158" s="97">
        <f t="shared" ref="AP158:BD158" si="320">IF($H158*I158&gt;150000,ROUNDDOWN(($H158*I158-150000)*6%*45%,0),0)</f>
        <v>0</v>
      </c>
      <c r="AQ158" s="98">
        <f t="shared" si="320"/>
        <v>0</v>
      </c>
      <c r="AR158" s="98">
        <f t="shared" si="320"/>
        <v>0</v>
      </c>
      <c r="AS158" s="98">
        <f t="shared" si="320"/>
        <v>0</v>
      </c>
      <c r="AT158" s="98">
        <f t="shared" si="320"/>
        <v>0</v>
      </c>
      <c r="AU158" s="98">
        <f t="shared" si="320"/>
        <v>0</v>
      </c>
      <c r="AV158" s="98">
        <f t="shared" si="320"/>
        <v>0</v>
      </c>
      <c r="AW158" s="98">
        <f t="shared" si="320"/>
        <v>0</v>
      </c>
      <c r="AX158" s="98">
        <f t="shared" si="320"/>
        <v>0</v>
      </c>
      <c r="AY158" s="98">
        <f t="shared" si="320"/>
        <v>0</v>
      </c>
      <c r="AZ158" s="98">
        <f t="shared" si="320"/>
        <v>0</v>
      </c>
      <c r="BA158" s="98">
        <f t="shared" si="320"/>
        <v>0</v>
      </c>
      <c r="BB158" s="98">
        <f t="shared" si="320"/>
        <v>0</v>
      </c>
      <c r="BC158" s="98">
        <f t="shared" si="320"/>
        <v>0</v>
      </c>
      <c r="BD158" s="99">
        <f t="shared" si="320"/>
        <v>0</v>
      </c>
      <c r="BE158" s="100"/>
      <c r="BG158" s="222">
        <f t="shared" ref="BG158" si="321">C158</f>
        <v>0</v>
      </c>
      <c r="BH158" s="222"/>
      <c r="BI158" s="222"/>
      <c r="BJ158" s="248"/>
      <c r="BK158" s="265"/>
      <c r="BL158" s="222"/>
      <c r="BM158" s="249">
        <f t="shared" si="227"/>
        <v>0</v>
      </c>
      <c r="BN158" s="265"/>
      <c r="BO158" s="222"/>
      <c r="BP158" s="222"/>
      <c r="BQ158" s="265"/>
      <c r="BR158" s="265"/>
      <c r="BS158" s="265"/>
      <c r="BT158" s="244"/>
      <c r="BU158" s="222"/>
      <c r="BV158" s="244">
        <f t="shared" si="228"/>
        <v>0</v>
      </c>
      <c r="BW158" s="222"/>
    </row>
    <row r="159" spans="1:75" outlineLevel="1">
      <c r="A159" s="221"/>
      <c r="B159" s="222"/>
      <c r="C159" s="222"/>
      <c r="D159" s="225"/>
      <c r="E159" s="222"/>
      <c r="F159" s="222"/>
      <c r="G159" s="222"/>
      <c r="H159" s="266"/>
      <c r="I159" s="101"/>
      <c r="J159" s="102"/>
      <c r="K159" s="102"/>
      <c r="L159" s="102"/>
      <c r="M159" s="102"/>
      <c r="N159" s="102"/>
      <c r="O159" s="102"/>
      <c r="P159" s="102"/>
      <c r="Q159" s="102"/>
      <c r="R159" s="102"/>
      <c r="S159" s="102"/>
      <c r="T159" s="102"/>
      <c r="U159" s="102"/>
      <c r="V159" s="102"/>
      <c r="W159" s="102"/>
      <c r="X159" s="103"/>
      <c r="Y159" s="264"/>
      <c r="Z159" s="222"/>
      <c r="AA159" s="266"/>
      <c r="AB159" s="104">
        <f>ROUNDDOWN(AB158*10%,-1)</f>
        <v>0</v>
      </c>
      <c r="AC159" s="105">
        <f ca="1">IFERROR(IF(AND( OR(COUNTIF(I158:X159, "&gt;0")&gt;=$AJ$1, AA158&gt;=$AJ$4),AN158&lt;60,AA158&lt;=$AH$5),ROUNDDOWN(ROUNDDOWN(AA158,-3)*$AH$4%,-1),IF(AND(COUNTIF(I158:X159,"&gt;0")&gt;=$AJ$1,AN158&lt;60,AA158&gt;$AH$5),$AJ$5,0)),0)</f>
        <v>0</v>
      </c>
      <c r="AD159" s="106">
        <f>IF(Z158&gt;=$AJ$1,ROUNDDOWN(AD158*$AH$3%/($AH$2*2%),-1),0)</f>
        <v>0</v>
      </c>
      <c r="AE159" s="266"/>
      <c r="AF159" s="266"/>
      <c r="AG159" s="222"/>
      <c r="AH159" s="222"/>
      <c r="AI159" s="222"/>
      <c r="AJ159" s="222"/>
      <c r="AK159" s="250"/>
      <c r="AL159" s="250"/>
      <c r="AM159" s="251"/>
      <c r="AN159" s="252"/>
      <c r="AO159" s="266"/>
      <c r="AP159" s="107">
        <f t="shared" ref="AP159:BE159" si="322">IF($H158*I159&gt;150000,ROUNDDOWN(($H158*I159-150000)*6%*45%,0),0)</f>
        <v>0</v>
      </c>
      <c r="AQ159" s="108">
        <f t="shared" si="322"/>
        <v>0</v>
      </c>
      <c r="AR159" s="108">
        <f t="shared" si="322"/>
        <v>0</v>
      </c>
      <c r="AS159" s="108">
        <f t="shared" si="322"/>
        <v>0</v>
      </c>
      <c r="AT159" s="108">
        <f t="shared" si="322"/>
        <v>0</v>
      </c>
      <c r="AU159" s="108">
        <f t="shared" si="322"/>
        <v>0</v>
      </c>
      <c r="AV159" s="108">
        <f t="shared" si="322"/>
        <v>0</v>
      </c>
      <c r="AW159" s="108">
        <f t="shared" si="322"/>
        <v>0</v>
      </c>
      <c r="AX159" s="108">
        <f t="shared" si="322"/>
        <v>0</v>
      </c>
      <c r="AY159" s="108">
        <f t="shared" si="322"/>
        <v>0</v>
      </c>
      <c r="AZ159" s="108">
        <f t="shared" si="322"/>
        <v>0</v>
      </c>
      <c r="BA159" s="108">
        <f t="shared" si="322"/>
        <v>0</v>
      </c>
      <c r="BB159" s="108">
        <f t="shared" si="322"/>
        <v>0</v>
      </c>
      <c r="BC159" s="108">
        <f t="shared" si="322"/>
        <v>0</v>
      </c>
      <c r="BD159" s="108">
        <f t="shared" si="322"/>
        <v>0</v>
      </c>
      <c r="BE159" s="109">
        <f t="shared" si="322"/>
        <v>0</v>
      </c>
      <c r="BG159" s="222"/>
      <c r="BH159" s="222"/>
      <c r="BI159" s="222"/>
      <c r="BJ159" s="248"/>
      <c r="BK159" s="265"/>
      <c r="BL159" s="222"/>
      <c r="BM159" s="249"/>
      <c r="BN159" s="265"/>
      <c r="BO159" s="222"/>
      <c r="BP159" s="222"/>
      <c r="BQ159" s="265"/>
      <c r="BR159" s="265"/>
      <c r="BS159" s="265"/>
      <c r="BT159" s="244"/>
      <c r="BU159" s="222"/>
      <c r="BV159" s="244"/>
      <c r="BW159" s="222"/>
    </row>
    <row r="160" spans="1:75" outlineLevel="1">
      <c r="A160" s="221">
        <v>79</v>
      </c>
      <c r="B160" s="222" t="str">
        <f>IF(LEN(D160)&gt;1,IF(VALUE(MID(RIGHT(D160,7),1,1))&gt;4,"외국인",IF(VALUE(RIGHT(11-MOD((MID(D160,1,1)*2+MID(D160,2,1)*3+MID(D160,3,1)*4+MID(D160,4,1)*5+MID(D160,5,1)*6+MID(D160,6,1)*7+MID(RIGHT(D160,7),1,1)*8+MID(RIGHT(D160,7),2,1)*9+MID(RIGHT(D160,7),3,1)*2+MID(RIGHT(D160,7),4,1)*3+MID(RIGHT(D160,7),5,1)*4+MID(RIGHT(D160,7),6,1)*5),11),1))=VALUE(RIGHT(D160,1)),"","오류")),"")</f>
        <v/>
      </c>
      <c r="C160" s="222"/>
      <c r="D160" s="225"/>
      <c r="E160" s="222"/>
      <c r="F160" s="222"/>
      <c r="G160" s="222"/>
      <c r="H160" s="266"/>
      <c r="I160" s="89"/>
      <c r="J160" s="90"/>
      <c r="K160" s="90"/>
      <c r="L160" s="90"/>
      <c r="M160" s="90"/>
      <c r="N160" s="90"/>
      <c r="O160" s="90"/>
      <c r="P160" s="90"/>
      <c r="Q160" s="90"/>
      <c r="R160" s="90"/>
      <c r="S160" s="91"/>
      <c r="T160" s="91"/>
      <c r="U160" s="90"/>
      <c r="V160" s="90"/>
      <c r="W160" s="92"/>
      <c r="X160" s="93"/>
      <c r="Y160" s="264">
        <f>SUM(I160:X161)</f>
        <v>0</v>
      </c>
      <c r="Z160" s="222">
        <f>COUNTIF(I160:X161,"&gt;0")</f>
        <v>0</v>
      </c>
      <c r="AA160" s="266">
        <f>H160*Y160</f>
        <v>0</v>
      </c>
      <c r="AB160" s="94">
        <f>IF(AO160&lt;1000, 0, AO160)</f>
        <v>0</v>
      </c>
      <c r="AC160" s="95">
        <f ca="1">IF(IFERROR($AN160&lt;65,FALSE), IF(B160&lt;&gt;"외국인", ROUNDDOWN(AA160*$AH$1%,-1), IF(AND(AM160&lt;&gt;"", ISNUMBER(SEARCH(LEFT(SUBSTITUTE(AM160, "-",""),2), "F2_F5_F6"))), ROUNDDOWN(AA160*$AH$1%,-1), 0)),0)</f>
        <v>0</v>
      </c>
      <c r="AD160" s="96">
        <f>IF(Z160&gt;=$AJ$1,ROUNDDOWN(AA160*$AH$2%,-1),0)</f>
        <v>0</v>
      </c>
      <c r="AE160" s="266">
        <f ca="1">AB160+AC160+AB161+AC161+AD160+AD161</f>
        <v>0</v>
      </c>
      <c r="AF160" s="266">
        <f ca="1">AA160-AE160</f>
        <v>0</v>
      </c>
      <c r="AG160" s="222"/>
      <c r="AH160" s="222"/>
      <c r="AI160" s="222"/>
      <c r="AJ160" s="222"/>
      <c r="AK160" s="250"/>
      <c r="AL160" s="250"/>
      <c r="AM160" s="251"/>
      <c r="AN160" s="252" t="str">
        <f ca="1">IFERROR(DATEDIF(DATE(IF(ISNUMBER(FIND(MID( SUBSTITUTE(D160, "-",""), 7, 1), "3478")), 2000, 1900)+MID(D160,1,2), MID(D160,3,2), MID(D160,5,2)), TODAY(), "Y"),"")</f>
        <v/>
      </c>
      <c r="AO160" s="266">
        <f>ROUNDDOWN(SUM(AP160:BE161),-1)</f>
        <v>0</v>
      </c>
      <c r="AP160" s="97">
        <f t="shared" ref="AP160:BD160" si="323">IF($H160*I160&gt;150000,ROUNDDOWN(($H160*I160-150000)*6%*45%,0),0)</f>
        <v>0</v>
      </c>
      <c r="AQ160" s="98">
        <f t="shared" si="323"/>
        <v>0</v>
      </c>
      <c r="AR160" s="98">
        <f t="shared" si="323"/>
        <v>0</v>
      </c>
      <c r="AS160" s="98">
        <f t="shared" si="323"/>
        <v>0</v>
      </c>
      <c r="AT160" s="98">
        <f t="shared" si="323"/>
        <v>0</v>
      </c>
      <c r="AU160" s="98">
        <f t="shared" si="323"/>
        <v>0</v>
      </c>
      <c r="AV160" s="98">
        <f t="shared" si="323"/>
        <v>0</v>
      </c>
      <c r="AW160" s="98">
        <f t="shared" si="323"/>
        <v>0</v>
      </c>
      <c r="AX160" s="98">
        <f t="shared" si="323"/>
        <v>0</v>
      </c>
      <c r="AY160" s="98">
        <f t="shared" si="323"/>
        <v>0</v>
      </c>
      <c r="AZ160" s="98">
        <f t="shared" si="323"/>
        <v>0</v>
      </c>
      <c r="BA160" s="98">
        <f t="shared" si="323"/>
        <v>0</v>
      </c>
      <c r="BB160" s="98">
        <f t="shared" si="323"/>
        <v>0</v>
      </c>
      <c r="BC160" s="98">
        <f t="shared" si="323"/>
        <v>0</v>
      </c>
      <c r="BD160" s="99">
        <f t="shared" si="323"/>
        <v>0</v>
      </c>
      <c r="BE160" s="100"/>
      <c r="BG160" s="222">
        <f t="shared" ref="BG160" si="324">C160</f>
        <v>0</v>
      </c>
      <c r="BH160" s="222"/>
      <c r="BI160" s="222"/>
      <c r="BJ160" s="270"/>
      <c r="BK160" s="265"/>
      <c r="BL160" s="222"/>
      <c r="BM160" s="249">
        <f t="shared" ref="BM160:BM194" si="325">BK160*BL160</f>
        <v>0</v>
      </c>
      <c r="BN160" s="265"/>
      <c r="BO160" s="222"/>
      <c r="BP160" s="222"/>
      <c r="BQ160" s="265"/>
      <c r="BR160" s="265"/>
      <c r="BS160" s="265"/>
      <c r="BT160" s="244"/>
      <c r="BU160" s="222"/>
      <c r="BV160" s="244">
        <f t="shared" ref="BV160:BV202" si="326">BM160+BP160-BU160</f>
        <v>0</v>
      </c>
      <c r="BW160" s="222"/>
    </row>
    <row r="161" spans="1:75" outlineLevel="1">
      <c r="A161" s="221"/>
      <c r="B161" s="222"/>
      <c r="C161" s="222"/>
      <c r="D161" s="225"/>
      <c r="E161" s="222"/>
      <c r="F161" s="222"/>
      <c r="G161" s="222"/>
      <c r="H161" s="266"/>
      <c r="I161" s="101"/>
      <c r="J161" s="102"/>
      <c r="K161" s="102"/>
      <c r="L161" s="102"/>
      <c r="M161" s="102"/>
      <c r="N161" s="102"/>
      <c r="O161" s="102"/>
      <c r="P161" s="102"/>
      <c r="Q161" s="102"/>
      <c r="R161" s="102"/>
      <c r="S161" s="102"/>
      <c r="T161" s="102"/>
      <c r="U161" s="102"/>
      <c r="V161" s="102"/>
      <c r="W161" s="102"/>
      <c r="X161" s="103"/>
      <c r="Y161" s="264"/>
      <c r="Z161" s="222"/>
      <c r="AA161" s="266"/>
      <c r="AB161" s="104">
        <f>ROUNDDOWN(AB160*10%,-1)</f>
        <v>0</v>
      </c>
      <c r="AC161" s="105">
        <f ca="1">IFERROR(IF(AND( OR(COUNTIF(I160:X161, "&gt;0")&gt;=$AJ$1, AA160&gt;=$AJ$4),AN160&lt;60,AA160&lt;=$AH$5),ROUNDDOWN(ROUNDDOWN(AA160,-3)*$AH$4%,-1),IF(AND(COUNTIF(I160:X161,"&gt;0")&gt;=$AJ$1,AN160&lt;60,AA160&gt;$AH$5),$AJ$5,0)),0)</f>
        <v>0</v>
      </c>
      <c r="AD161" s="106">
        <f>IF(Z160&gt;=$AJ$1,ROUNDDOWN(AD160*$AH$3%/($AH$2*2%),-1),0)</f>
        <v>0</v>
      </c>
      <c r="AE161" s="266"/>
      <c r="AF161" s="266"/>
      <c r="AG161" s="222"/>
      <c r="AH161" s="222"/>
      <c r="AI161" s="222"/>
      <c r="AJ161" s="222"/>
      <c r="AK161" s="250"/>
      <c r="AL161" s="250"/>
      <c r="AM161" s="251"/>
      <c r="AN161" s="252"/>
      <c r="AO161" s="266"/>
      <c r="AP161" s="107">
        <f t="shared" ref="AP161:BE161" si="327">IF($H160*I161&gt;150000,ROUNDDOWN(($H160*I161-150000)*6%*45%,0),0)</f>
        <v>0</v>
      </c>
      <c r="AQ161" s="108">
        <f t="shared" si="327"/>
        <v>0</v>
      </c>
      <c r="AR161" s="108">
        <f t="shared" si="327"/>
        <v>0</v>
      </c>
      <c r="AS161" s="108">
        <f t="shared" si="327"/>
        <v>0</v>
      </c>
      <c r="AT161" s="108">
        <f t="shared" si="327"/>
        <v>0</v>
      </c>
      <c r="AU161" s="108">
        <f t="shared" si="327"/>
        <v>0</v>
      </c>
      <c r="AV161" s="108">
        <f t="shared" si="327"/>
        <v>0</v>
      </c>
      <c r="AW161" s="108">
        <f t="shared" si="327"/>
        <v>0</v>
      </c>
      <c r="AX161" s="108">
        <f t="shared" si="327"/>
        <v>0</v>
      </c>
      <c r="AY161" s="108">
        <f t="shared" si="327"/>
        <v>0</v>
      </c>
      <c r="AZ161" s="108">
        <f t="shared" si="327"/>
        <v>0</v>
      </c>
      <c r="BA161" s="108">
        <f t="shared" si="327"/>
        <v>0</v>
      </c>
      <c r="BB161" s="108">
        <f t="shared" si="327"/>
        <v>0</v>
      </c>
      <c r="BC161" s="108">
        <f t="shared" si="327"/>
        <v>0</v>
      </c>
      <c r="BD161" s="108">
        <f t="shared" si="327"/>
        <v>0</v>
      </c>
      <c r="BE161" s="109">
        <f t="shared" si="327"/>
        <v>0</v>
      </c>
      <c r="BG161" s="222"/>
      <c r="BH161" s="222"/>
      <c r="BI161" s="222"/>
      <c r="BJ161" s="269"/>
      <c r="BK161" s="265"/>
      <c r="BL161" s="222"/>
      <c r="BM161" s="249"/>
      <c r="BN161" s="265"/>
      <c r="BO161" s="222"/>
      <c r="BP161" s="222"/>
      <c r="BQ161" s="265"/>
      <c r="BR161" s="265"/>
      <c r="BS161" s="265"/>
      <c r="BT161" s="244"/>
      <c r="BU161" s="222"/>
      <c r="BV161" s="244"/>
      <c r="BW161" s="222"/>
    </row>
    <row r="162" spans="1:75" outlineLevel="1">
      <c r="A162" s="221">
        <v>80</v>
      </c>
      <c r="B162" s="222" t="str">
        <f>IF(LEN(D162)&gt;1,IF(VALUE(MID(RIGHT(D162,7),1,1))&gt;4,"외국인",IF(VALUE(RIGHT(11-MOD((MID(D162,1,1)*2+MID(D162,2,1)*3+MID(D162,3,1)*4+MID(D162,4,1)*5+MID(D162,5,1)*6+MID(D162,6,1)*7+MID(RIGHT(D162,7),1,1)*8+MID(RIGHT(D162,7),2,1)*9+MID(RIGHT(D162,7),3,1)*2+MID(RIGHT(D162,7),4,1)*3+MID(RIGHT(D162,7),5,1)*4+MID(RIGHT(D162,7),6,1)*5),11),1))=VALUE(RIGHT(D162,1)),"","오류")),"")</f>
        <v/>
      </c>
      <c r="C162" s="222"/>
      <c r="D162" s="225"/>
      <c r="E162" s="222"/>
      <c r="F162" s="222"/>
      <c r="G162" s="222"/>
      <c r="H162" s="266"/>
      <c r="I162" s="89"/>
      <c r="J162" s="90"/>
      <c r="K162" s="90"/>
      <c r="L162" s="90"/>
      <c r="M162" s="90"/>
      <c r="N162" s="90"/>
      <c r="O162" s="90"/>
      <c r="P162" s="90"/>
      <c r="Q162" s="90"/>
      <c r="R162" s="90"/>
      <c r="S162" s="91"/>
      <c r="T162" s="91"/>
      <c r="U162" s="90"/>
      <c r="V162" s="90"/>
      <c r="W162" s="92"/>
      <c r="X162" s="93"/>
      <c r="Y162" s="264">
        <f>SUM(I162:X163)</f>
        <v>0</v>
      </c>
      <c r="Z162" s="222">
        <f>COUNTIF(I162:X163,"&gt;0")</f>
        <v>0</v>
      </c>
      <c r="AA162" s="266">
        <f>H162*Y162</f>
        <v>0</v>
      </c>
      <c r="AB162" s="94">
        <f>IF(AO162&lt;1000, 0, AO162)</f>
        <v>0</v>
      </c>
      <c r="AC162" s="95">
        <f ca="1">IF(IFERROR($AN162&lt;65,FALSE), IF(B162&lt;&gt;"외국인", ROUNDDOWN(AA162*$AH$1%,-1), IF(AND(AM162&lt;&gt;"", ISNUMBER(SEARCH(LEFT(SUBSTITUTE(AM162, "-",""),2), "F2_F5_F6"))), ROUNDDOWN(AA162*$AH$1%,-1), 0)),0)</f>
        <v>0</v>
      </c>
      <c r="AD162" s="96">
        <f>IF(Z162&gt;=$AJ$1,ROUNDDOWN(AA162*$AH$2%,-1),0)</f>
        <v>0</v>
      </c>
      <c r="AE162" s="266">
        <f ca="1">AB162+AC162+AB163+AC163+AD162+AD163</f>
        <v>0</v>
      </c>
      <c r="AF162" s="266">
        <f ca="1">AA162-AE162</f>
        <v>0</v>
      </c>
      <c r="AG162" s="222"/>
      <c r="AH162" s="222"/>
      <c r="AI162" s="222"/>
      <c r="AJ162" s="222"/>
      <c r="AK162" s="250"/>
      <c r="AL162" s="250"/>
      <c r="AM162" s="251"/>
      <c r="AN162" s="252" t="str">
        <f ca="1">IFERROR(DATEDIF(DATE(IF(ISNUMBER(FIND(MID( SUBSTITUTE(D162, "-",""), 7, 1), "3478")), 2000, 1900)+MID(D162,1,2), MID(D162,3,2), MID(D162,5,2)), TODAY(), "Y"),"")</f>
        <v/>
      </c>
      <c r="AO162" s="266">
        <f>ROUNDDOWN(SUM(AP162:BE163),-1)</f>
        <v>0</v>
      </c>
      <c r="AP162" s="97">
        <f t="shared" ref="AP162:BD162" si="328">IF($H162*I162&gt;150000,ROUNDDOWN(($H162*I162-150000)*6%*45%,0),0)</f>
        <v>0</v>
      </c>
      <c r="AQ162" s="98">
        <f t="shared" si="328"/>
        <v>0</v>
      </c>
      <c r="AR162" s="98">
        <f t="shared" si="328"/>
        <v>0</v>
      </c>
      <c r="AS162" s="98">
        <f t="shared" si="328"/>
        <v>0</v>
      </c>
      <c r="AT162" s="98">
        <f t="shared" si="328"/>
        <v>0</v>
      </c>
      <c r="AU162" s="98">
        <f t="shared" si="328"/>
        <v>0</v>
      </c>
      <c r="AV162" s="98">
        <f t="shared" si="328"/>
        <v>0</v>
      </c>
      <c r="AW162" s="98">
        <f t="shared" si="328"/>
        <v>0</v>
      </c>
      <c r="AX162" s="98">
        <f t="shared" si="328"/>
        <v>0</v>
      </c>
      <c r="AY162" s="98">
        <f t="shared" si="328"/>
        <v>0</v>
      </c>
      <c r="AZ162" s="98">
        <f t="shared" si="328"/>
        <v>0</v>
      </c>
      <c r="BA162" s="98">
        <f t="shared" si="328"/>
        <v>0</v>
      </c>
      <c r="BB162" s="98">
        <f t="shared" si="328"/>
        <v>0</v>
      </c>
      <c r="BC162" s="98">
        <f t="shared" si="328"/>
        <v>0</v>
      </c>
      <c r="BD162" s="99">
        <f t="shared" si="328"/>
        <v>0</v>
      </c>
      <c r="BE162" s="100"/>
      <c r="BG162" s="222">
        <f t="shared" ref="BG162" si="329">C162</f>
        <v>0</v>
      </c>
      <c r="BH162" s="222"/>
      <c r="BI162" s="222"/>
      <c r="BJ162" s="227"/>
      <c r="BK162" s="265"/>
      <c r="BL162" s="222"/>
      <c r="BM162" s="249">
        <f t="shared" si="325"/>
        <v>0</v>
      </c>
      <c r="BN162" s="265"/>
      <c r="BO162" s="222"/>
      <c r="BP162" s="222"/>
      <c r="BQ162" s="265"/>
      <c r="BR162" s="265"/>
      <c r="BS162" s="265"/>
      <c r="BT162" s="244"/>
      <c r="BU162" s="222"/>
      <c r="BV162" s="244">
        <f t="shared" si="326"/>
        <v>0</v>
      </c>
      <c r="BW162" s="222"/>
    </row>
    <row r="163" spans="1:75" outlineLevel="1">
      <c r="A163" s="221"/>
      <c r="B163" s="222"/>
      <c r="C163" s="222"/>
      <c r="D163" s="225"/>
      <c r="E163" s="222"/>
      <c r="F163" s="222"/>
      <c r="G163" s="222"/>
      <c r="H163" s="266"/>
      <c r="I163" s="101"/>
      <c r="J163" s="102"/>
      <c r="K163" s="102"/>
      <c r="L163" s="102"/>
      <c r="M163" s="102"/>
      <c r="N163" s="102"/>
      <c r="O163" s="102"/>
      <c r="P163" s="102"/>
      <c r="Q163" s="102"/>
      <c r="R163" s="102"/>
      <c r="S163" s="102"/>
      <c r="T163" s="102"/>
      <c r="U163" s="102"/>
      <c r="V163" s="102"/>
      <c r="W163" s="102"/>
      <c r="X163" s="103"/>
      <c r="Y163" s="264"/>
      <c r="Z163" s="222"/>
      <c r="AA163" s="266"/>
      <c r="AB163" s="104">
        <f>ROUNDDOWN(AB162*10%,-1)</f>
        <v>0</v>
      </c>
      <c r="AC163" s="105">
        <f ca="1">IFERROR(IF(AND( OR(COUNTIF(I162:X163, "&gt;0")&gt;=$AJ$1, AA162&gt;=$AJ$4),AN162&lt;60,AA162&lt;=$AH$5),ROUNDDOWN(ROUNDDOWN(AA162,-3)*$AH$4%,-1),IF(AND(COUNTIF(I162:X163,"&gt;0")&gt;=$AJ$1,AN162&lt;60,AA162&gt;$AH$5),$AJ$5,0)),0)</f>
        <v>0</v>
      </c>
      <c r="AD163" s="106">
        <f>IF(Z162&gt;=$AJ$1,ROUNDDOWN(AD162*$AH$3%/($AH$2*2%),-1),0)</f>
        <v>0</v>
      </c>
      <c r="AE163" s="266"/>
      <c r="AF163" s="266"/>
      <c r="AG163" s="222"/>
      <c r="AH163" s="222"/>
      <c r="AI163" s="222"/>
      <c r="AJ163" s="222"/>
      <c r="AK163" s="250"/>
      <c r="AL163" s="250"/>
      <c r="AM163" s="251"/>
      <c r="AN163" s="252"/>
      <c r="AO163" s="266"/>
      <c r="AP163" s="107">
        <f t="shared" ref="AP163:BE163" si="330">IF($H162*I163&gt;150000,ROUNDDOWN(($H162*I163-150000)*6%*45%,0),0)</f>
        <v>0</v>
      </c>
      <c r="AQ163" s="108">
        <f t="shared" si="330"/>
        <v>0</v>
      </c>
      <c r="AR163" s="108">
        <f t="shared" si="330"/>
        <v>0</v>
      </c>
      <c r="AS163" s="108">
        <f t="shared" si="330"/>
        <v>0</v>
      </c>
      <c r="AT163" s="108">
        <f t="shared" si="330"/>
        <v>0</v>
      </c>
      <c r="AU163" s="108">
        <f t="shared" si="330"/>
        <v>0</v>
      </c>
      <c r="AV163" s="108">
        <f t="shared" si="330"/>
        <v>0</v>
      </c>
      <c r="AW163" s="108">
        <f t="shared" si="330"/>
        <v>0</v>
      </c>
      <c r="AX163" s="108">
        <f t="shared" si="330"/>
        <v>0</v>
      </c>
      <c r="AY163" s="108">
        <f t="shared" si="330"/>
        <v>0</v>
      </c>
      <c r="AZ163" s="108">
        <f t="shared" si="330"/>
        <v>0</v>
      </c>
      <c r="BA163" s="108">
        <f t="shared" si="330"/>
        <v>0</v>
      </c>
      <c r="BB163" s="108">
        <f t="shared" si="330"/>
        <v>0</v>
      </c>
      <c r="BC163" s="108">
        <f t="shared" si="330"/>
        <v>0</v>
      </c>
      <c r="BD163" s="108">
        <f t="shared" si="330"/>
        <v>0</v>
      </c>
      <c r="BE163" s="109">
        <f t="shared" si="330"/>
        <v>0</v>
      </c>
      <c r="BG163" s="222"/>
      <c r="BH163" s="222"/>
      <c r="BI163" s="222"/>
      <c r="BJ163" s="228"/>
      <c r="BK163" s="265"/>
      <c r="BL163" s="222"/>
      <c r="BM163" s="249"/>
      <c r="BN163" s="265"/>
      <c r="BO163" s="222"/>
      <c r="BP163" s="222"/>
      <c r="BQ163" s="265"/>
      <c r="BR163" s="265"/>
      <c r="BS163" s="265"/>
      <c r="BT163" s="244"/>
      <c r="BU163" s="222"/>
      <c r="BV163" s="244"/>
      <c r="BW163" s="222"/>
    </row>
    <row r="164" spans="1:75" outlineLevel="1">
      <c r="A164" s="221">
        <v>81</v>
      </c>
      <c r="B164" s="222" t="str">
        <f>IF(LEN(D164)&gt;1,IF(VALUE(MID(RIGHT(D164,7),1,1))&gt;4,"외국인",IF(VALUE(RIGHT(11-MOD((MID(D164,1,1)*2+MID(D164,2,1)*3+MID(D164,3,1)*4+MID(D164,4,1)*5+MID(D164,5,1)*6+MID(D164,6,1)*7+MID(RIGHT(D164,7),1,1)*8+MID(RIGHT(D164,7),2,1)*9+MID(RIGHT(D164,7),3,1)*2+MID(RIGHT(D164,7),4,1)*3+MID(RIGHT(D164,7),5,1)*4+MID(RIGHT(D164,7),6,1)*5),11),1))=VALUE(RIGHT(D164,1)),"","오류")),"")</f>
        <v/>
      </c>
      <c r="C164" s="222"/>
      <c r="D164" s="225"/>
      <c r="E164" s="222"/>
      <c r="F164" s="222"/>
      <c r="G164" s="222"/>
      <c r="H164" s="266"/>
      <c r="I164" s="89"/>
      <c r="J164" s="90"/>
      <c r="K164" s="90"/>
      <c r="L164" s="90"/>
      <c r="M164" s="90"/>
      <c r="N164" s="90"/>
      <c r="O164" s="90"/>
      <c r="P164" s="90"/>
      <c r="Q164" s="90"/>
      <c r="R164" s="90"/>
      <c r="S164" s="91"/>
      <c r="T164" s="91"/>
      <c r="U164" s="90"/>
      <c r="V164" s="90"/>
      <c r="W164" s="92"/>
      <c r="X164" s="93"/>
      <c r="Y164" s="264">
        <f>SUM(I164:X165)</f>
        <v>0</v>
      </c>
      <c r="Z164" s="222">
        <f>COUNTIF(I164:X165,"&gt;0")</f>
        <v>0</v>
      </c>
      <c r="AA164" s="266">
        <f>H164*Y164</f>
        <v>0</v>
      </c>
      <c r="AB164" s="94">
        <f>IF(AO164&lt;1000, 0, AO164)</f>
        <v>0</v>
      </c>
      <c r="AC164" s="95">
        <f ca="1">IF(IFERROR($AN164&lt;65,FALSE), IF(B164&lt;&gt;"외국인", ROUNDDOWN(AA164*$AH$1%,-1), IF(AND(AM164&lt;&gt;"", ISNUMBER(SEARCH(LEFT(SUBSTITUTE(AM164, "-",""),2), "F2_F5_F6"))), ROUNDDOWN(AA164*$AH$1%,-1), 0)),0)</f>
        <v>0</v>
      </c>
      <c r="AD164" s="96">
        <f>IF(Z164&gt;=$AJ$1,ROUNDDOWN(AA164*$AH$2%,-1),0)</f>
        <v>0</v>
      </c>
      <c r="AE164" s="266">
        <f ca="1">AB164+AC164+AB165+AC165+AD164+AD165</f>
        <v>0</v>
      </c>
      <c r="AF164" s="266">
        <f ca="1">AA164-AE164</f>
        <v>0</v>
      </c>
      <c r="AG164" s="222"/>
      <c r="AH164" s="222"/>
      <c r="AI164" s="222"/>
      <c r="AJ164" s="222"/>
      <c r="AK164" s="250"/>
      <c r="AL164" s="250"/>
      <c r="AM164" s="251"/>
      <c r="AN164" s="252" t="str">
        <f ca="1">IFERROR(DATEDIF(DATE(IF(ISNUMBER(FIND(MID( SUBSTITUTE(D164, "-",""), 7, 1), "3478")), 2000, 1900)+MID(D164,1,2), MID(D164,3,2), MID(D164,5,2)), TODAY(), "Y"),"")</f>
        <v/>
      </c>
      <c r="AO164" s="266">
        <f>ROUNDDOWN(SUM(AP164:BE165),-1)</f>
        <v>0</v>
      </c>
      <c r="AP164" s="97">
        <f t="shared" ref="AP164:BD164" si="331">IF($H164*I164&gt;150000,ROUNDDOWN(($H164*I164-150000)*6%*45%,0),0)</f>
        <v>0</v>
      </c>
      <c r="AQ164" s="98">
        <f t="shared" si="331"/>
        <v>0</v>
      </c>
      <c r="AR164" s="98">
        <f t="shared" si="331"/>
        <v>0</v>
      </c>
      <c r="AS164" s="98">
        <f t="shared" si="331"/>
        <v>0</v>
      </c>
      <c r="AT164" s="98">
        <f t="shared" si="331"/>
        <v>0</v>
      </c>
      <c r="AU164" s="98">
        <f t="shared" si="331"/>
        <v>0</v>
      </c>
      <c r="AV164" s="98">
        <f t="shared" si="331"/>
        <v>0</v>
      </c>
      <c r="AW164" s="98">
        <f t="shared" si="331"/>
        <v>0</v>
      </c>
      <c r="AX164" s="98">
        <f t="shared" si="331"/>
        <v>0</v>
      </c>
      <c r="AY164" s="98">
        <f t="shared" si="331"/>
        <v>0</v>
      </c>
      <c r="AZ164" s="98">
        <f t="shared" si="331"/>
        <v>0</v>
      </c>
      <c r="BA164" s="98">
        <f t="shared" si="331"/>
        <v>0</v>
      </c>
      <c r="BB164" s="98">
        <f t="shared" si="331"/>
        <v>0</v>
      </c>
      <c r="BC164" s="98">
        <f t="shared" si="331"/>
        <v>0</v>
      </c>
      <c r="BD164" s="99">
        <f t="shared" si="331"/>
        <v>0</v>
      </c>
      <c r="BE164" s="100"/>
      <c r="BG164" s="222">
        <f t="shared" ref="BG164" si="332">C164</f>
        <v>0</v>
      </c>
      <c r="BH164" s="222"/>
      <c r="BI164" s="222"/>
      <c r="BJ164" s="247"/>
      <c r="BK164" s="265"/>
      <c r="BL164" s="222"/>
      <c r="BM164" s="249">
        <f t="shared" si="325"/>
        <v>0</v>
      </c>
      <c r="BN164" s="265"/>
      <c r="BO164" s="222"/>
      <c r="BP164" s="222"/>
      <c r="BQ164" s="265"/>
      <c r="BR164" s="265"/>
      <c r="BS164" s="265"/>
      <c r="BT164" s="244"/>
      <c r="BU164" s="222"/>
      <c r="BV164" s="244">
        <f t="shared" si="326"/>
        <v>0</v>
      </c>
      <c r="BW164" s="222"/>
    </row>
    <row r="165" spans="1:75" outlineLevel="1">
      <c r="A165" s="221"/>
      <c r="B165" s="222"/>
      <c r="C165" s="222"/>
      <c r="D165" s="225"/>
      <c r="E165" s="222"/>
      <c r="F165" s="222"/>
      <c r="G165" s="222"/>
      <c r="H165" s="266"/>
      <c r="I165" s="101"/>
      <c r="J165" s="102"/>
      <c r="K165" s="102"/>
      <c r="L165" s="102"/>
      <c r="M165" s="102"/>
      <c r="N165" s="102"/>
      <c r="O165" s="102"/>
      <c r="P165" s="102"/>
      <c r="Q165" s="102"/>
      <c r="R165" s="102"/>
      <c r="S165" s="102"/>
      <c r="T165" s="102"/>
      <c r="U165" s="102"/>
      <c r="V165" s="102"/>
      <c r="W165" s="102"/>
      <c r="X165" s="103"/>
      <c r="Y165" s="264"/>
      <c r="Z165" s="222"/>
      <c r="AA165" s="266"/>
      <c r="AB165" s="104">
        <f>ROUNDDOWN(AB164*10%,-1)</f>
        <v>0</v>
      </c>
      <c r="AC165" s="105">
        <f ca="1">IFERROR(IF(AND( OR(COUNTIF(I164:X165, "&gt;0")&gt;=$AJ$1, AA164&gt;=$AJ$4),AN164&lt;60,AA164&lt;=$AH$5),ROUNDDOWN(ROUNDDOWN(AA164,-3)*$AH$4%,-1),IF(AND(COUNTIF(I164:X165,"&gt;0")&gt;=$AJ$1,AN164&lt;60,AA164&gt;$AH$5),$AJ$5,0)),0)</f>
        <v>0</v>
      </c>
      <c r="AD165" s="106">
        <f>IF(Z164&gt;=$AJ$1,ROUNDDOWN(AD164*$AH$3%/($AH$2*2%),-1),0)</f>
        <v>0</v>
      </c>
      <c r="AE165" s="266"/>
      <c r="AF165" s="266"/>
      <c r="AG165" s="222"/>
      <c r="AH165" s="222"/>
      <c r="AI165" s="222"/>
      <c r="AJ165" s="222"/>
      <c r="AK165" s="250"/>
      <c r="AL165" s="250"/>
      <c r="AM165" s="251"/>
      <c r="AN165" s="252"/>
      <c r="AO165" s="266"/>
      <c r="AP165" s="107">
        <f t="shared" ref="AP165:BE165" si="333">IF($H164*I165&gt;150000,ROUNDDOWN(($H164*I165-150000)*6%*45%,0),0)</f>
        <v>0</v>
      </c>
      <c r="AQ165" s="108">
        <f t="shared" si="333"/>
        <v>0</v>
      </c>
      <c r="AR165" s="108">
        <f t="shared" si="333"/>
        <v>0</v>
      </c>
      <c r="AS165" s="108">
        <f t="shared" si="333"/>
        <v>0</v>
      </c>
      <c r="AT165" s="108">
        <f t="shared" si="333"/>
        <v>0</v>
      </c>
      <c r="AU165" s="108">
        <f t="shared" si="333"/>
        <v>0</v>
      </c>
      <c r="AV165" s="108">
        <f t="shared" si="333"/>
        <v>0</v>
      </c>
      <c r="AW165" s="108">
        <f t="shared" si="333"/>
        <v>0</v>
      </c>
      <c r="AX165" s="108">
        <f t="shared" si="333"/>
        <v>0</v>
      </c>
      <c r="AY165" s="108">
        <f t="shared" si="333"/>
        <v>0</v>
      </c>
      <c r="AZ165" s="108">
        <f t="shared" si="333"/>
        <v>0</v>
      </c>
      <c r="BA165" s="108">
        <f t="shared" si="333"/>
        <v>0</v>
      </c>
      <c r="BB165" s="108">
        <f t="shared" si="333"/>
        <v>0</v>
      </c>
      <c r="BC165" s="108">
        <f t="shared" si="333"/>
        <v>0</v>
      </c>
      <c r="BD165" s="108">
        <f t="shared" si="333"/>
        <v>0</v>
      </c>
      <c r="BE165" s="109">
        <f t="shared" si="333"/>
        <v>0</v>
      </c>
      <c r="BG165" s="222"/>
      <c r="BH165" s="222"/>
      <c r="BI165" s="222"/>
      <c r="BJ165" s="248"/>
      <c r="BK165" s="265"/>
      <c r="BL165" s="222"/>
      <c r="BM165" s="249"/>
      <c r="BN165" s="265"/>
      <c r="BO165" s="222"/>
      <c r="BP165" s="222"/>
      <c r="BQ165" s="265"/>
      <c r="BR165" s="265"/>
      <c r="BS165" s="265"/>
      <c r="BT165" s="244"/>
      <c r="BU165" s="222"/>
      <c r="BV165" s="244"/>
      <c r="BW165" s="222"/>
    </row>
    <row r="166" spans="1:75" outlineLevel="1">
      <c r="A166" s="221">
        <v>82</v>
      </c>
      <c r="B166" s="222" t="str">
        <f>IF(LEN(D166)&gt;1,IF(VALUE(MID(RIGHT(D166,7),1,1))&gt;4,"외국인",IF(VALUE(RIGHT(11-MOD((MID(D166,1,1)*2+MID(D166,2,1)*3+MID(D166,3,1)*4+MID(D166,4,1)*5+MID(D166,5,1)*6+MID(D166,6,1)*7+MID(RIGHT(D166,7),1,1)*8+MID(RIGHT(D166,7),2,1)*9+MID(RIGHT(D166,7),3,1)*2+MID(RIGHT(D166,7),4,1)*3+MID(RIGHT(D166,7),5,1)*4+MID(RIGHT(D166,7),6,1)*5),11),1))=VALUE(RIGHT(D166,1)),"","오류")),"")</f>
        <v/>
      </c>
      <c r="C166" s="222"/>
      <c r="D166" s="225"/>
      <c r="E166" s="222"/>
      <c r="F166" s="222"/>
      <c r="G166" s="222"/>
      <c r="H166" s="266"/>
      <c r="I166" s="89"/>
      <c r="J166" s="90"/>
      <c r="K166" s="90"/>
      <c r="L166" s="90"/>
      <c r="M166" s="90"/>
      <c r="N166" s="90"/>
      <c r="O166" s="90"/>
      <c r="P166" s="90"/>
      <c r="Q166" s="90"/>
      <c r="R166" s="90"/>
      <c r="S166" s="91"/>
      <c r="T166" s="91"/>
      <c r="U166" s="90"/>
      <c r="V166" s="90"/>
      <c r="W166" s="92"/>
      <c r="X166" s="93"/>
      <c r="Y166" s="264">
        <f>SUM(I166:X167)</f>
        <v>0</v>
      </c>
      <c r="Z166" s="222">
        <f>COUNTIF(I166:X167,"&gt;0")</f>
        <v>0</v>
      </c>
      <c r="AA166" s="266">
        <f>H166*Y166</f>
        <v>0</v>
      </c>
      <c r="AB166" s="94">
        <f>IF(AO166&lt;1000, 0, AO166)</f>
        <v>0</v>
      </c>
      <c r="AC166" s="95">
        <f ca="1">IF(IFERROR($AN166&lt;65,FALSE), IF(B166&lt;&gt;"외국인", ROUNDDOWN(AA166*$AH$1%,-1), IF(AND(AM166&lt;&gt;"", ISNUMBER(SEARCH(LEFT(SUBSTITUTE(AM166, "-",""),2), "F2_F5_F6"))), ROUNDDOWN(AA166*$AH$1%,-1), 0)),0)</f>
        <v>0</v>
      </c>
      <c r="AD166" s="96">
        <f>IF(Z166&gt;=$AJ$1,ROUNDDOWN(AA166*$AH$2%,-1),0)</f>
        <v>0</v>
      </c>
      <c r="AE166" s="266">
        <f ca="1">AB166+AC166+AB167+AC167+AD166+AD167</f>
        <v>0</v>
      </c>
      <c r="AF166" s="266">
        <f ca="1">AA166-AE166</f>
        <v>0</v>
      </c>
      <c r="AG166" s="222"/>
      <c r="AH166" s="222"/>
      <c r="AI166" s="222"/>
      <c r="AJ166" s="222"/>
      <c r="AK166" s="250"/>
      <c r="AL166" s="250"/>
      <c r="AM166" s="251"/>
      <c r="AN166" s="252" t="str">
        <f ca="1">IFERROR(DATEDIF(DATE(IF(ISNUMBER(FIND(MID( SUBSTITUTE(D166, "-",""), 7, 1), "3478")), 2000, 1900)+MID(D166,1,2), MID(D166,3,2), MID(D166,5,2)), TODAY(), "Y"),"")</f>
        <v/>
      </c>
      <c r="AO166" s="266">
        <f>ROUNDDOWN(SUM(AP166:BE167),-1)</f>
        <v>0</v>
      </c>
      <c r="AP166" s="97">
        <f t="shared" ref="AP166:BD166" si="334">IF($H166*I166&gt;150000,ROUNDDOWN(($H166*I166-150000)*6%*45%,0),0)</f>
        <v>0</v>
      </c>
      <c r="AQ166" s="98">
        <f t="shared" si="334"/>
        <v>0</v>
      </c>
      <c r="AR166" s="98">
        <f t="shared" si="334"/>
        <v>0</v>
      </c>
      <c r="AS166" s="98">
        <f t="shared" si="334"/>
        <v>0</v>
      </c>
      <c r="AT166" s="98">
        <f t="shared" si="334"/>
        <v>0</v>
      </c>
      <c r="AU166" s="98">
        <f t="shared" si="334"/>
        <v>0</v>
      </c>
      <c r="AV166" s="98">
        <f t="shared" si="334"/>
        <v>0</v>
      </c>
      <c r="AW166" s="98">
        <f t="shared" si="334"/>
        <v>0</v>
      </c>
      <c r="AX166" s="98">
        <f t="shared" si="334"/>
        <v>0</v>
      </c>
      <c r="AY166" s="98">
        <f t="shared" si="334"/>
        <v>0</v>
      </c>
      <c r="AZ166" s="98">
        <f t="shared" si="334"/>
        <v>0</v>
      </c>
      <c r="BA166" s="98">
        <f t="shared" si="334"/>
        <v>0</v>
      </c>
      <c r="BB166" s="98">
        <f t="shared" si="334"/>
        <v>0</v>
      </c>
      <c r="BC166" s="98">
        <f t="shared" si="334"/>
        <v>0</v>
      </c>
      <c r="BD166" s="99">
        <f t="shared" si="334"/>
        <v>0</v>
      </c>
      <c r="BE166" s="100"/>
      <c r="BG166" s="222">
        <f t="shared" ref="BG166" si="335">C166</f>
        <v>0</v>
      </c>
      <c r="BH166" s="222"/>
      <c r="BI166" s="222"/>
      <c r="BJ166" s="248"/>
      <c r="BK166" s="265"/>
      <c r="BL166" s="222"/>
      <c r="BM166" s="249">
        <f t="shared" si="325"/>
        <v>0</v>
      </c>
      <c r="BN166" s="265"/>
      <c r="BO166" s="222"/>
      <c r="BP166" s="222"/>
      <c r="BQ166" s="265"/>
      <c r="BR166" s="265"/>
      <c r="BS166" s="265"/>
      <c r="BT166" s="244"/>
      <c r="BU166" s="222"/>
      <c r="BV166" s="244">
        <f t="shared" si="326"/>
        <v>0</v>
      </c>
      <c r="BW166" s="222"/>
    </row>
    <row r="167" spans="1:75" outlineLevel="1">
      <c r="A167" s="221"/>
      <c r="B167" s="222"/>
      <c r="C167" s="222"/>
      <c r="D167" s="225"/>
      <c r="E167" s="222"/>
      <c r="F167" s="222"/>
      <c r="G167" s="222"/>
      <c r="H167" s="266"/>
      <c r="I167" s="101"/>
      <c r="J167" s="102"/>
      <c r="K167" s="102"/>
      <c r="L167" s="102"/>
      <c r="M167" s="102"/>
      <c r="N167" s="102"/>
      <c r="O167" s="102"/>
      <c r="P167" s="102"/>
      <c r="Q167" s="102"/>
      <c r="R167" s="102"/>
      <c r="S167" s="102"/>
      <c r="T167" s="102"/>
      <c r="U167" s="102"/>
      <c r="V167" s="102"/>
      <c r="W167" s="102"/>
      <c r="X167" s="103"/>
      <c r="Y167" s="264"/>
      <c r="Z167" s="222"/>
      <c r="AA167" s="266"/>
      <c r="AB167" s="104">
        <f>ROUNDDOWN(AB166*10%,-1)</f>
        <v>0</v>
      </c>
      <c r="AC167" s="105">
        <f ca="1">IFERROR(IF(AND( OR(COUNTIF(I166:X167, "&gt;0")&gt;=$AJ$1, AA166&gt;=$AJ$4),AN166&lt;60,AA166&lt;=$AH$5),ROUNDDOWN(ROUNDDOWN(AA166,-3)*$AH$4%,-1),IF(AND(COUNTIF(I166:X167,"&gt;0")&gt;=$AJ$1,AN166&lt;60,AA166&gt;$AH$5),$AJ$5,0)),0)</f>
        <v>0</v>
      </c>
      <c r="AD167" s="106">
        <f>IF(Z166&gt;=$AJ$1,ROUNDDOWN(AD166*$AH$3%/($AH$2*2%),-1),0)</f>
        <v>0</v>
      </c>
      <c r="AE167" s="266"/>
      <c r="AF167" s="266"/>
      <c r="AG167" s="222"/>
      <c r="AH167" s="222"/>
      <c r="AI167" s="222"/>
      <c r="AJ167" s="222"/>
      <c r="AK167" s="250"/>
      <c r="AL167" s="250"/>
      <c r="AM167" s="251"/>
      <c r="AN167" s="252"/>
      <c r="AO167" s="266"/>
      <c r="AP167" s="107">
        <f t="shared" ref="AP167:BE167" si="336">IF($H166*I167&gt;150000,ROUNDDOWN(($H166*I167-150000)*6%*45%,0),0)</f>
        <v>0</v>
      </c>
      <c r="AQ167" s="108">
        <f t="shared" si="336"/>
        <v>0</v>
      </c>
      <c r="AR167" s="108">
        <f t="shared" si="336"/>
        <v>0</v>
      </c>
      <c r="AS167" s="108">
        <f t="shared" si="336"/>
        <v>0</v>
      </c>
      <c r="AT167" s="108">
        <f t="shared" si="336"/>
        <v>0</v>
      </c>
      <c r="AU167" s="108">
        <f t="shared" si="336"/>
        <v>0</v>
      </c>
      <c r="AV167" s="108">
        <f t="shared" si="336"/>
        <v>0</v>
      </c>
      <c r="AW167" s="108">
        <f t="shared" si="336"/>
        <v>0</v>
      </c>
      <c r="AX167" s="108">
        <f t="shared" si="336"/>
        <v>0</v>
      </c>
      <c r="AY167" s="108">
        <f t="shared" si="336"/>
        <v>0</v>
      </c>
      <c r="AZ167" s="108">
        <f t="shared" si="336"/>
        <v>0</v>
      </c>
      <c r="BA167" s="108">
        <f t="shared" si="336"/>
        <v>0</v>
      </c>
      <c r="BB167" s="108">
        <f t="shared" si="336"/>
        <v>0</v>
      </c>
      <c r="BC167" s="108">
        <f t="shared" si="336"/>
        <v>0</v>
      </c>
      <c r="BD167" s="108">
        <f t="shared" si="336"/>
        <v>0</v>
      </c>
      <c r="BE167" s="109">
        <f t="shared" si="336"/>
        <v>0</v>
      </c>
      <c r="BG167" s="222"/>
      <c r="BH167" s="222"/>
      <c r="BI167" s="222"/>
      <c r="BJ167" s="248"/>
      <c r="BK167" s="265"/>
      <c r="BL167" s="222"/>
      <c r="BM167" s="249"/>
      <c r="BN167" s="265"/>
      <c r="BO167" s="222"/>
      <c r="BP167" s="222"/>
      <c r="BQ167" s="265"/>
      <c r="BR167" s="265"/>
      <c r="BS167" s="265"/>
      <c r="BT167" s="244"/>
      <c r="BU167" s="222"/>
      <c r="BV167" s="244"/>
      <c r="BW167" s="222"/>
    </row>
    <row r="168" spans="1:75" outlineLevel="1">
      <c r="A168" s="221">
        <v>83</v>
      </c>
      <c r="B168" s="222" t="str">
        <f>IF(LEN(D168)&gt;1,IF(VALUE(MID(RIGHT(D168,7),1,1))&gt;4,"외국인",IF(VALUE(RIGHT(11-MOD((MID(D168,1,1)*2+MID(D168,2,1)*3+MID(D168,3,1)*4+MID(D168,4,1)*5+MID(D168,5,1)*6+MID(D168,6,1)*7+MID(RIGHT(D168,7),1,1)*8+MID(RIGHT(D168,7),2,1)*9+MID(RIGHT(D168,7),3,1)*2+MID(RIGHT(D168,7),4,1)*3+MID(RIGHT(D168,7),5,1)*4+MID(RIGHT(D168,7),6,1)*5),11),1))=VALUE(RIGHT(D168,1)),"","오류")),"")</f>
        <v/>
      </c>
      <c r="C168" s="222"/>
      <c r="D168" s="225"/>
      <c r="E168" s="222"/>
      <c r="F168" s="222"/>
      <c r="G168" s="222"/>
      <c r="H168" s="266"/>
      <c r="I168" s="89"/>
      <c r="J168" s="90"/>
      <c r="K168" s="90"/>
      <c r="L168" s="90"/>
      <c r="M168" s="90"/>
      <c r="N168" s="90"/>
      <c r="O168" s="90"/>
      <c r="P168" s="90"/>
      <c r="Q168" s="90"/>
      <c r="R168" s="90"/>
      <c r="S168" s="91"/>
      <c r="T168" s="91"/>
      <c r="U168" s="90"/>
      <c r="V168" s="90"/>
      <c r="W168" s="92"/>
      <c r="X168" s="93"/>
      <c r="Y168" s="264">
        <f>SUM(I168:X169)</f>
        <v>0</v>
      </c>
      <c r="Z168" s="222">
        <f>COUNTIF(I168:X169,"&gt;0")</f>
        <v>0</v>
      </c>
      <c r="AA168" s="266">
        <f>H168*Y168</f>
        <v>0</v>
      </c>
      <c r="AB168" s="94">
        <f>IF(AO168&lt;1000, 0, AO168)</f>
        <v>0</v>
      </c>
      <c r="AC168" s="95">
        <f ca="1">IF(IFERROR($AN168&lt;65,FALSE), IF(B168&lt;&gt;"외국인", ROUNDDOWN(AA168*$AH$1%,-1), IF(AND(AM168&lt;&gt;"", ISNUMBER(SEARCH(LEFT(SUBSTITUTE(AM168, "-",""),2), "F2_F5_F6"))), ROUNDDOWN(AA168*$AH$1%,-1), 0)),0)</f>
        <v>0</v>
      </c>
      <c r="AD168" s="96">
        <f>IF(Z168&gt;=$AJ$1,ROUNDDOWN(AA168*$AH$2%,-1),0)</f>
        <v>0</v>
      </c>
      <c r="AE168" s="266">
        <f ca="1">AB168+AC168+AB169+AC169+AD168+AD169</f>
        <v>0</v>
      </c>
      <c r="AF168" s="266">
        <f ca="1">AA168-AE168</f>
        <v>0</v>
      </c>
      <c r="AG168" s="222"/>
      <c r="AH168" s="222"/>
      <c r="AI168" s="222"/>
      <c r="AJ168" s="222"/>
      <c r="AK168" s="250"/>
      <c r="AL168" s="250"/>
      <c r="AM168" s="251"/>
      <c r="AN168" s="252" t="str">
        <f ca="1">IFERROR(DATEDIF(DATE(IF(ISNUMBER(FIND(MID( SUBSTITUTE(D168, "-",""), 7, 1), "3478")), 2000, 1900)+MID(D168,1,2), MID(D168,3,2), MID(D168,5,2)), TODAY(), "Y"),"")</f>
        <v/>
      </c>
      <c r="AO168" s="266">
        <f>ROUNDDOWN(SUM(AP168:BE169),-1)</f>
        <v>0</v>
      </c>
      <c r="AP168" s="97">
        <f t="shared" ref="AP168:BD168" si="337">IF($H168*I168&gt;150000,ROUNDDOWN(($H168*I168-150000)*6%*45%,0),0)</f>
        <v>0</v>
      </c>
      <c r="AQ168" s="98">
        <f t="shared" si="337"/>
        <v>0</v>
      </c>
      <c r="AR168" s="98">
        <f t="shared" si="337"/>
        <v>0</v>
      </c>
      <c r="AS168" s="98">
        <f t="shared" si="337"/>
        <v>0</v>
      </c>
      <c r="AT168" s="98">
        <f t="shared" si="337"/>
        <v>0</v>
      </c>
      <c r="AU168" s="98">
        <f t="shared" si="337"/>
        <v>0</v>
      </c>
      <c r="AV168" s="98">
        <f t="shared" si="337"/>
        <v>0</v>
      </c>
      <c r="AW168" s="98">
        <f t="shared" si="337"/>
        <v>0</v>
      </c>
      <c r="AX168" s="98">
        <f t="shared" si="337"/>
        <v>0</v>
      </c>
      <c r="AY168" s="98">
        <f t="shared" si="337"/>
        <v>0</v>
      </c>
      <c r="AZ168" s="98">
        <f t="shared" si="337"/>
        <v>0</v>
      </c>
      <c r="BA168" s="98">
        <f t="shared" si="337"/>
        <v>0</v>
      </c>
      <c r="BB168" s="98">
        <f t="shared" si="337"/>
        <v>0</v>
      </c>
      <c r="BC168" s="98">
        <f t="shared" si="337"/>
        <v>0</v>
      </c>
      <c r="BD168" s="99">
        <f t="shared" si="337"/>
        <v>0</v>
      </c>
      <c r="BE168" s="100"/>
      <c r="BG168" s="222">
        <f t="shared" ref="BG168" si="338">C168</f>
        <v>0</v>
      </c>
      <c r="BH168" s="222"/>
      <c r="BI168" s="222"/>
      <c r="BJ168" s="271"/>
      <c r="BK168" s="265"/>
      <c r="BL168" s="222"/>
      <c r="BM168" s="249">
        <f t="shared" si="325"/>
        <v>0</v>
      </c>
      <c r="BN168" s="265"/>
      <c r="BO168" s="222"/>
      <c r="BP168" s="222"/>
      <c r="BQ168" s="265"/>
      <c r="BR168" s="265"/>
      <c r="BS168" s="265"/>
      <c r="BT168" s="244"/>
      <c r="BU168" s="222"/>
      <c r="BV168" s="244">
        <f t="shared" si="326"/>
        <v>0</v>
      </c>
      <c r="BW168" s="222"/>
    </row>
    <row r="169" spans="1:75" outlineLevel="1">
      <c r="A169" s="221"/>
      <c r="B169" s="222"/>
      <c r="C169" s="222"/>
      <c r="D169" s="225"/>
      <c r="E169" s="222"/>
      <c r="F169" s="222"/>
      <c r="G169" s="222"/>
      <c r="H169" s="266"/>
      <c r="I169" s="101"/>
      <c r="J169" s="102"/>
      <c r="K169" s="102"/>
      <c r="L169" s="102"/>
      <c r="M169" s="102"/>
      <c r="N169" s="102"/>
      <c r="O169" s="102"/>
      <c r="P169" s="102"/>
      <c r="Q169" s="102"/>
      <c r="R169" s="102"/>
      <c r="S169" s="102"/>
      <c r="T169" s="102"/>
      <c r="U169" s="102"/>
      <c r="V169" s="102"/>
      <c r="W169" s="102"/>
      <c r="X169" s="103"/>
      <c r="Y169" s="264"/>
      <c r="Z169" s="222"/>
      <c r="AA169" s="266"/>
      <c r="AB169" s="104">
        <f>ROUNDDOWN(AB168*10%,-1)</f>
        <v>0</v>
      </c>
      <c r="AC169" s="105">
        <f ca="1">IFERROR(IF(AND( OR(COUNTIF(I168:X169, "&gt;0")&gt;=$AJ$1, AA168&gt;=$AJ$4),AN168&lt;60,AA168&lt;=$AH$5),ROUNDDOWN(ROUNDDOWN(AA168,-3)*$AH$4%,-1),IF(AND(COUNTIF(I168:X169,"&gt;0")&gt;=$AJ$1,AN168&lt;60,AA168&gt;$AH$5),$AJ$5,0)),0)</f>
        <v>0</v>
      </c>
      <c r="AD169" s="106">
        <f>IF(Z168&gt;=$AJ$1,ROUNDDOWN(AD168*$AH$3%/($AH$2*2%),-1),0)</f>
        <v>0</v>
      </c>
      <c r="AE169" s="266"/>
      <c r="AF169" s="266"/>
      <c r="AG169" s="222"/>
      <c r="AH169" s="222"/>
      <c r="AI169" s="222"/>
      <c r="AJ169" s="222"/>
      <c r="AK169" s="250"/>
      <c r="AL169" s="250"/>
      <c r="AM169" s="251"/>
      <c r="AN169" s="252"/>
      <c r="AO169" s="266"/>
      <c r="AP169" s="107">
        <f t="shared" ref="AP169:BE169" si="339">IF($H168*I169&gt;150000,ROUNDDOWN(($H168*I169-150000)*6%*45%,0),0)</f>
        <v>0</v>
      </c>
      <c r="AQ169" s="108">
        <f t="shared" si="339"/>
        <v>0</v>
      </c>
      <c r="AR169" s="108">
        <f t="shared" si="339"/>
        <v>0</v>
      </c>
      <c r="AS169" s="108">
        <f t="shared" si="339"/>
        <v>0</v>
      </c>
      <c r="AT169" s="108">
        <f t="shared" si="339"/>
        <v>0</v>
      </c>
      <c r="AU169" s="108">
        <f t="shared" si="339"/>
        <v>0</v>
      </c>
      <c r="AV169" s="108">
        <f t="shared" si="339"/>
        <v>0</v>
      </c>
      <c r="AW169" s="108">
        <f t="shared" si="339"/>
        <v>0</v>
      </c>
      <c r="AX169" s="108">
        <f t="shared" si="339"/>
        <v>0</v>
      </c>
      <c r="AY169" s="108">
        <f t="shared" si="339"/>
        <v>0</v>
      </c>
      <c r="AZ169" s="108">
        <f t="shared" si="339"/>
        <v>0</v>
      </c>
      <c r="BA169" s="108">
        <f t="shared" si="339"/>
        <v>0</v>
      </c>
      <c r="BB169" s="108">
        <f t="shared" si="339"/>
        <v>0</v>
      </c>
      <c r="BC169" s="108">
        <f t="shared" si="339"/>
        <v>0</v>
      </c>
      <c r="BD169" s="108">
        <f t="shared" si="339"/>
        <v>0</v>
      </c>
      <c r="BE169" s="109">
        <f t="shared" si="339"/>
        <v>0</v>
      </c>
      <c r="BG169" s="222"/>
      <c r="BH169" s="222"/>
      <c r="BI169" s="222"/>
      <c r="BJ169" s="271"/>
      <c r="BK169" s="265"/>
      <c r="BL169" s="222"/>
      <c r="BM169" s="249"/>
      <c r="BN169" s="265"/>
      <c r="BO169" s="222"/>
      <c r="BP169" s="222"/>
      <c r="BQ169" s="265"/>
      <c r="BR169" s="265"/>
      <c r="BS169" s="265"/>
      <c r="BT169" s="244"/>
      <c r="BU169" s="222"/>
      <c r="BV169" s="244"/>
      <c r="BW169" s="222"/>
    </row>
    <row r="170" spans="1:75" outlineLevel="1">
      <c r="A170" s="221">
        <v>84</v>
      </c>
      <c r="B170" s="222" t="str">
        <f>IF(LEN(D170)&gt;1,IF(VALUE(MID(RIGHT(D170,7),1,1))&gt;4,"외국인",IF(VALUE(RIGHT(11-MOD((MID(D170,1,1)*2+MID(D170,2,1)*3+MID(D170,3,1)*4+MID(D170,4,1)*5+MID(D170,5,1)*6+MID(D170,6,1)*7+MID(RIGHT(D170,7),1,1)*8+MID(RIGHT(D170,7),2,1)*9+MID(RIGHT(D170,7),3,1)*2+MID(RIGHT(D170,7),4,1)*3+MID(RIGHT(D170,7),5,1)*4+MID(RIGHT(D170,7),6,1)*5),11),1))=VALUE(RIGHT(D170,1)),"","오류")),"")</f>
        <v/>
      </c>
      <c r="C170" s="222"/>
      <c r="D170" s="225"/>
      <c r="E170" s="222"/>
      <c r="F170" s="222"/>
      <c r="G170" s="222"/>
      <c r="H170" s="266"/>
      <c r="I170" s="89"/>
      <c r="J170" s="90"/>
      <c r="K170" s="90"/>
      <c r="L170" s="90"/>
      <c r="M170" s="90"/>
      <c r="N170" s="90"/>
      <c r="O170" s="90"/>
      <c r="P170" s="90"/>
      <c r="Q170" s="90"/>
      <c r="R170" s="90"/>
      <c r="S170" s="91"/>
      <c r="T170" s="91"/>
      <c r="U170" s="90"/>
      <c r="V170" s="90"/>
      <c r="W170" s="92"/>
      <c r="X170" s="93"/>
      <c r="Y170" s="264">
        <f>SUM(I170:X171)</f>
        <v>0</v>
      </c>
      <c r="Z170" s="222">
        <f>COUNTIF(I170:X171,"&gt;0")</f>
        <v>0</v>
      </c>
      <c r="AA170" s="266">
        <f>H170*Y170</f>
        <v>0</v>
      </c>
      <c r="AB170" s="94">
        <f>IF(AO170&lt;1000, 0, AO170)</f>
        <v>0</v>
      </c>
      <c r="AC170" s="95">
        <f ca="1">IF(IFERROR($AN170&lt;65,FALSE), IF(B170&lt;&gt;"외국인", ROUNDDOWN(AA170*$AH$1%,-1), IF(AND(AM170&lt;&gt;"", ISNUMBER(SEARCH(LEFT(SUBSTITUTE(AM170, "-",""),2), "F2_F5_F6"))), ROUNDDOWN(AA170*$AH$1%,-1), 0)),0)</f>
        <v>0</v>
      </c>
      <c r="AD170" s="96">
        <f>IF(Z170&gt;=$AJ$1,ROUNDDOWN(AA170*$AH$2%,-1),0)</f>
        <v>0</v>
      </c>
      <c r="AE170" s="266">
        <f ca="1">AB170+AC170+AB171+AC171+AD170+AD171</f>
        <v>0</v>
      </c>
      <c r="AF170" s="266">
        <f ca="1">AA170-AE170</f>
        <v>0</v>
      </c>
      <c r="AG170" s="222"/>
      <c r="AH170" s="222"/>
      <c r="AI170" s="222"/>
      <c r="AJ170" s="222"/>
      <c r="AK170" s="250"/>
      <c r="AL170" s="250"/>
      <c r="AM170" s="251"/>
      <c r="AN170" s="252" t="str">
        <f ca="1">IFERROR(DATEDIF(DATE(IF(ISNUMBER(FIND(MID( SUBSTITUTE(D170, "-",""), 7, 1), "3478")), 2000, 1900)+MID(D170,1,2), MID(D170,3,2), MID(D170,5,2)), TODAY(), "Y"),"")</f>
        <v/>
      </c>
      <c r="AO170" s="266">
        <f>ROUNDDOWN(SUM(AP170:BE171),-1)</f>
        <v>0</v>
      </c>
      <c r="AP170" s="97">
        <f t="shared" ref="AP170:BD170" si="340">IF($H170*I170&gt;150000,ROUNDDOWN(($H170*I170-150000)*6%*45%,0),0)</f>
        <v>0</v>
      </c>
      <c r="AQ170" s="98">
        <f t="shared" si="340"/>
        <v>0</v>
      </c>
      <c r="AR170" s="98">
        <f t="shared" si="340"/>
        <v>0</v>
      </c>
      <c r="AS170" s="98">
        <f t="shared" si="340"/>
        <v>0</v>
      </c>
      <c r="AT170" s="98">
        <f t="shared" si="340"/>
        <v>0</v>
      </c>
      <c r="AU170" s="98">
        <f t="shared" si="340"/>
        <v>0</v>
      </c>
      <c r="AV170" s="98">
        <f t="shared" si="340"/>
        <v>0</v>
      </c>
      <c r="AW170" s="98">
        <f t="shared" si="340"/>
        <v>0</v>
      </c>
      <c r="AX170" s="98">
        <f t="shared" si="340"/>
        <v>0</v>
      </c>
      <c r="AY170" s="98">
        <f t="shared" si="340"/>
        <v>0</v>
      </c>
      <c r="AZ170" s="98">
        <f t="shared" si="340"/>
        <v>0</v>
      </c>
      <c r="BA170" s="98">
        <f t="shared" si="340"/>
        <v>0</v>
      </c>
      <c r="BB170" s="98">
        <f t="shared" si="340"/>
        <v>0</v>
      </c>
      <c r="BC170" s="98">
        <f t="shared" si="340"/>
        <v>0</v>
      </c>
      <c r="BD170" s="99">
        <f t="shared" si="340"/>
        <v>0</v>
      </c>
      <c r="BE170" s="100"/>
      <c r="BG170" s="222">
        <f t="shared" ref="BG170" si="341">C170</f>
        <v>0</v>
      </c>
      <c r="BH170" s="222"/>
      <c r="BI170" s="222"/>
      <c r="BJ170" s="267"/>
      <c r="BK170" s="265"/>
      <c r="BL170" s="222"/>
      <c r="BM170" s="249">
        <f t="shared" si="325"/>
        <v>0</v>
      </c>
      <c r="BN170" s="265"/>
      <c r="BO170" s="222"/>
      <c r="BP170" s="222"/>
      <c r="BQ170" s="265"/>
      <c r="BR170" s="265"/>
      <c r="BS170" s="265"/>
      <c r="BT170" s="244"/>
      <c r="BU170" s="222"/>
      <c r="BV170" s="244">
        <f t="shared" si="326"/>
        <v>0</v>
      </c>
      <c r="BW170" s="222"/>
    </row>
    <row r="171" spans="1:75" outlineLevel="1">
      <c r="A171" s="221"/>
      <c r="B171" s="222"/>
      <c r="C171" s="222"/>
      <c r="D171" s="225"/>
      <c r="E171" s="222"/>
      <c r="F171" s="222"/>
      <c r="G171" s="222"/>
      <c r="H171" s="266"/>
      <c r="I171" s="101"/>
      <c r="J171" s="102"/>
      <c r="K171" s="102"/>
      <c r="L171" s="102"/>
      <c r="M171" s="102"/>
      <c r="N171" s="102"/>
      <c r="O171" s="102"/>
      <c r="P171" s="102"/>
      <c r="Q171" s="102"/>
      <c r="R171" s="102"/>
      <c r="S171" s="102"/>
      <c r="T171" s="102"/>
      <c r="U171" s="102"/>
      <c r="V171" s="102"/>
      <c r="W171" s="102"/>
      <c r="X171" s="103"/>
      <c r="Y171" s="264"/>
      <c r="Z171" s="222"/>
      <c r="AA171" s="266"/>
      <c r="AB171" s="104">
        <f>ROUNDDOWN(AB170*10%,-1)</f>
        <v>0</v>
      </c>
      <c r="AC171" s="105">
        <f ca="1">IFERROR(IF(AND( OR(COUNTIF(I170:X171, "&gt;0")&gt;=$AJ$1, AA170&gt;=$AJ$4),AN170&lt;60,AA170&lt;=$AH$5),ROUNDDOWN(ROUNDDOWN(AA170,-3)*$AH$4%,-1),IF(AND(COUNTIF(I170:X171,"&gt;0")&gt;=$AJ$1,AN170&lt;60,AA170&gt;$AH$5),$AJ$5,0)),0)</f>
        <v>0</v>
      </c>
      <c r="AD171" s="106">
        <f>IF(Z170&gt;=$AJ$1,ROUNDDOWN(AD170*$AH$3%/($AH$2*2%),-1),0)</f>
        <v>0</v>
      </c>
      <c r="AE171" s="266"/>
      <c r="AF171" s="266"/>
      <c r="AG171" s="222"/>
      <c r="AH171" s="222"/>
      <c r="AI171" s="222"/>
      <c r="AJ171" s="222"/>
      <c r="AK171" s="250"/>
      <c r="AL171" s="250"/>
      <c r="AM171" s="251"/>
      <c r="AN171" s="252"/>
      <c r="AO171" s="266"/>
      <c r="AP171" s="107">
        <f t="shared" ref="AP171:BE171" si="342">IF($H170*I171&gt;150000,ROUNDDOWN(($H170*I171-150000)*6%*45%,0),0)</f>
        <v>0</v>
      </c>
      <c r="AQ171" s="108">
        <f t="shared" si="342"/>
        <v>0</v>
      </c>
      <c r="AR171" s="108">
        <f t="shared" si="342"/>
        <v>0</v>
      </c>
      <c r="AS171" s="108">
        <f t="shared" si="342"/>
        <v>0</v>
      </c>
      <c r="AT171" s="108">
        <f t="shared" si="342"/>
        <v>0</v>
      </c>
      <c r="AU171" s="108">
        <f t="shared" si="342"/>
        <v>0</v>
      </c>
      <c r="AV171" s="108">
        <f t="shared" si="342"/>
        <v>0</v>
      </c>
      <c r="AW171" s="108">
        <f t="shared" si="342"/>
        <v>0</v>
      </c>
      <c r="AX171" s="108">
        <f t="shared" si="342"/>
        <v>0</v>
      </c>
      <c r="AY171" s="108">
        <f t="shared" si="342"/>
        <v>0</v>
      </c>
      <c r="AZ171" s="108">
        <f t="shared" si="342"/>
        <v>0</v>
      </c>
      <c r="BA171" s="108">
        <f t="shared" si="342"/>
        <v>0</v>
      </c>
      <c r="BB171" s="108">
        <f t="shared" si="342"/>
        <v>0</v>
      </c>
      <c r="BC171" s="108">
        <f t="shared" si="342"/>
        <v>0</v>
      </c>
      <c r="BD171" s="108">
        <f t="shared" si="342"/>
        <v>0</v>
      </c>
      <c r="BE171" s="109">
        <f t="shared" si="342"/>
        <v>0</v>
      </c>
      <c r="BG171" s="222"/>
      <c r="BH171" s="222"/>
      <c r="BI171" s="222"/>
      <c r="BJ171" s="268"/>
      <c r="BK171" s="265"/>
      <c r="BL171" s="222"/>
      <c r="BM171" s="249"/>
      <c r="BN171" s="265"/>
      <c r="BO171" s="222"/>
      <c r="BP171" s="222"/>
      <c r="BQ171" s="265"/>
      <c r="BR171" s="265"/>
      <c r="BS171" s="265"/>
      <c r="BT171" s="244"/>
      <c r="BU171" s="222"/>
      <c r="BV171" s="244"/>
      <c r="BW171" s="222"/>
    </row>
    <row r="172" spans="1:75" outlineLevel="1">
      <c r="A172" s="221">
        <v>85</v>
      </c>
      <c r="B172" s="222" t="str">
        <f>IF(LEN(D172)&gt;1,IF(VALUE(MID(RIGHT(D172,7),1,1))&gt;4,"외국인",IF(VALUE(RIGHT(11-MOD((MID(D172,1,1)*2+MID(D172,2,1)*3+MID(D172,3,1)*4+MID(D172,4,1)*5+MID(D172,5,1)*6+MID(D172,6,1)*7+MID(RIGHT(D172,7),1,1)*8+MID(RIGHT(D172,7),2,1)*9+MID(RIGHT(D172,7),3,1)*2+MID(RIGHT(D172,7),4,1)*3+MID(RIGHT(D172,7),5,1)*4+MID(RIGHT(D172,7),6,1)*5),11),1))=VALUE(RIGHT(D172,1)),"","오류")),"")</f>
        <v/>
      </c>
      <c r="C172" s="222"/>
      <c r="D172" s="225"/>
      <c r="E172" s="222"/>
      <c r="F172" s="222"/>
      <c r="G172" s="222"/>
      <c r="H172" s="266"/>
      <c r="I172" s="89"/>
      <c r="J172" s="90"/>
      <c r="K172" s="90"/>
      <c r="L172" s="90"/>
      <c r="M172" s="90"/>
      <c r="N172" s="90"/>
      <c r="O172" s="90"/>
      <c r="P172" s="90"/>
      <c r="Q172" s="90"/>
      <c r="R172" s="90"/>
      <c r="S172" s="91"/>
      <c r="T172" s="91"/>
      <c r="U172" s="90"/>
      <c r="V172" s="90"/>
      <c r="W172" s="92"/>
      <c r="X172" s="93"/>
      <c r="Y172" s="264">
        <f>SUM(I172:X173)</f>
        <v>0</v>
      </c>
      <c r="Z172" s="222">
        <f>COUNTIF(I172:X173,"&gt;0")</f>
        <v>0</v>
      </c>
      <c r="AA172" s="266">
        <f>H172*Y172</f>
        <v>0</v>
      </c>
      <c r="AB172" s="94">
        <f>IF(AO172&lt;1000, 0, AO172)</f>
        <v>0</v>
      </c>
      <c r="AC172" s="95">
        <f ca="1">IF(IFERROR($AN172&lt;65,FALSE), IF(B172&lt;&gt;"외국인", ROUNDDOWN(AA172*$AH$1%,-1), IF(AND(AM172&lt;&gt;"", ISNUMBER(SEARCH(LEFT(SUBSTITUTE(AM172, "-",""),2), "F2_F5_F6"))), ROUNDDOWN(AA172*$AH$1%,-1), 0)),0)</f>
        <v>0</v>
      </c>
      <c r="AD172" s="96">
        <f>IF(Z172&gt;=$AJ$1,ROUNDDOWN(AA172*$AH$2%,-1),0)</f>
        <v>0</v>
      </c>
      <c r="AE172" s="266">
        <f ca="1">AB172+AC172+AB173+AC173+AD172+AD173</f>
        <v>0</v>
      </c>
      <c r="AF172" s="266">
        <f ca="1">AA172-AE172</f>
        <v>0</v>
      </c>
      <c r="AG172" s="222"/>
      <c r="AH172" s="222"/>
      <c r="AI172" s="222"/>
      <c r="AJ172" s="222"/>
      <c r="AK172" s="250"/>
      <c r="AL172" s="250"/>
      <c r="AM172" s="251"/>
      <c r="AN172" s="252" t="str">
        <f ca="1">IFERROR(DATEDIF(DATE(IF(ISNUMBER(FIND(MID( SUBSTITUTE(D172, "-",""), 7, 1), "3478")), 2000, 1900)+MID(D172,1,2), MID(D172,3,2), MID(D172,5,2)), TODAY(), "Y"),"")</f>
        <v/>
      </c>
      <c r="AO172" s="266">
        <f>ROUNDDOWN(SUM(AP172:BE173),-1)</f>
        <v>0</v>
      </c>
      <c r="AP172" s="97">
        <f t="shared" ref="AP172:BD172" si="343">IF($H172*I172&gt;150000,ROUNDDOWN(($H172*I172-150000)*6%*45%,0),0)</f>
        <v>0</v>
      </c>
      <c r="AQ172" s="98">
        <f t="shared" si="343"/>
        <v>0</v>
      </c>
      <c r="AR172" s="98">
        <f t="shared" si="343"/>
        <v>0</v>
      </c>
      <c r="AS172" s="98">
        <f t="shared" si="343"/>
        <v>0</v>
      </c>
      <c r="AT172" s="98">
        <f t="shared" si="343"/>
        <v>0</v>
      </c>
      <c r="AU172" s="98">
        <f t="shared" si="343"/>
        <v>0</v>
      </c>
      <c r="AV172" s="98">
        <f t="shared" si="343"/>
        <v>0</v>
      </c>
      <c r="AW172" s="98">
        <f t="shared" si="343"/>
        <v>0</v>
      </c>
      <c r="AX172" s="98">
        <f t="shared" si="343"/>
        <v>0</v>
      </c>
      <c r="AY172" s="98">
        <f t="shared" si="343"/>
        <v>0</v>
      </c>
      <c r="AZ172" s="98">
        <f t="shared" si="343"/>
        <v>0</v>
      </c>
      <c r="BA172" s="98">
        <f t="shared" si="343"/>
        <v>0</v>
      </c>
      <c r="BB172" s="98">
        <f t="shared" si="343"/>
        <v>0</v>
      </c>
      <c r="BC172" s="98">
        <f t="shared" si="343"/>
        <v>0</v>
      </c>
      <c r="BD172" s="99">
        <f t="shared" si="343"/>
        <v>0</v>
      </c>
      <c r="BE172" s="100"/>
      <c r="BG172" s="222">
        <f t="shared" ref="BG172" si="344">C172</f>
        <v>0</v>
      </c>
      <c r="BH172" s="222"/>
      <c r="BI172" s="222"/>
      <c r="BJ172" s="248"/>
      <c r="BK172" s="265"/>
      <c r="BL172" s="222"/>
      <c r="BM172" s="249">
        <f t="shared" si="325"/>
        <v>0</v>
      </c>
      <c r="BN172" s="265"/>
      <c r="BO172" s="222"/>
      <c r="BP172" s="222"/>
      <c r="BQ172" s="265"/>
      <c r="BR172" s="265"/>
      <c r="BS172" s="265"/>
      <c r="BT172" s="244"/>
      <c r="BU172" s="222"/>
      <c r="BV172" s="244">
        <f t="shared" si="326"/>
        <v>0</v>
      </c>
      <c r="BW172" s="222"/>
    </row>
    <row r="173" spans="1:75" outlineLevel="1">
      <c r="A173" s="221"/>
      <c r="B173" s="222"/>
      <c r="C173" s="222"/>
      <c r="D173" s="225"/>
      <c r="E173" s="222"/>
      <c r="F173" s="222"/>
      <c r="G173" s="222"/>
      <c r="H173" s="266"/>
      <c r="I173" s="101"/>
      <c r="J173" s="102"/>
      <c r="K173" s="102"/>
      <c r="L173" s="102"/>
      <c r="M173" s="102"/>
      <c r="N173" s="102"/>
      <c r="O173" s="102"/>
      <c r="P173" s="102"/>
      <c r="Q173" s="102"/>
      <c r="R173" s="102"/>
      <c r="S173" s="102"/>
      <c r="T173" s="102"/>
      <c r="U173" s="102"/>
      <c r="V173" s="102"/>
      <c r="W173" s="102"/>
      <c r="X173" s="103"/>
      <c r="Y173" s="264"/>
      <c r="Z173" s="222"/>
      <c r="AA173" s="266"/>
      <c r="AB173" s="104">
        <f>ROUNDDOWN(AB172*10%,-1)</f>
        <v>0</v>
      </c>
      <c r="AC173" s="105">
        <f ca="1">IFERROR(IF(AND( OR(COUNTIF(I172:X173, "&gt;0")&gt;=$AJ$1, AA172&gt;=$AJ$4),AN172&lt;60,AA172&lt;=$AH$5),ROUNDDOWN(ROUNDDOWN(AA172,-3)*$AH$4%,-1),IF(AND(COUNTIF(I172:X173,"&gt;0")&gt;=$AJ$1,AN172&lt;60,AA172&gt;$AH$5),$AJ$5,0)),0)</f>
        <v>0</v>
      </c>
      <c r="AD173" s="106">
        <f>IF(Z172&gt;=$AJ$1,ROUNDDOWN(AD172*$AH$3%/($AH$2*2%),-1),0)</f>
        <v>0</v>
      </c>
      <c r="AE173" s="266"/>
      <c r="AF173" s="266"/>
      <c r="AG173" s="222"/>
      <c r="AH173" s="222"/>
      <c r="AI173" s="222"/>
      <c r="AJ173" s="222"/>
      <c r="AK173" s="250"/>
      <c r="AL173" s="250"/>
      <c r="AM173" s="251"/>
      <c r="AN173" s="252"/>
      <c r="AO173" s="266"/>
      <c r="AP173" s="107">
        <f t="shared" ref="AP173:BE173" si="345">IF($H172*I173&gt;150000,ROUNDDOWN(($H172*I173-150000)*6%*45%,0),0)</f>
        <v>0</v>
      </c>
      <c r="AQ173" s="108">
        <f t="shared" si="345"/>
        <v>0</v>
      </c>
      <c r="AR173" s="108">
        <f t="shared" si="345"/>
        <v>0</v>
      </c>
      <c r="AS173" s="108">
        <f t="shared" si="345"/>
        <v>0</v>
      </c>
      <c r="AT173" s="108">
        <f t="shared" si="345"/>
        <v>0</v>
      </c>
      <c r="AU173" s="108">
        <f t="shared" si="345"/>
        <v>0</v>
      </c>
      <c r="AV173" s="108">
        <f t="shared" si="345"/>
        <v>0</v>
      </c>
      <c r="AW173" s="108">
        <f t="shared" si="345"/>
        <v>0</v>
      </c>
      <c r="AX173" s="108">
        <f t="shared" si="345"/>
        <v>0</v>
      </c>
      <c r="AY173" s="108">
        <f t="shared" si="345"/>
        <v>0</v>
      </c>
      <c r="AZ173" s="108">
        <f t="shared" si="345"/>
        <v>0</v>
      </c>
      <c r="BA173" s="108">
        <f t="shared" si="345"/>
        <v>0</v>
      </c>
      <c r="BB173" s="108">
        <f t="shared" si="345"/>
        <v>0</v>
      </c>
      <c r="BC173" s="108">
        <f t="shared" si="345"/>
        <v>0</v>
      </c>
      <c r="BD173" s="108">
        <f t="shared" si="345"/>
        <v>0</v>
      </c>
      <c r="BE173" s="109">
        <f t="shared" si="345"/>
        <v>0</v>
      </c>
      <c r="BG173" s="222"/>
      <c r="BH173" s="222"/>
      <c r="BI173" s="222"/>
      <c r="BJ173" s="248"/>
      <c r="BK173" s="265"/>
      <c r="BL173" s="222"/>
      <c r="BM173" s="249"/>
      <c r="BN173" s="265"/>
      <c r="BO173" s="222"/>
      <c r="BP173" s="222"/>
      <c r="BQ173" s="265"/>
      <c r="BR173" s="265"/>
      <c r="BS173" s="265"/>
      <c r="BT173" s="244"/>
      <c r="BU173" s="222"/>
      <c r="BV173" s="244"/>
      <c r="BW173" s="222"/>
    </row>
    <row r="174" spans="1:75" outlineLevel="1">
      <c r="A174" s="221">
        <v>86</v>
      </c>
      <c r="B174" s="222" t="str">
        <f>IF(LEN(D174)&gt;1,IF(VALUE(MID(RIGHT(D174,7),1,1))&gt;4,"외국인",IF(VALUE(RIGHT(11-MOD((MID(D174,1,1)*2+MID(D174,2,1)*3+MID(D174,3,1)*4+MID(D174,4,1)*5+MID(D174,5,1)*6+MID(D174,6,1)*7+MID(RIGHT(D174,7),1,1)*8+MID(RIGHT(D174,7),2,1)*9+MID(RIGHT(D174,7),3,1)*2+MID(RIGHT(D174,7),4,1)*3+MID(RIGHT(D174,7),5,1)*4+MID(RIGHT(D174,7),6,1)*5),11),1))=VALUE(RIGHT(D174,1)),"","오류")),"")</f>
        <v/>
      </c>
      <c r="C174" s="222"/>
      <c r="D174" s="225"/>
      <c r="E174" s="222"/>
      <c r="F174" s="222"/>
      <c r="G174" s="222"/>
      <c r="H174" s="266"/>
      <c r="I174" s="89"/>
      <c r="J174" s="90"/>
      <c r="K174" s="90"/>
      <c r="L174" s="90"/>
      <c r="M174" s="90"/>
      <c r="N174" s="90"/>
      <c r="O174" s="90"/>
      <c r="P174" s="90"/>
      <c r="Q174" s="90"/>
      <c r="R174" s="90"/>
      <c r="S174" s="91"/>
      <c r="T174" s="91"/>
      <c r="U174" s="90"/>
      <c r="V174" s="90"/>
      <c r="W174" s="92"/>
      <c r="X174" s="93"/>
      <c r="Y174" s="264">
        <f>SUM(I174:X175)</f>
        <v>0</v>
      </c>
      <c r="Z174" s="222">
        <f>COUNTIF(I174:X175,"&gt;0")</f>
        <v>0</v>
      </c>
      <c r="AA174" s="266">
        <f>H174*Y174</f>
        <v>0</v>
      </c>
      <c r="AB174" s="94">
        <f>IF(AO174&lt;1000, 0, AO174)</f>
        <v>0</v>
      </c>
      <c r="AC174" s="95">
        <f ca="1">IF(IFERROR($AN174&lt;65,FALSE), IF(B174&lt;&gt;"외국인", ROUNDDOWN(AA174*$AH$1%,-1), IF(AND(AM174&lt;&gt;"", ISNUMBER(SEARCH(LEFT(SUBSTITUTE(AM174, "-",""),2), "F2_F5_F6"))), ROUNDDOWN(AA174*$AH$1%,-1), 0)),0)</f>
        <v>0</v>
      </c>
      <c r="AD174" s="96">
        <f>IF(Z174&gt;=$AJ$1,ROUNDDOWN(AA174*$AH$2%,-1),0)</f>
        <v>0</v>
      </c>
      <c r="AE174" s="266">
        <f ca="1">AB174+AC174+AB175+AC175+AD174+AD175</f>
        <v>0</v>
      </c>
      <c r="AF174" s="266">
        <f ca="1">AA174-AE174</f>
        <v>0</v>
      </c>
      <c r="AG174" s="222"/>
      <c r="AH174" s="222"/>
      <c r="AI174" s="222"/>
      <c r="AJ174" s="222"/>
      <c r="AK174" s="250"/>
      <c r="AL174" s="250"/>
      <c r="AM174" s="251"/>
      <c r="AN174" s="252" t="str">
        <f ca="1">IFERROR(DATEDIF(DATE(IF(ISNUMBER(FIND(MID( SUBSTITUTE(D174, "-",""), 7, 1), "3478")), 2000, 1900)+MID(D174,1,2), MID(D174,3,2), MID(D174,5,2)), TODAY(), "Y"),"")</f>
        <v/>
      </c>
      <c r="AO174" s="266">
        <f>ROUNDDOWN(SUM(AP174:BE175),-1)</f>
        <v>0</v>
      </c>
      <c r="AP174" s="97">
        <f t="shared" ref="AP174:BD174" si="346">IF($H174*I174&gt;150000,ROUNDDOWN(($H174*I174-150000)*6%*45%,0),0)</f>
        <v>0</v>
      </c>
      <c r="AQ174" s="98">
        <f t="shared" si="346"/>
        <v>0</v>
      </c>
      <c r="AR174" s="98">
        <f t="shared" si="346"/>
        <v>0</v>
      </c>
      <c r="AS174" s="98">
        <f t="shared" si="346"/>
        <v>0</v>
      </c>
      <c r="AT174" s="98">
        <f t="shared" si="346"/>
        <v>0</v>
      </c>
      <c r="AU174" s="98">
        <f t="shared" si="346"/>
        <v>0</v>
      </c>
      <c r="AV174" s="98">
        <f t="shared" si="346"/>
        <v>0</v>
      </c>
      <c r="AW174" s="98">
        <f t="shared" si="346"/>
        <v>0</v>
      </c>
      <c r="AX174" s="98">
        <f t="shared" si="346"/>
        <v>0</v>
      </c>
      <c r="AY174" s="98">
        <f t="shared" si="346"/>
        <v>0</v>
      </c>
      <c r="AZ174" s="98">
        <f t="shared" si="346"/>
        <v>0</v>
      </c>
      <c r="BA174" s="98">
        <f t="shared" si="346"/>
        <v>0</v>
      </c>
      <c r="BB174" s="98">
        <f t="shared" si="346"/>
        <v>0</v>
      </c>
      <c r="BC174" s="98">
        <f t="shared" si="346"/>
        <v>0</v>
      </c>
      <c r="BD174" s="99">
        <f t="shared" si="346"/>
        <v>0</v>
      </c>
      <c r="BE174" s="100"/>
      <c r="BG174" s="222">
        <f t="shared" ref="BG174" si="347">C174</f>
        <v>0</v>
      </c>
      <c r="BH174" s="222"/>
      <c r="BI174" s="222"/>
      <c r="BJ174" s="269"/>
      <c r="BK174" s="265"/>
      <c r="BL174" s="222"/>
      <c r="BM174" s="249">
        <f t="shared" si="325"/>
        <v>0</v>
      </c>
      <c r="BN174" s="265"/>
      <c r="BO174" s="222"/>
      <c r="BP174" s="222"/>
      <c r="BQ174" s="265"/>
      <c r="BR174" s="265"/>
      <c r="BS174" s="265"/>
      <c r="BT174" s="244"/>
      <c r="BU174" s="222"/>
      <c r="BV174" s="244">
        <f t="shared" si="326"/>
        <v>0</v>
      </c>
      <c r="BW174" s="222"/>
    </row>
    <row r="175" spans="1:75" outlineLevel="1">
      <c r="A175" s="221"/>
      <c r="B175" s="222"/>
      <c r="C175" s="222"/>
      <c r="D175" s="225"/>
      <c r="E175" s="222"/>
      <c r="F175" s="222"/>
      <c r="G175" s="222"/>
      <c r="H175" s="266"/>
      <c r="I175" s="101"/>
      <c r="J175" s="102"/>
      <c r="K175" s="102"/>
      <c r="L175" s="102"/>
      <c r="M175" s="102"/>
      <c r="N175" s="102"/>
      <c r="O175" s="102"/>
      <c r="P175" s="102"/>
      <c r="Q175" s="102"/>
      <c r="R175" s="102"/>
      <c r="S175" s="102"/>
      <c r="T175" s="102"/>
      <c r="U175" s="102"/>
      <c r="V175" s="102"/>
      <c r="W175" s="102"/>
      <c r="X175" s="103"/>
      <c r="Y175" s="264"/>
      <c r="Z175" s="222"/>
      <c r="AA175" s="266"/>
      <c r="AB175" s="104">
        <f>ROUNDDOWN(AB174*10%,-1)</f>
        <v>0</v>
      </c>
      <c r="AC175" s="105">
        <f ca="1">IFERROR(IF(AND( OR(COUNTIF(I174:X175, "&gt;0")&gt;=$AJ$1, AA174&gt;=$AJ$4),AN174&lt;60,AA174&lt;=$AH$5),ROUNDDOWN(ROUNDDOWN(AA174,-3)*$AH$4%,-1),IF(AND(COUNTIF(I174:X175,"&gt;0")&gt;=$AJ$1,AN174&lt;60,AA174&gt;$AH$5),$AJ$5,0)),0)</f>
        <v>0</v>
      </c>
      <c r="AD175" s="106">
        <f>IF(Z174&gt;=$AJ$1,ROUNDDOWN(AD174*$AH$3%/($AH$2*2%),-1),0)</f>
        <v>0</v>
      </c>
      <c r="AE175" s="266"/>
      <c r="AF175" s="266"/>
      <c r="AG175" s="222"/>
      <c r="AH175" s="222"/>
      <c r="AI175" s="222"/>
      <c r="AJ175" s="222"/>
      <c r="AK175" s="250"/>
      <c r="AL175" s="250"/>
      <c r="AM175" s="251"/>
      <c r="AN175" s="252"/>
      <c r="AO175" s="266"/>
      <c r="AP175" s="107">
        <f t="shared" ref="AP175:BE175" si="348">IF($H174*I175&gt;150000,ROUNDDOWN(($H174*I175-150000)*6%*45%,0),0)</f>
        <v>0</v>
      </c>
      <c r="AQ175" s="108">
        <f t="shared" si="348"/>
        <v>0</v>
      </c>
      <c r="AR175" s="108">
        <f t="shared" si="348"/>
        <v>0</v>
      </c>
      <c r="AS175" s="108">
        <f t="shared" si="348"/>
        <v>0</v>
      </c>
      <c r="AT175" s="108">
        <f t="shared" si="348"/>
        <v>0</v>
      </c>
      <c r="AU175" s="108">
        <f t="shared" si="348"/>
        <v>0</v>
      </c>
      <c r="AV175" s="108">
        <f t="shared" si="348"/>
        <v>0</v>
      </c>
      <c r="AW175" s="108">
        <f t="shared" si="348"/>
        <v>0</v>
      </c>
      <c r="AX175" s="108">
        <f t="shared" si="348"/>
        <v>0</v>
      </c>
      <c r="AY175" s="108">
        <f t="shared" si="348"/>
        <v>0</v>
      </c>
      <c r="AZ175" s="108">
        <f t="shared" si="348"/>
        <v>0</v>
      </c>
      <c r="BA175" s="108">
        <f t="shared" si="348"/>
        <v>0</v>
      </c>
      <c r="BB175" s="108">
        <f t="shared" si="348"/>
        <v>0</v>
      </c>
      <c r="BC175" s="108">
        <f t="shared" si="348"/>
        <v>0</v>
      </c>
      <c r="BD175" s="108">
        <f t="shared" si="348"/>
        <v>0</v>
      </c>
      <c r="BE175" s="109">
        <f t="shared" si="348"/>
        <v>0</v>
      </c>
      <c r="BG175" s="222"/>
      <c r="BH175" s="222"/>
      <c r="BI175" s="222"/>
      <c r="BJ175" s="269"/>
      <c r="BK175" s="265"/>
      <c r="BL175" s="222"/>
      <c r="BM175" s="249"/>
      <c r="BN175" s="265"/>
      <c r="BO175" s="222"/>
      <c r="BP175" s="222"/>
      <c r="BQ175" s="265"/>
      <c r="BR175" s="265"/>
      <c r="BS175" s="265"/>
      <c r="BT175" s="244"/>
      <c r="BU175" s="222"/>
      <c r="BV175" s="244"/>
      <c r="BW175" s="222"/>
    </row>
    <row r="176" spans="1:75" outlineLevel="1">
      <c r="A176" s="221">
        <v>87</v>
      </c>
      <c r="B176" s="222" t="str">
        <f>IF(LEN(D176)&gt;1,IF(VALUE(MID(RIGHT(D176,7),1,1))&gt;4,"외국인",IF(VALUE(RIGHT(11-MOD((MID(D176,1,1)*2+MID(D176,2,1)*3+MID(D176,3,1)*4+MID(D176,4,1)*5+MID(D176,5,1)*6+MID(D176,6,1)*7+MID(RIGHT(D176,7),1,1)*8+MID(RIGHT(D176,7),2,1)*9+MID(RIGHT(D176,7),3,1)*2+MID(RIGHT(D176,7),4,1)*3+MID(RIGHT(D176,7),5,1)*4+MID(RIGHT(D176,7),6,1)*5),11),1))=VALUE(RIGHT(D176,1)),"","오류")),"")</f>
        <v/>
      </c>
      <c r="C176" s="222"/>
      <c r="D176" s="225"/>
      <c r="E176" s="222"/>
      <c r="F176" s="222"/>
      <c r="G176" s="222"/>
      <c r="H176" s="266"/>
      <c r="I176" s="89"/>
      <c r="J176" s="90"/>
      <c r="K176" s="90"/>
      <c r="L176" s="90"/>
      <c r="M176" s="90"/>
      <c r="N176" s="90"/>
      <c r="O176" s="90"/>
      <c r="P176" s="90"/>
      <c r="Q176" s="90"/>
      <c r="R176" s="90"/>
      <c r="S176" s="91"/>
      <c r="T176" s="91"/>
      <c r="U176" s="90"/>
      <c r="V176" s="90"/>
      <c r="W176" s="92"/>
      <c r="X176" s="93"/>
      <c r="Y176" s="264">
        <f>SUM(I176:X177)</f>
        <v>0</v>
      </c>
      <c r="Z176" s="222">
        <f>COUNTIF(I176:X177,"&gt;0")</f>
        <v>0</v>
      </c>
      <c r="AA176" s="266">
        <f>H176*Y176</f>
        <v>0</v>
      </c>
      <c r="AB176" s="94">
        <f>IF(AO176&lt;1000, 0, AO176)</f>
        <v>0</v>
      </c>
      <c r="AC176" s="95">
        <f ca="1">IF(IFERROR($AN176&lt;65,FALSE), IF(B176&lt;&gt;"외국인", ROUNDDOWN(AA176*$AH$1%,-1), IF(AND(AM176&lt;&gt;"", ISNUMBER(SEARCH(LEFT(SUBSTITUTE(AM176, "-",""),2), "F2_F5_F6"))), ROUNDDOWN(AA176*$AH$1%,-1), 0)),0)</f>
        <v>0</v>
      </c>
      <c r="AD176" s="96">
        <f>IF(Z176&gt;=$AJ$1,ROUNDDOWN(AA176*$AH$2%,-1),0)</f>
        <v>0</v>
      </c>
      <c r="AE176" s="266">
        <f ca="1">AB176+AC176+AB177+AC177+AD176+AD177</f>
        <v>0</v>
      </c>
      <c r="AF176" s="266">
        <f ca="1">AA176-AE176</f>
        <v>0</v>
      </c>
      <c r="AG176" s="222"/>
      <c r="AH176" s="222"/>
      <c r="AI176" s="222"/>
      <c r="AJ176" s="222"/>
      <c r="AK176" s="250"/>
      <c r="AL176" s="250"/>
      <c r="AM176" s="251"/>
      <c r="AN176" s="252" t="str">
        <f ca="1">IFERROR(DATEDIF(DATE(IF(ISNUMBER(FIND(MID( SUBSTITUTE(D176, "-",""), 7, 1), "3478")), 2000, 1900)+MID(D176,1,2), MID(D176,3,2), MID(D176,5,2)), TODAY(), "Y"),"")</f>
        <v/>
      </c>
      <c r="AO176" s="266">
        <f>ROUNDDOWN(SUM(AP176:BE177),-1)</f>
        <v>0</v>
      </c>
      <c r="AP176" s="97">
        <f t="shared" ref="AP176:BD176" si="349">IF($H176*I176&gt;150000,ROUNDDOWN(($H176*I176-150000)*6%*45%,0),0)</f>
        <v>0</v>
      </c>
      <c r="AQ176" s="98">
        <f t="shared" si="349"/>
        <v>0</v>
      </c>
      <c r="AR176" s="98">
        <f t="shared" si="349"/>
        <v>0</v>
      </c>
      <c r="AS176" s="98">
        <f t="shared" si="349"/>
        <v>0</v>
      </c>
      <c r="AT176" s="98">
        <f t="shared" si="349"/>
        <v>0</v>
      </c>
      <c r="AU176" s="98">
        <f t="shared" si="349"/>
        <v>0</v>
      </c>
      <c r="AV176" s="98">
        <f t="shared" si="349"/>
        <v>0</v>
      </c>
      <c r="AW176" s="98">
        <f t="shared" si="349"/>
        <v>0</v>
      </c>
      <c r="AX176" s="98">
        <f t="shared" si="349"/>
        <v>0</v>
      </c>
      <c r="AY176" s="98">
        <f t="shared" si="349"/>
        <v>0</v>
      </c>
      <c r="AZ176" s="98">
        <f t="shared" si="349"/>
        <v>0</v>
      </c>
      <c r="BA176" s="98">
        <f t="shared" si="349"/>
        <v>0</v>
      </c>
      <c r="BB176" s="98">
        <f t="shared" si="349"/>
        <v>0</v>
      </c>
      <c r="BC176" s="98">
        <f t="shared" si="349"/>
        <v>0</v>
      </c>
      <c r="BD176" s="99">
        <f t="shared" si="349"/>
        <v>0</v>
      </c>
      <c r="BE176" s="100"/>
      <c r="BG176" s="222">
        <f t="shared" ref="BG176" si="350">C176</f>
        <v>0</v>
      </c>
      <c r="BH176" s="222"/>
      <c r="BI176" s="222"/>
      <c r="BJ176" s="269"/>
      <c r="BK176" s="265"/>
      <c r="BL176" s="222"/>
      <c r="BM176" s="249">
        <f t="shared" si="325"/>
        <v>0</v>
      </c>
      <c r="BN176" s="265"/>
      <c r="BO176" s="222"/>
      <c r="BP176" s="222"/>
      <c r="BQ176" s="265"/>
      <c r="BR176" s="265"/>
      <c r="BS176" s="265"/>
      <c r="BT176" s="244"/>
      <c r="BU176" s="222"/>
      <c r="BV176" s="244">
        <f t="shared" si="326"/>
        <v>0</v>
      </c>
      <c r="BW176" s="222"/>
    </row>
    <row r="177" spans="1:75" outlineLevel="1">
      <c r="A177" s="221"/>
      <c r="B177" s="222"/>
      <c r="C177" s="222"/>
      <c r="D177" s="225"/>
      <c r="E177" s="222"/>
      <c r="F177" s="222"/>
      <c r="G177" s="222"/>
      <c r="H177" s="266"/>
      <c r="I177" s="101"/>
      <c r="J177" s="102"/>
      <c r="K177" s="102"/>
      <c r="L177" s="102"/>
      <c r="M177" s="102"/>
      <c r="N177" s="102"/>
      <c r="O177" s="102"/>
      <c r="P177" s="102"/>
      <c r="Q177" s="102"/>
      <c r="R177" s="102"/>
      <c r="S177" s="102"/>
      <c r="T177" s="102"/>
      <c r="U177" s="102"/>
      <c r="V177" s="102"/>
      <c r="W177" s="102"/>
      <c r="X177" s="103"/>
      <c r="Y177" s="264"/>
      <c r="Z177" s="222"/>
      <c r="AA177" s="266"/>
      <c r="AB177" s="104">
        <f>ROUNDDOWN(AB176*10%,-1)</f>
        <v>0</v>
      </c>
      <c r="AC177" s="105">
        <f ca="1">IFERROR(IF(AND( OR(COUNTIF(I176:X177, "&gt;0")&gt;=$AJ$1, AA176&gt;=$AJ$4),AN176&lt;60,AA176&lt;=$AH$5),ROUNDDOWN(ROUNDDOWN(AA176,-3)*$AH$4%,-1),IF(AND(COUNTIF(I176:X177,"&gt;0")&gt;=$AJ$1,AN176&lt;60,AA176&gt;$AH$5),$AJ$5,0)),0)</f>
        <v>0</v>
      </c>
      <c r="AD177" s="106">
        <f>IF(Z176&gt;=$AJ$1,ROUNDDOWN(AD176*$AH$3%/($AH$2*2%),-1),0)</f>
        <v>0</v>
      </c>
      <c r="AE177" s="266"/>
      <c r="AF177" s="266"/>
      <c r="AG177" s="222"/>
      <c r="AH177" s="222"/>
      <c r="AI177" s="222"/>
      <c r="AJ177" s="222"/>
      <c r="AK177" s="250"/>
      <c r="AL177" s="250"/>
      <c r="AM177" s="251"/>
      <c r="AN177" s="252"/>
      <c r="AO177" s="266"/>
      <c r="AP177" s="107">
        <f t="shared" ref="AP177:BE177" si="351">IF($H176*I177&gt;150000,ROUNDDOWN(($H176*I177-150000)*6%*45%,0),0)</f>
        <v>0</v>
      </c>
      <c r="AQ177" s="108">
        <f t="shared" si="351"/>
        <v>0</v>
      </c>
      <c r="AR177" s="108">
        <f t="shared" si="351"/>
        <v>0</v>
      </c>
      <c r="AS177" s="108">
        <f t="shared" si="351"/>
        <v>0</v>
      </c>
      <c r="AT177" s="108">
        <f t="shared" si="351"/>
        <v>0</v>
      </c>
      <c r="AU177" s="108">
        <f t="shared" si="351"/>
        <v>0</v>
      </c>
      <c r="AV177" s="108">
        <f t="shared" si="351"/>
        <v>0</v>
      </c>
      <c r="AW177" s="108">
        <f t="shared" si="351"/>
        <v>0</v>
      </c>
      <c r="AX177" s="108">
        <f t="shared" si="351"/>
        <v>0</v>
      </c>
      <c r="AY177" s="108">
        <f t="shared" si="351"/>
        <v>0</v>
      </c>
      <c r="AZ177" s="108">
        <f t="shared" si="351"/>
        <v>0</v>
      </c>
      <c r="BA177" s="108">
        <f t="shared" si="351"/>
        <v>0</v>
      </c>
      <c r="BB177" s="108">
        <f t="shared" si="351"/>
        <v>0</v>
      </c>
      <c r="BC177" s="108">
        <f t="shared" si="351"/>
        <v>0</v>
      </c>
      <c r="BD177" s="108">
        <f t="shared" si="351"/>
        <v>0</v>
      </c>
      <c r="BE177" s="109">
        <f t="shared" si="351"/>
        <v>0</v>
      </c>
      <c r="BG177" s="222"/>
      <c r="BH177" s="222"/>
      <c r="BI177" s="222"/>
      <c r="BJ177" s="269"/>
      <c r="BK177" s="265"/>
      <c r="BL177" s="222"/>
      <c r="BM177" s="249"/>
      <c r="BN177" s="265"/>
      <c r="BO177" s="222"/>
      <c r="BP177" s="222"/>
      <c r="BQ177" s="265"/>
      <c r="BR177" s="265"/>
      <c r="BS177" s="265"/>
      <c r="BT177" s="244"/>
      <c r="BU177" s="222"/>
      <c r="BV177" s="244"/>
      <c r="BW177" s="222"/>
    </row>
    <row r="178" spans="1:75" outlineLevel="1">
      <c r="A178" s="221">
        <v>88</v>
      </c>
      <c r="B178" s="222" t="str">
        <f>IF(LEN(D178)&gt;1,IF(VALUE(MID(RIGHT(D178,7),1,1))&gt;4,"외국인",IF(VALUE(RIGHT(11-MOD((MID(D178,1,1)*2+MID(D178,2,1)*3+MID(D178,3,1)*4+MID(D178,4,1)*5+MID(D178,5,1)*6+MID(D178,6,1)*7+MID(RIGHT(D178,7),1,1)*8+MID(RIGHT(D178,7),2,1)*9+MID(RIGHT(D178,7),3,1)*2+MID(RIGHT(D178,7),4,1)*3+MID(RIGHT(D178,7),5,1)*4+MID(RIGHT(D178,7),6,1)*5),11),1))=VALUE(RIGHT(D178,1)),"","오류")),"")</f>
        <v/>
      </c>
      <c r="C178" s="222"/>
      <c r="D178" s="225"/>
      <c r="E178" s="222"/>
      <c r="F178" s="222"/>
      <c r="G178" s="222"/>
      <c r="H178" s="266"/>
      <c r="I178" s="89"/>
      <c r="J178" s="90"/>
      <c r="K178" s="90"/>
      <c r="L178" s="90"/>
      <c r="M178" s="90"/>
      <c r="N178" s="90"/>
      <c r="O178" s="90"/>
      <c r="P178" s="90"/>
      <c r="Q178" s="90"/>
      <c r="R178" s="90"/>
      <c r="S178" s="91"/>
      <c r="T178" s="91"/>
      <c r="U178" s="90"/>
      <c r="V178" s="90"/>
      <c r="W178" s="92"/>
      <c r="X178" s="93"/>
      <c r="Y178" s="264">
        <f>SUM(I178:X179)</f>
        <v>0</v>
      </c>
      <c r="Z178" s="222">
        <f>COUNTIF(I178:X179,"&gt;0")</f>
        <v>0</v>
      </c>
      <c r="AA178" s="266">
        <f>H178*Y178</f>
        <v>0</v>
      </c>
      <c r="AB178" s="94">
        <f>IF(AO178&lt;1000, 0, AO178)</f>
        <v>0</v>
      </c>
      <c r="AC178" s="95">
        <f ca="1">IF(IFERROR($AN178&lt;65,FALSE), IF(B178&lt;&gt;"외국인", ROUNDDOWN(AA178*$AH$1%,-1), IF(AND(AM178&lt;&gt;"", ISNUMBER(SEARCH(LEFT(SUBSTITUTE(AM178, "-",""),2), "F2_F5_F6"))), ROUNDDOWN(AA178*$AH$1%,-1), 0)),0)</f>
        <v>0</v>
      </c>
      <c r="AD178" s="96">
        <f>IF(Z178&gt;=$AJ$1,ROUNDDOWN(AA178*$AH$2%,-1),0)</f>
        <v>0</v>
      </c>
      <c r="AE178" s="266">
        <f ca="1">AB178+AC178+AB179+AC179+AD178+AD179</f>
        <v>0</v>
      </c>
      <c r="AF178" s="266">
        <f ca="1">AA178-AE178</f>
        <v>0</v>
      </c>
      <c r="AG178" s="222"/>
      <c r="AH178" s="222"/>
      <c r="AI178" s="222"/>
      <c r="AJ178" s="222"/>
      <c r="AK178" s="250"/>
      <c r="AL178" s="250"/>
      <c r="AM178" s="251"/>
      <c r="AN178" s="252" t="str">
        <f ca="1">IFERROR(DATEDIF(DATE(IF(ISNUMBER(FIND(MID( SUBSTITUTE(D178, "-",""), 7, 1), "3478")), 2000, 1900)+MID(D178,1,2), MID(D178,3,2), MID(D178,5,2)), TODAY(), "Y"),"")</f>
        <v/>
      </c>
      <c r="AO178" s="266">
        <f>ROUNDDOWN(SUM(AP178:BE179),-1)</f>
        <v>0</v>
      </c>
      <c r="AP178" s="97">
        <f t="shared" ref="AP178:BD178" si="352">IF($H178*I178&gt;150000,ROUNDDOWN(($H178*I178-150000)*6%*45%,0),0)</f>
        <v>0</v>
      </c>
      <c r="AQ178" s="98">
        <f t="shared" si="352"/>
        <v>0</v>
      </c>
      <c r="AR178" s="98">
        <f t="shared" si="352"/>
        <v>0</v>
      </c>
      <c r="AS178" s="98">
        <f t="shared" si="352"/>
        <v>0</v>
      </c>
      <c r="AT178" s="98">
        <f t="shared" si="352"/>
        <v>0</v>
      </c>
      <c r="AU178" s="98">
        <f t="shared" si="352"/>
        <v>0</v>
      </c>
      <c r="AV178" s="98">
        <f t="shared" si="352"/>
        <v>0</v>
      </c>
      <c r="AW178" s="98">
        <f t="shared" si="352"/>
        <v>0</v>
      </c>
      <c r="AX178" s="98">
        <f t="shared" si="352"/>
        <v>0</v>
      </c>
      <c r="AY178" s="98">
        <f t="shared" si="352"/>
        <v>0</v>
      </c>
      <c r="AZ178" s="98">
        <f t="shared" si="352"/>
        <v>0</v>
      </c>
      <c r="BA178" s="98">
        <f t="shared" si="352"/>
        <v>0</v>
      </c>
      <c r="BB178" s="98">
        <f t="shared" si="352"/>
        <v>0</v>
      </c>
      <c r="BC178" s="98">
        <f t="shared" si="352"/>
        <v>0</v>
      </c>
      <c r="BD178" s="99">
        <f t="shared" si="352"/>
        <v>0</v>
      </c>
      <c r="BE178" s="100"/>
      <c r="BG178" s="222">
        <f t="shared" ref="BG178" si="353">C178</f>
        <v>0</v>
      </c>
      <c r="BH178" s="222"/>
      <c r="BI178" s="222"/>
      <c r="BJ178" s="248"/>
      <c r="BK178" s="265"/>
      <c r="BL178" s="222"/>
      <c r="BM178" s="249">
        <f t="shared" si="325"/>
        <v>0</v>
      </c>
      <c r="BN178" s="265"/>
      <c r="BO178" s="222"/>
      <c r="BP178" s="222"/>
      <c r="BQ178" s="265"/>
      <c r="BR178" s="265"/>
      <c r="BS178" s="265"/>
      <c r="BT178" s="244"/>
      <c r="BU178" s="222"/>
      <c r="BV178" s="244">
        <f t="shared" si="326"/>
        <v>0</v>
      </c>
      <c r="BW178" s="222"/>
    </row>
    <row r="179" spans="1:75" outlineLevel="1">
      <c r="A179" s="221"/>
      <c r="B179" s="222"/>
      <c r="C179" s="222"/>
      <c r="D179" s="225"/>
      <c r="E179" s="222"/>
      <c r="F179" s="222"/>
      <c r="G179" s="222"/>
      <c r="H179" s="266"/>
      <c r="I179" s="101"/>
      <c r="J179" s="102"/>
      <c r="K179" s="102"/>
      <c r="L179" s="102"/>
      <c r="M179" s="102"/>
      <c r="N179" s="102"/>
      <c r="O179" s="102"/>
      <c r="P179" s="102"/>
      <c r="Q179" s="102"/>
      <c r="R179" s="102"/>
      <c r="S179" s="102"/>
      <c r="T179" s="102"/>
      <c r="U179" s="102"/>
      <c r="V179" s="102"/>
      <c r="W179" s="102"/>
      <c r="X179" s="103"/>
      <c r="Y179" s="264"/>
      <c r="Z179" s="222"/>
      <c r="AA179" s="266"/>
      <c r="AB179" s="104">
        <f>ROUNDDOWN(AB178*10%,-1)</f>
        <v>0</v>
      </c>
      <c r="AC179" s="105">
        <f ca="1">IFERROR(IF(AND( OR(COUNTIF(I178:X179, "&gt;0")&gt;=$AJ$1, AA178&gt;=$AJ$4),AN178&lt;60,AA178&lt;=$AH$5),ROUNDDOWN(ROUNDDOWN(AA178,-3)*$AH$4%,-1),IF(AND(COUNTIF(I178:X179,"&gt;0")&gt;=$AJ$1,AN178&lt;60,AA178&gt;$AH$5),$AJ$5,0)),0)</f>
        <v>0</v>
      </c>
      <c r="AD179" s="106">
        <f>IF(Z178&gt;=$AJ$1,ROUNDDOWN(AD178*$AH$3%/($AH$2*2%),-1),0)</f>
        <v>0</v>
      </c>
      <c r="AE179" s="266"/>
      <c r="AF179" s="266"/>
      <c r="AG179" s="222"/>
      <c r="AH179" s="222"/>
      <c r="AI179" s="222"/>
      <c r="AJ179" s="222"/>
      <c r="AK179" s="250"/>
      <c r="AL179" s="250"/>
      <c r="AM179" s="251"/>
      <c r="AN179" s="252"/>
      <c r="AO179" s="266"/>
      <c r="AP179" s="107">
        <f t="shared" ref="AP179:BE179" si="354">IF($H178*I179&gt;150000,ROUNDDOWN(($H178*I179-150000)*6%*45%,0),0)</f>
        <v>0</v>
      </c>
      <c r="AQ179" s="108">
        <f t="shared" si="354"/>
        <v>0</v>
      </c>
      <c r="AR179" s="108">
        <f t="shared" si="354"/>
        <v>0</v>
      </c>
      <c r="AS179" s="108">
        <f t="shared" si="354"/>
        <v>0</v>
      </c>
      <c r="AT179" s="108">
        <f t="shared" si="354"/>
        <v>0</v>
      </c>
      <c r="AU179" s="108">
        <f t="shared" si="354"/>
        <v>0</v>
      </c>
      <c r="AV179" s="108">
        <f t="shared" si="354"/>
        <v>0</v>
      </c>
      <c r="AW179" s="108">
        <f t="shared" si="354"/>
        <v>0</v>
      </c>
      <c r="AX179" s="108">
        <f t="shared" si="354"/>
        <v>0</v>
      </c>
      <c r="AY179" s="108">
        <f t="shared" si="354"/>
        <v>0</v>
      </c>
      <c r="AZ179" s="108">
        <f t="shared" si="354"/>
        <v>0</v>
      </c>
      <c r="BA179" s="108">
        <f t="shared" si="354"/>
        <v>0</v>
      </c>
      <c r="BB179" s="108">
        <f t="shared" si="354"/>
        <v>0</v>
      </c>
      <c r="BC179" s="108">
        <f t="shared" si="354"/>
        <v>0</v>
      </c>
      <c r="BD179" s="108">
        <f t="shared" si="354"/>
        <v>0</v>
      </c>
      <c r="BE179" s="109">
        <f t="shared" si="354"/>
        <v>0</v>
      </c>
      <c r="BG179" s="222"/>
      <c r="BH179" s="222"/>
      <c r="BI179" s="222"/>
      <c r="BJ179" s="248"/>
      <c r="BK179" s="265"/>
      <c r="BL179" s="222"/>
      <c r="BM179" s="249"/>
      <c r="BN179" s="265"/>
      <c r="BO179" s="222"/>
      <c r="BP179" s="222"/>
      <c r="BQ179" s="265"/>
      <c r="BR179" s="265"/>
      <c r="BS179" s="265"/>
      <c r="BT179" s="244"/>
      <c r="BU179" s="222"/>
      <c r="BV179" s="244"/>
      <c r="BW179" s="222"/>
    </row>
    <row r="180" spans="1:75" outlineLevel="1">
      <c r="A180" s="221">
        <v>89</v>
      </c>
      <c r="B180" s="222" t="str">
        <f>IF(LEN(D180)&gt;1,IF(VALUE(MID(RIGHT(D180,7),1,1))&gt;4,"외국인",IF(VALUE(RIGHT(11-MOD((MID(D180,1,1)*2+MID(D180,2,1)*3+MID(D180,3,1)*4+MID(D180,4,1)*5+MID(D180,5,1)*6+MID(D180,6,1)*7+MID(RIGHT(D180,7),1,1)*8+MID(RIGHT(D180,7),2,1)*9+MID(RIGHT(D180,7),3,1)*2+MID(RIGHT(D180,7),4,1)*3+MID(RIGHT(D180,7),5,1)*4+MID(RIGHT(D180,7),6,1)*5),11),1))=VALUE(RIGHT(D180,1)),"","오류")),"")</f>
        <v/>
      </c>
      <c r="C180" s="222"/>
      <c r="D180" s="225"/>
      <c r="E180" s="222"/>
      <c r="F180" s="222"/>
      <c r="G180" s="222"/>
      <c r="H180" s="266"/>
      <c r="I180" s="89"/>
      <c r="J180" s="90"/>
      <c r="K180" s="90"/>
      <c r="L180" s="90"/>
      <c r="M180" s="90"/>
      <c r="N180" s="90"/>
      <c r="O180" s="90"/>
      <c r="P180" s="90"/>
      <c r="Q180" s="90"/>
      <c r="R180" s="90"/>
      <c r="S180" s="91"/>
      <c r="T180" s="91"/>
      <c r="U180" s="90"/>
      <c r="V180" s="90"/>
      <c r="W180" s="92"/>
      <c r="X180" s="93"/>
      <c r="Y180" s="264">
        <f>SUM(I180:X181)</f>
        <v>0</v>
      </c>
      <c r="Z180" s="222">
        <f>COUNTIF(I180:X181,"&gt;0")</f>
        <v>0</v>
      </c>
      <c r="AA180" s="266">
        <f>H180*Y180</f>
        <v>0</v>
      </c>
      <c r="AB180" s="94">
        <f>IF(AO180&lt;1000, 0, AO180)</f>
        <v>0</v>
      </c>
      <c r="AC180" s="95">
        <f ca="1">IF(IFERROR($AN180&lt;65,FALSE), IF(B180&lt;&gt;"외국인", ROUNDDOWN(AA180*$AH$1%,-1), IF(AND(AM180&lt;&gt;"", ISNUMBER(SEARCH(LEFT(SUBSTITUTE(AM180, "-",""),2), "F2_F5_F6"))), ROUNDDOWN(AA180*$AH$1%,-1), 0)),0)</f>
        <v>0</v>
      </c>
      <c r="AD180" s="96">
        <f>IF(Z180&gt;=$AJ$1,ROUNDDOWN(AA180*$AH$2%,-1),0)</f>
        <v>0</v>
      </c>
      <c r="AE180" s="266">
        <f ca="1">AB180+AC180+AB181+AC181+AD180+AD181</f>
        <v>0</v>
      </c>
      <c r="AF180" s="266">
        <f ca="1">AA180-AE180</f>
        <v>0</v>
      </c>
      <c r="AG180" s="222"/>
      <c r="AH180" s="222"/>
      <c r="AI180" s="222"/>
      <c r="AJ180" s="222"/>
      <c r="AK180" s="250"/>
      <c r="AL180" s="250"/>
      <c r="AM180" s="251"/>
      <c r="AN180" s="252" t="str">
        <f ca="1">IFERROR(DATEDIF(DATE(IF(ISNUMBER(FIND(MID( SUBSTITUTE(D180, "-",""), 7, 1), "3478")), 2000, 1900)+MID(D180,1,2), MID(D180,3,2), MID(D180,5,2)), TODAY(), "Y"),"")</f>
        <v/>
      </c>
      <c r="AO180" s="266">
        <f>ROUNDDOWN(SUM(AP180:BE181),-1)</f>
        <v>0</v>
      </c>
      <c r="AP180" s="97">
        <f t="shared" ref="AP180:BD180" si="355">IF($H180*I180&gt;150000,ROUNDDOWN(($H180*I180-150000)*6%*45%,0),0)</f>
        <v>0</v>
      </c>
      <c r="AQ180" s="98">
        <f t="shared" si="355"/>
        <v>0</v>
      </c>
      <c r="AR180" s="98">
        <f t="shared" si="355"/>
        <v>0</v>
      </c>
      <c r="AS180" s="98">
        <f t="shared" si="355"/>
        <v>0</v>
      </c>
      <c r="AT180" s="98">
        <f t="shared" si="355"/>
        <v>0</v>
      </c>
      <c r="AU180" s="98">
        <f t="shared" si="355"/>
        <v>0</v>
      </c>
      <c r="AV180" s="98">
        <f t="shared" si="355"/>
        <v>0</v>
      </c>
      <c r="AW180" s="98">
        <f t="shared" si="355"/>
        <v>0</v>
      </c>
      <c r="AX180" s="98">
        <f t="shared" si="355"/>
        <v>0</v>
      </c>
      <c r="AY180" s="98">
        <f t="shared" si="355"/>
        <v>0</v>
      </c>
      <c r="AZ180" s="98">
        <f t="shared" si="355"/>
        <v>0</v>
      </c>
      <c r="BA180" s="98">
        <f t="shared" si="355"/>
        <v>0</v>
      </c>
      <c r="BB180" s="98">
        <f t="shared" si="355"/>
        <v>0</v>
      </c>
      <c r="BC180" s="98">
        <f t="shared" si="355"/>
        <v>0</v>
      </c>
      <c r="BD180" s="99">
        <f t="shared" si="355"/>
        <v>0</v>
      </c>
      <c r="BE180" s="100"/>
      <c r="BG180" s="222">
        <f t="shared" ref="BG180" si="356">C180</f>
        <v>0</v>
      </c>
      <c r="BH180" s="222"/>
      <c r="BI180" s="222"/>
      <c r="BJ180" s="269"/>
      <c r="BK180" s="265"/>
      <c r="BL180" s="222"/>
      <c r="BM180" s="249">
        <f t="shared" si="325"/>
        <v>0</v>
      </c>
      <c r="BN180" s="265"/>
      <c r="BO180" s="222"/>
      <c r="BP180" s="222"/>
      <c r="BQ180" s="265"/>
      <c r="BR180" s="265"/>
      <c r="BS180" s="265"/>
      <c r="BT180" s="244"/>
      <c r="BU180" s="222"/>
      <c r="BV180" s="244">
        <f t="shared" si="326"/>
        <v>0</v>
      </c>
      <c r="BW180" s="222"/>
    </row>
    <row r="181" spans="1:75" outlineLevel="1">
      <c r="A181" s="221"/>
      <c r="B181" s="222"/>
      <c r="C181" s="222"/>
      <c r="D181" s="225"/>
      <c r="E181" s="222"/>
      <c r="F181" s="222"/>
      <c r="G181" s="222"/>
      <c r="H181" s="266"/>
      <c r="I181" s="101"/>
      <c r="J181" s="102"/>
      <c r="K181" s="102"/>
      <c r="L181" s="102"/>
      <c r="M181" s="102"/>
      <c r="N181" s="102"/>
      <c r="O181" s="102"/>
      <c r="P181" s="102"/>
      <c r="Q181" s="102"/>
      <c r="R181" s="102"/>
      <c r="S181" s="102"/>
      <c r="T181" s="102"/>
      <c r="U181" s="102"/>
      <c r="V181" s="102"/>
      <c r="W181" s="102"/>
      <c r="X181" s="103"/>
      <c r="Y181" s="264"/>
      <c r="Z181" s="222"/>
      <c r="AA181" s="266"/>
      <c r="AB181" s="104">
        <f>ROUNDDOWN(AB180*10%,-1)</f>
        <v>0</v>
      </c>
      <c r="AC181" s="105">
        <f ca="1">IFERROR(IF(AND( OR(COUNTIF(I180:X181, "&gt;0")&gt;=$AJ$1, AA180&gt;=$AJ$4),AN180&lt;60,AA180&lt;=$AH$5),ROUNDDOWN(ROUNDDOWN(AA180,-3)*$AH$4%,-1),IF(AND(COUNTIF(I180:X181,"&gt;0")&gt;=$AJ$1,AN180&lt;60,AA180&gt;$AH$5),$AJ$5,0)),0)</f>
        <v>0</v>
      </c>
      <c r="AD181" s="106">
        <f>IF(Z180&gt;=$AJ$1,ROUNDDOWN(AD180*$AH$3%/($AH$2*2%),-1),0)</f>
        <v>0</v>
      </c>
      <c r="AE181" s="266"/>
      <c r="AF181" s="266"/>
      <c r="AG181" s="222"/>
      <c r="AH181" s="222"/>
      <c r="AI181" s="222"/>
      <c r="AJ181" s="222"/>
      <c r="AK181" s="250"/>
      <c r="AL181" s="250"/>
      <c r="AM181" s="251"/>
      <c r="AN181" s="252"/>
      <c r="AO181" s="266"/>
      <c r="AP181" s="107">
        <f t="shared" ref="AP181:BE181" si="357">IF($H180*I181&gt;150000,ROUNDDOWN(($H180*I181-150000)*6%*45%,0),0)</f>
        <v>0</v>
      </c>
      <c r="AQ181" s="108">
        <f t="shared" si="357"/>
        <v>0</v>
      </c>
      <c r="AR181" s="108">
        <f t="shared" si="357"/>
        <v>0</v>
      </c>
      <c r="AS181" s="108">
        <f t="shared" si="357"/>
        <v>0</v>
      </c>
      <c r="AT181" s="108">
        <f t="shared" si="357"/>
        <v>0</v>
      </c>
      <c r="AU181" s="108">
        <f t="shared" si="357"/>
        <v>0</v>
      </c>
      <c r="AV181" s="108">
        <f t="shared" si="357"/>
        <v>0</v>
      </c>
      <c r="AW181" s="108">
        <f t="shared" si="357"/>
        <v>0</v>
      </c>
      <c r="AX181" s="108">
        <f t="shared" si="357"/>
        <v>0</v>
      </c>
      <c r="AY181" s="108">
        <f t="shared" si="357"/>
        <v>0</v>
      </c>
      <c r="AZ181" s="108">
        <f t="shared" si="357"/>
        <v>0</v>
      </c>
      <c r="BA181" s="108">
        <f t="shared" si="357"/>
        <v>0</v>
      </c>
      <c r="BB181" s="108">
        <f t="shared" si="357"/>
        <v>0</v>
      </c>
      <c r="BC181" s="108">
        <f t="shared" si="357"/>
        <v>0</v>
      </c>
      <c r="BD181" s="108">
        <f t="shared" si="357"/>
        <v>0</v>
      </c>
      <c r="BE181" s="109">
        <f t="shared" si="357"/>
        <v>0</v>
      </c>
      <c r="BG181" s="222"/>
      <c r="BH181" s="222"/>
      <c r="BI181" s="222"/>
      <c r="BJ181" s="269"/>
      <c r="BK181" s="265"/>
      <c r="BL181" s="222"/>
      <c r="BM181" s="249"/>
      <c r="BN181" s="265"/>
      <c r="BO181" s="222"/>
      <c r="BP181" s="222"/>
      <c r="BQ181" s="265"/>
      <c r="BR181" s="265"/>
      <c r="BS181" s="265"/>
      <c r="BT181" s="244"/>
      <c r="BU181" s="222"/>
      <c r="BV181" s="244"/>
      <c r="BW181" s="222"/>
    </row>
    <row r="182" spans="1:75" outlineLevel="1">
      <c r="A182" s="221">
        <v>90</v>
      </c>
      <c r="B182" s="222" t="str">
        <f>IF(LEN(D182)&gt;1,IF(VALUE(MID(RIGHT(D182,7),1,1))&gt;4,"외국인",IF(VALUE(RIGHT(11-MOD((MID(D182,1,1)*2+MID(D182,2,1)*3+MID(D182,3,1)*4+MID(D182,4,1)*5+MID(D182,5,1)*6+MID(D182,6,1)*7+MID(RIGHT(D182,7),1,1)*8+MID(RIGHT(D182,7),2,1)*9+MID(RIGHT(D182,7),3,1)*2+MID(RIGHT(D182,7),4,1)*3+MID(RIGHT(D182,7),5,1)*4+MID(RIGHT(D182,7),6,1)*5),11),1))=VALUE(RIGHT(D182,1)),"","오류")),"")</f>
        <v/>
      </c>
      <c r="C182" s="222"/>
      <c r="D182" s="225"/>
      <c r="E182" s="222"/>
      <c r="F182" s="222"/>
      <c r="G182" s="222"/>
      <c r="H182" s="266"/>
      <c r="I182" s="89"/>
      <c r="J182" s="90"/>
      <c r="K182" s="90"/>
      <c r="L182" s="90"/>
      <c r="M182" s="90"/>
      <c r="N182" s="90"/>
      <c r="O182" s="90"/>
      <c r="P182" s="90"/>
      <c r="Q182" s="90"/>
      <c r="R182" s="90"/>
      <c r="S182" s="91"/>
      <c r="T182" s="91"/>
      <c r="U182" s="90"/>
      <c r="V182" s="90"/>
      <c r="W182" s="92"/>
      <c r="X182" s="93"/>
      <c r="Y182" s="264">
        <f>SUM(I182:X183)</f>
        <v>0</v>
      </c>
      <c r="Z182" s="222">
        <f>COUNTIF(I182:X183,"&gt;0")</f>
        <v>0</v>
      </c>
      <c r="AA182" s="266">
        <f>H182*Y182</f>
        <v>0</v>
      </c>
      <c r="AB182" s="94">
        <f>IF(AO182&lt;1000, 0, AO182)</f>
        <v>0</v>
      </c>
      <c r="AC182" s="95">
        <f ca="1">IF(IFERROR($AN182&lt;65,FALSE), IF(B182&lt;&gt;"외국인", ROUNDDOWN(AA182*$AH$1%,-1), IF(AND(AM182&lt;&gt;"", ISNUMBER(SEARCH(LEFT(SUBSTITUTE(AM182, "-",""),2), "F2_F5_F6"))), ROUNDDOWN(AA182*$AH$1%,-1), 0)),0)</f>
        <v>0</v>
      </c>
      <c r="AD182" s="96">
        <f>IF(Z182&gt;=$AJ$1,ROUNDDOWN(AA182*$AH$2%,-1),0)</f>
        <v>0</v>
      </c>
      <c r="AE182" s="266">
        <f ca="1">AB182+AC182+AB183+AC183+AD182+AD183</f>
        <v>0</v>
      </c>
      <c r="AF182" s="266">
        <f ca="1">AA182-AE182</f>
        <v>0</v>
      </c>
      <c r="AG182" s="222"/>
      <c r="AH182" s="222"/>
      <c r="AI182" s="222"/>
      <c r="AJ182" s="222"/>
      <c r="AK182" s="250"/>
      <c r="AL182" s="250"/>
      <c r="AM182" s="251"/>
      <c r="AN182" s="252" t="str">
        <f ca="1">IFERROR(DATEDIF(DATE(IF(ISNUMBER(FIND(MID( SUBSTITUTE(D182, "-",""), 7, 1), "3478")), 2000, 1900)+MID(D182,1,2), MID(D182,3,2), MID(D182,5,2)), TODAY(), "Y"),"")</f>
        <v/>
      </c>
      <c r="AO182" s="266">
        <f>ROUNDDOWN(SUM(AP182:BE183),-1)</f>
        <v>0</v>
      </c>
      <c r="AP182" s="97">
        <f t="shared" ref="AP182:BD182" si="358">IF($H182*I182&gt;150000,ROUNDDOWN(($H182*I182-150000)*6%*45%,0),0)</f>
        <v>0</v>
      </c>
      <c r="AQ182" s="98">
        <f t="shared" si="358"/>
        <v>0</v>
      </c>
      <c r="AR182" s="98">
        <f t="shared" si="358"/>
        <v>0</v>
      </c>
      <c r="AS182" s="98">
        <f t="shared" si="358"/>
        <v>0</v>
      </c>
      <c r="AT182" s="98">
        <f t="shared" si="358"/>
        <v>0</v>
      </c>
      <c r="AU182" s="98">
        <f t="shared" si="358"/>
        <v>0</v>
      </c>
      <c r="AV182" s="98">
        <f t="shared" si="358"/>
        <v>0</v>
      </c>
      <c r="AW182" s="98">
        <f t="shared" si="358"/>
        <v>0</v>
      </c>
      <c r="AX182" s="98">
        <f t="shared" si="358"/>
        <v>0</v>
      </c>
      <c r="AY182" s="98">
        <f t="shared" si="358"/>
        <v>0</v>
      </c>
      <c r="AZ182" s="98">
        <f t="shared" si="358"/>
        <v>0</v>
      </c>
      <c r="BA182" s="98">
        <f t="shared" si="358"/>
        <v>0</v>
      </c>
      <c r="BB182" s="98">
        <f t="shared" si="358"/>
        <v>0</v>
      </c>
      <c r="BC182" s="98">
        <f t="shared" si="358"/>
        <v>0</v>
      </c>
      <c r="BD182" s="99">
        <f t="shared" si="358"/>
        <v>0</v>
      </c>
      <c r="BE182" s="100"/>
      <c r="BG182" s="222">
        <f t="shared" ref="BG182" si="359">C182</f>
        <v>0</v>
      </c>
      <c r="BH182" s="222"/>
      <c r="BI182" s="222"/>
      <c r="BJ182" s="248"/>
      <c r="BK182" s="265"/>
      <c r="BL182" s="222"/>
      <c r="BM182" s="249">
        <f t="shared" si="325"/>
        <v>0</v>
      </c>
      <c r="BN182" s="265"/>
      <c r="BO182" s="222"/>
      <c r="BP182" s="222"/>
      <c r="BQ182" s="265"/>
      <c r="BR182" s="265"/>
      <c r="BS182" s="265"/>
      <c r="BT182" s="244"/>
      <c r="BU182" s="222"/>
      <c r="BV182" s="244">
        <f t="shared" si="326"/>
        <v>0</v>
      </c>
      <c r="BW182" s="222"/>
    </row>
    <row r="183" spans="1:75" outlineLevel="1">
      <c r="A183" s="221"/>
      <c r="B183" s="222"/>
      <c r="C183" s="222"/>
      <c r="D183" s="225"/>
      <c r="E183" s="222"/>
      <c r="F183" s="222"/>
      <c r="G183" s="222"/>
      <c r="H183" s="266"/>
      <c r="I183" s="101"/>
      <c r="J183" s="102"/>
      <c r="K183" s="102"/>
      <c r="L183" s="102"/>
      <c r="M183" s="102"/>
      <c r="N183" s="102"/>
      <c r="O183" s="102"/>
      <c r="P183" s="102"/>
      <c r="Q183" s="102"/>
      <c r="R183" s="102"/>
      <c r="S183" s="102"/>
      <c r="T183" s="102"/>
      <c r="U183" s="102"/>
      <c r="V183" s="102"/>
      <c r="W183" s="102"/>
      <c r="X183" s="103"/>
      <c r="Y183" s="264"/>
      <c r="Z183" s="222"/>
      <c r="AA183" s="266"/>
      <c r="AB183" s="104">
        <f>ROUNDDOWN(AB182*10%,-1)</f>
        <v>0</v>
      </c>
      <c r="AC183" s="105">
        <f ca="1">IFERROR(IF(AND( OR(COUNTIF(I182:X183, "&gt;0")&gt;=$AJ$1, AA182&gt;=$AJ$4),AN182&lt;60,AA182&lt;=$AH$5),ROUNDDOWN(ROUNDDOWN(AA182,-3)*$AH$4%,-1),IF(AND(COUNTIF(I182:X183,"&gt;0")&gt;=$AJ$1,AN182&lt;60,AA182&gt;$AH$5),$AJ$5,0)),0)</f>
        <v>0</v>
      </c>
      <c r="AD183" s="106">
        <f>IF(Z182&gt;=$AJ$1,ROUNDDOWN(AD182*$AH$3%/($AH$2*2%),-1),0)</f>
        <v>0</v>
      </c>
      <c r="AE183" s="266"/>
      <c r="AF183" s="266"/>
      <c r="AG183" s="222"/>
      <c r="AH183" s="222"/>
      <c r="AI183" s="222"/>
      <c r="AJ183" s="222"/>
      <c r="AK183" s="250"/>
      <c r="AL183" s="250"/>
      <c r="AM183" s="251"/>
      <c r="AN183" s="252"/>
      <c r="AO183" s="266"/>
      <c r="AP183" s="107">
        <f t="shared" ref="AP183:BE183" si="360">IF($H182*I183&gt;150000,ROUNDDOWN(($H182*I183-150000)*6%*45%,0),0)</f>
        <v>0</v>
      </c>
      <c r="AQ183" s="108">
        <f t="shared" si="360"/>
        <v>0</v>
      </c>
      <c r="AR183" s="108">
        <f t="shared" si="360"/>
        <v>0</v>
      </c>
      <c r="AS183" s="108">
        <f t="shared" si="360"/>
        <v>0</v>
      </c>
      <c r="AT183" s="108">
        <f t="shared" si="360"/>
        <v>0</v>
      </c>
      <c r="AU183" s="108">
        <f t="shared" si="360"/>
        <v>0</v>
      </c>
      <c r="AV183" s="108">
        <f t="shared" si="360"/>
        <v>0</v>
      </c>
      <c r="AW183" s="108">
        <f t="shared" si="360"/>
        <v>0</v>
      </c>
      <c r="AX183" s="108">
        <f t="shared" si="360"/>
        <v>0</v>
      </c>
      <c r="AY183" s="108">
        <f t="shared" si="360"/>
        <v>0</v>
      </c>
      <c r="AZ183" s="108">
        <f t="shared" si="360"/>
        <v>0</v>
      </c>
      <c r="BA183" s="108">
        <f t="shared" si="360"/>
        <v>0</v>
      </c>
      <c r="BB183" s="108">
        <f t="shared" si="360"/>
        <v>0</v>
      </c>
      <c r="BC183" s="108">
        <f t="shared" si="360"/>
        <v>0</v>
      </c>
      <c r="BD183" s="108">
        <f t="shared" si="360"/>
        <v>0</v>
      </c>
      <c r="BE183" s="109">
        <f t="shared" si="360"/>
        <v>0</v>
      </c>
      <c r="BG183" s="222"/>
      <c r="BH183" s="222"/>
      <c r="BI183" s="222"/>
      <c r="BJ183" s="248"/>
      <c r="BK183" s="265"/>
      <c r="BL183" s="222"/>
      <c r="BM183" s="249"/>
      <c r="BN183" s="265"/>
      <c r="BO183" s="222"/>
      <c r="BP183" s="222"/>
      <c r="BQ183" s="265"/>
      <c r="BR183" s="265"/>
      <c r="BS183" s="265"/>
      <c r="BT183" s="244"/>
      <c r="BU183" s="222"/>
      <c r="BV183" s="244"/>
      <c r="BW183" s="222"/>
    </row>
    <row r="184" spans="1:75" outlineLevel="1">
      <c r="A184" s="221">
        <v>91</v>
      </c>
      <c r="B184" s="222" t="str">
        <f>IF(LEN(D184)&gt;1,IF(VALUE(MID(RIGHT(D184,7),1,1))&gt;4,"외국인",IF(VALUE(RIGHT(11-MOD((MID(D184,1,1)*2+MID(D184,2,1)*3+MID(D184,3,1)*4+MID(D184,4,1)*5+MID(D184,5,1)*6+MID(D184,6,1)*7+MID(RIGHT(D184,7),1,1)*8+MID(RIGHT(D184,7),2,1)*9+MID(RIGHT(D184,7),3,1)*2+MID(RIGHT(D184,7),4,1)*3+MID(RIGHT(D184,7),5,1)*4+MID(RIGHT(D184,7),6,1)*5),11),1))=VALUE(RIGHT(D184,1)),"","오류")),"")</f>
        <v/>
      </c>
      <c r="C184" s="222"/>
      <c r="D184" s="225"/>
      <c r="E184" s="222"/>
      <c r="F184" s="222"/>
      <c r="G184" s="222"/>
      <c r="H184" s="266"/>
      <c r="I184" s="89"/>
      <c r="J184" s="90"/>
      <c r="K184" s="90"/>
      <c r="L184" s="90"/>
      <c r="M184" s="90"/>
      <c r="N184" s="90"/>
      <c r="O184" s="90"/>
      <c r="P184" s="90"/>
      <c r="Q184" s="90"/>
      <c r="R184" s="90"/>
      <c r="S184" s="91"/>
      <c r="T184" s="91"/>
      <c r="U184" s="90"/>
      <c r="V184" s="90"/>
      <c r="W184" s="92"/>
      <c r="X184" s="93"/>
      <c r="Y184" s="264">
        <f>SUM(I184:X185)</f>
        <v>0</v>
      </c>
      <c r="Z184" s="222">
        <f>COUNTIF(I184:X185,"&gt;0")</f>
        <v>0</v>
      </c>
      <c r="AA184" s="266">
        <f>H184*Y184</f>
        <v>0</v>
      </c>
      <c r="AB184" s="94">
        <f>IF(AO184&lt;1000, 0, AO184)</f>
        <v>0</v>
      </c>
      <c r="AC184" s="95">
        <f ca="1">IF(IFERROR($AN184&lt;65,FALSE), IF(B184&lt;&gt;"외국인", ROUNDDOWN(AA184*$AH$1%,-1), IF(AND(AM184&lt;&gt;"", ISNUMBER(SEARCH(LEFT(SUBSTITUTE(AM184, "-",""),2), "F2_F5_F6"))), ROUNDDOWN(AA184*$AH$1%,-1), 0)),0)</f>
        <v>0</v>
      </c>
      <c r="AD184" s="96">
        <f>IF(Z184&gt;=$AJ$1,ROUNDDOWN(AA184*$AH$2%,-1),0)</f>
        <v>0</v>
      </c>
      <c r="AE184" s="266">
        <f ca="1">AB184+AC184+AB185+AC185+AD184+AD185</f>
        <v>0</v>
      </c>
      <c r="AF184" s="266">
        <f ca="1">AA184-AE184</f>
        <v>0</v>
      </c>
      <c r="AG184" s="222"/>
      <c r="AH184" s="222"/>
      <c r="AI184" s="222"/>
      <c r="AJ184" s="222"/>
      <c r="AK184" s="250"/>
      <c r="AL184" s="250"/>
      <c r="AM184" s="251"/>
      <c r="AN184" s="252" t="str">
        <f ca="1">IFERROR(DATEDIF(DATE(IF(ISNUMBER(FIND(MID( SUBSTITUTE(D184, "-",""), 7, 1), "3478")), 2000, 1900)+MID(D184,1,2), MID(D184,3,2), MID(D184,5,2)), TODAY(), "Y"),"")</f>
        <v/>
      </c>
      <c r="AO184" s="266">
        <f>ROUNDDOWN(SUM(AP184:BE185),-1)</f>
        <v>0</v>
      </c>
      <c r="AP184" s="97">
        <f t="shared" ref="AP184:BD184" si="361">IF($H184*I184&gt;150000,ROUNDDOWN(($H184*I184-150000)*6%*45%,0),0)</f>
        <v>0</v>
      </c>
      <c r="AQ184" s="98">
        <f t="shared" si="361"/>
        <v>0</v>
      </c>
      <c r="AR184" s="98">
        <f t="shared" si="361"/>
        <v>0</v>
      </c>
      <c r="AS184" s="98">
        <f t="shared" si="361"/>
        <v>0</v>
      </c>
      <c r="AT184" s="98">
        <f t="shared" si="361"/>
        <v>0</v>
      </c>
      <c r="AU184" s="98">
        <f t="shared" si="361"/>
        <v>0</v>
      </c>
      <c r="AV184" s="98">
        <f t="shared" si="361"/>
        <v>0</v>
      </c>
      <c r="AW184" s="98">
        <f t="shared" si="361"/>
        <v>0</v>
      </c>
      <c r="AX184" s="98">
        <f t="shared" si="361"/>
        <v>0</v>
      </c>
      <c r="AY184" s="98">
        <f t="shared" si="361"/>
        <v>0</v>
      </c>
      <c r="AZ184" s="98">
        <f t="shared" si="361"/>
        <v>0</v>
      </c>
      <c r="BA184" s="98">
        <f t="shared" si="361"/>
        <v>0</v>
      </c>
      <c r="BB184" s="98">
        <f t="shared" si="361"/>
        <v>0</v>
      </c>
      <c r="BC184" s="98">
        <f t="shared" si="361"/>
        <v>0</v>
      </c>
      <c r="BD184" s="99">
        <f t="shared" si="361"/>
        <v>0</v>
      </c>
      <c r="BE184" s="100"/>
      <c r="BG184" s="222">
        <f t="shared" ref="BG184" si="362">C184</f>
        <v>0</v>
      </c>
      <c r="BH184" s="222"/>
      <c r="BI184" s="222"/>
      <c r="BJ184" s="248"/>
      <c r="BK184" s="265"/>
      <c r="BL184" s="222"/>
      <c r="BM184" s="249">
        <f t="shared" si="325"/>
        <v>0</v>
      </c>
      <c r="BN184" s="265"/>
      <c r="BO184" s="222"/>
      <c r="BP184" s="222"/>
      <c r="BQ184" s="265"/>
      <c r="BR184" s="265"/>
      <c r="BS184" s="265"/>
      <c r="BT184" s="244"/>
      <c r="BU184" s="222"/>
      <c r="BV184" s="244">
        <f t="shared" si="326"/>
        <v>0</v>
      </c>
      <c r="BW184" s="222"/>
    </row>
    <row r="185" spans="1:75" outlineLevel="1">
      <c r="A185" s="221"/>
      <c r="B185" s="222"/>
      <c r="C185" s="222"/>
      <c r="D185" s="225"/>
      <c r="E185" s="222"/>
      <c r="F185" s="222"/>
      <c r="G185" s="222"/>
      <c r="H185" s="266"/>
      <c r="I185" s="101"/>
      <c r="J185" s="102"/>
      <c r="K185" s="102"/>
      <c r="L185" s="102"/>
      <c r="M185" s="102"/>
      <c r="N185" s="102"/>
      <c r="O185" s="102"/>
      <c r="P185" s="102"/>
      <c r="Q185" s="102"/>
      <c r="R185" s="102"/>
      <c r="S185" s="102"/>
      <c r="T185" s="102"/>
      <c r="U185" s="102"/>
      <c r="V185" s="102"/>
      <c r="W185" s="102"/>
      <c r="X185" s="103"/>
      <c r="Y185" s="264"/>
      <c r="Z185" s="222"/>
      <c r="AA185" s="266"/>
      <c r="AB185" s="104">
        <f>ROUNDDOWN(AB184*10%,-1)</f>
        <v>0</v>
      </c>
      <c r="AC185" s="105">
        <f ca="1">IFERROR(IF(AND( OR(COUNTIF(I184:X185, "&gt;0")&gt;=$AJ$1, AA184&gt;=$AJ$4),AN184&lt;60,AA184&lt;=$AH$5),ROUNDDOWN(ROUNDDOWN(AA184,-3)*$AH$4%,-1),IF(AND(COUNTIF(I184:X185,"&gt;0")&gt;=$AJ$1,AN184&lt;60,AA184&gt;$AH$5),$AJ$5,0)),0)</f>
        <v>0</v>
      </c>
      <c r="AD185" s="106">
        <f>IF(Z184&gt;=$AJ$1,ROUNDDOWN(AD184*$AH$3%/($AH$2*2%),-1),0)</f>
        <v>0</v>
      </c>
      <c r="AE185" s="266"/>
      <c r="AF185" s="266"/>
      <c r="AG185" s="222"/>
      <c r="AH185" s="222"/>
      <c r="AI185" s="222"/>
      <c r="AJ185" s="222"/>
      <c r="AK185" s="250"/>
      <c r="AL185" s="250"/>
      <c r="AM185" s="251"/>
      <c r="AN185" s="252"/>
      <c r="AO185" s="266"/>
      <c r="AP185" s="107">
        <f t="shared" ref="AP185:BE185" si="363">IF($H184*I185&gt;150000,ROUNDDOWN(($H184*I185-150000)*6%*45%,0),0)</f>
        <v>0</v>
      </c>
      <c r="AQ185" s="108">
        <f t="shared" si="363"/>
        <v>0</v>
      </c>
      <c r="AR185" s="108">
        <f t="shared" si="363"/>
        <v>0</v>
      </c>
      <c r="AS185" s="108">
        <f t="shared" si="363"/>
        <v>0</v>
      </c>
      <c r="AT185" s="108">
        <f t="shared" si="363"/>
        <v>0</v>
      </c>
      <c r="AU185" s="108">
        <f t="shared" si="363"/>
        <v>0</v>
      </c>
      <c r="AV185" s="108">
        <f t="shared" si="363"/>
        <v>0</v>
      </c>
      <c r="AW185" s="108">
        <f t="shared" si="363"/>
        <v>0</v>
      </c>
      <c r="AX185" s="108">
        <f t="shared" si="363"/>
        <v>0</v>
      </c>
      <c r="AY185" s="108">
        <f t="shared" si="363"/>
        <v>0</v>
      </c>
      <c r="AZ185" s="108">
        <f t="shared" si="363"/>
        <v>0</v>
      </c>
      <c r="BA185" s="108">
        <f t="shared" si="363"/>
        <v>0</v>
      </c>
      <c r="BB185" s="108">
        <f t="shared" si="363"/>
        <v>0</v>
      </c>
      <c r="BC185" s="108">
        <f t="shared" si="363"/>
        <v>0</v>
      </c>
      <c r="BD185" s="108">
        <f t="shared" si="363"/>
        <v>0</v>
      </c>
      <c r="BE185" s="109">
        <f t="shared" si="363"/>
        <v>0</v>
      </c>
      <c r="BG185" s="222"/>
      <c r="BH185" s="222"/>
      <c r="BI185" s="222"/>
      <c r="BJ185" s="248"/>
      <c r="BK185" s="265"/>
      <c r="BL185" s="222"/>
      <c r="BM185" s="249"/>
      <c r="BN185" s="265"/>
      <c r="BO185" s="222"/>
      <c r="BP185" s="222"/>
      <c r="BQ185" s="265"/>
      <c r="BR185" s="265"/>
      <c r="BS185" s="265"/>
      <c r="BT185" s="244"/>
      <c r="BU185" s="222"/>
      <c r="BV185" s="244"/>
      <c r="BW185" s="222"/>
    </row>
    <row r="186" spans="1:75" outlineLevel="1">
      <c r="A186" s="221">
        <v>92</v>
      </c>
      <c r="B186" s="222" t="str">
        <f>IF(LEN(D186)&gt;1,IF(VALUE(MID(RIGHT(D186,7),1,1))&gt;4,"외국인",IF(VALUE(RIGHT(11-MOD((MID(D186,1,1)*2+MID(D186,2,1)*3+MID(D186,3,1)*4+MID(D186,4,1)*5+MID(D186,5,1)*6+MID(D186,6,1)*7+MID(RIGHT(D186,7),1,1)*8+MID(RIGHT(D186,7),2,1)*9+MID(RIGHT(D186,7),3,1)*2+MID(RIGHT(D186,7),4,1)*3+MID(RIGHT(D186,7),5,1)*4+MID(RIGHT(D186,7),6,1)*5),11),1))=VALUE(RIGHT(D186,1)),"","오류")),"")</f>
        <v/>
      </c>
      <c r="C186" s="222"/>
      <c r="D186" s="225"/>
      <c r="E186" s="222"/>
      <c r="F186" s="222"/>
      <c r="G186" s="222"/>
      <c r="H186" s="266"/>
      <c r="I186" s="89"/>
      <c r="J186" s="90"/>
      <c r="K186" s="90"/>
      <c r="L186" s="90"/>
      <c r="M186" s="90"/>
      <c r="N186" s="90"/>
      <c r="O186" s="90"/>
      <c r="P186" s="90"/>
      <c r="Q186" s="90"/>
      <c r="R186" s="90"/>
      <c r="S186" s="91"/>
      <c r="T186" s="91"/>
      <c r="U186" s="90"/>
      <c r="V186" s="90"/>
      <c r="W186" s="92"/>
      <c r="X186" s="93"/>
      <c r="Y186" s="264">
        <f>SUM(I186:X187)</f>
        <v>0</v>
      </c>
      <c r="Z186" s="222">
        <f>COUNTIF(I186:X187,"&gt;0")</f>
        <v>0</v>
      </c>
      <c r="AA186" s="266">
        <f>H186*Y186</f>
        <v>0</v>
      </c>
      <c r="AB186" s="94">
        <f>IF(AO186&lt;1000, 0, AO186)</f>
        <v>0</v>
      </c>
      <c r="AC186" s="95">
        <f ca="1">IF(IFERROR($AN186&lt;65,FALSE), IF(B186&lt;&gt;"외국인", ROUNDDOWN(AA186*$AH$1%,-1), IF(AND(AM186&lt;&gt;"", ISNUMBER(SEARCH(LEFT(SUBSTITUTE(AM186, "-",""),2), "F2_F5_F6"))), ROUNDDOWN(AA186*$AH$1%,-1), 0)),0)</f>
        <v>0</v>
      </c>
      <c r="AD186" s="96">
        <f>IF(Z186&gt;=$AJ$1,ROUNDDOWN(AA186*$AH$2%,-1),0)</f>
        <v>0</v>
      </c>
      <c r="AE186" s="266">
        <f ca="1">AB186+AC186+AB187+AC187+AD186+AD187</f>
        <v>0</v>
      </c>
      <c r="AF186" s="266">
        <f ca="1">AA186-AE186</f>
        <v>0</v>
      </c>
      <c r="AG186" s="222"/>
      <c r="AH186" s="222"/>
      <c r="AI186" s="222"/>
      <c r="AJ186" s="222"/>
      <c r="AK186" s="250"/>
      <c r="AL186" s="250"/>
      <c r="AM186" s="251"/>
      <c r="AN186" s="252" t="str">
        <f ca="1">IFERROR(DATEDIF(DATE(IF(ISNUMBER(FIND(MID( SUBSTITUTE(D186, "-",""), 7, 1), "3478")), 2000, 1900)+MID(D186,1,2), MID(D186,3,2), MID(D186,5,2)), TODAY(), "Y"),"")</f>
        <v/>
      </c>
      <c r="AO186" s="266">
        <f>ROUNDDOWN(SUM(AP186:BE187),-1)</f>
        <v>0</v>
      </c>
      <c r="AP186" s="97">
        <f t="shared" ref="AP186:BD186" si="364">IF($H186*I186&gt;150000,ROUNDDOWN(($H186*I186-150000)*6%*45%,0),0)</f>
        <v>0</v>
      </c>
      <c r="AQ186" s="98">
        <f t="shared" si="364"/>
        <v>0</v>
      </c>
      <c r="AR186" s="98">
        <f t="shared" si="364"/>
        <v>0</v>
      </c>
      <c r="AS186" s="98">
        <f t="shared" si="364"/>
        <v>0</v>
      </c>
      <c r="AT186" s="98">
        <f t="shared" si="364"/>
        <v>0</v>
      </c>
      <c r="AU186" s="98">
        <f t="shared" si="364"/>
        <v>0</v>
      </c>
      <c r="AV186" s="98">
        <f t="shared" si="364"/>
        <v>0</v>
      </c>
      <c r="AW186" s="98">
        <f t="shared" si="364"/>
        <v>0</v>
      </c>
      <c r="AX186" s="98">
        <f t="shared" si="364"/>
        <v>0</v>
      </c>
      <c r="AY186" s="98">
        <f t="shared" si="364"/>
        <v>0</v>
      </c>
      <c r="AZ186" s="98">
        <f t="shared" si="364"/>
        <v>0</v>
      </c>
      <c r="BA186" s="98">
        <f t="shared" si="364"/>
        <v>0</v>
      </c>
      <c r="BB186" s="98">
        <f t="shared" si="364"/>
        <v>0</v>
      </c>
      <c r="BC186" s="98">
        <f t="shared" si="364"/>
        <v>0</v>
      </c>
      <c r="BD186" s="99">
        <f t="shared" si="364"/>
        <v>0</v>
      </c>
      <c r="BE186" s="100"/>
      <c r="BG186" s="222">
        <f t="shared" ref="BG186" si="365">C186</f>
        <v>0</v>
      </c>
      <c r="BH186" s="222"/>
      <c r="BI186" s="222"/>
      <c r="BJ186" s="248"/>
      <c r="BK186" s="265"/>
      <c r="BL186" s="222"/>
      <c r="BM186" s="249">
        <f t="shared" si="325"/>
        <v>0</v>
      </c>
      <c r="BN186" s="265"/>
      <c r="BO186" s="222"/>
      <c r="BP186" s="222"/>
      <c r="BQ186" s="265"/>
      <c r="BR186" s="265"/>
      <c r="BS186" s="265"/>
      <c r="BT186" s="244"/>
      <c r="BU186" s="222"/>
      <c r="BV186" s="244">
        <f t="shared" si="326"/>
        <v>0</v>
      </c>
      <c r="BW186" s="222"/>
    </row>
    <row r="187" spans="1:75" outlineLevel="1">
      <c r="A187" s="221"/>
      <c r="B187" s="222"/>
      <c r="C187" s="222"/>
      <c r="D187" s="225"/>
      <c r="E187" s="222"/>
      <c r="F187" s="222"/>
      <c r="G187" s="222"/>
      <c r="H187" s="266"/>
      <c r="I187" s="101"/>
      <c r="J187" s="102"/>
      <c r="K187" s="102"/>
      <c r="L187" s="102"/>
      <c r="M187" s="102"/>
      <c r="N187" s="102"/>
      <c r="O187" s="102"/>
      <c r="P187" s="102"/>
      <c r="Q187" s="102"/>
      <c r="R187" s="102"/>
      <c r="S187" s="102"/>
      <c r="T187" s="102"/>
      <c r="U187" s="102"/>
      <c r="V187" s="102"/>
      <c r="W187" s="102"/>
      <c r="X187" s="103"/>
      <c r="Y187" s="264"/>
      <c r="Z187" s="222"/>
      <c r="AA187" s="266"/>
      <c r="AB187" s="104">
        <f>ROUNDDOWN(AB186*10%,-1)</f>
        <v>0</v>
      </c>
      <c r="AC187" s="105">
        <f ca="1">IFERROR(IF(AND( OR(COUNTIF(I186:X187, "&gt;0")&gt;=$AJ$1, AA186&gt;=$AJ$4),AN186&lt;60,AA186&lt;=$AH$5),ROUNDDOWN(ROUNDDOWN(AA186,-3)*$AH$4%,-1),IF(AND(COUNTIF(I186:X187,"&gt;0")&gt;=$AJ$1,AN186&lt;60,AA186&gt;$AH$5),$AJ$5,0)),0)</f>
        <v>0</v>
      </c>
      <c r="AD187" s="106">
        <f>IF(Z186&gt;=$AJ$1,ROUNDDOWN(AD186*$AH$3%/($AH$2*2%),-1),0)</f>
        <v>0</v>
      </c>
      <c r="AE187" s="266"/>
      <c r="AF187" s="266"/>
      <c r="AG187" s="222"/>
      <c r="AH187" s="222"/>
      <c r="AI187" s="222"/>
      <c r="AJ187" s="222"/>
      <c r="AK187" s="250"/>
      <c r="AL187" s="250"/>
      <c r="AM187" s="251"/>
      <c r="AN187" s="252"/>
      <c r="AO187" s="266"/>
      <c r="AP187" s="107">
        <f t="shared" ref="AP187:BE187" si="366">IF($H186*I187&gt;150000,ROUNDDOWN(($H186*I187-150000)*6%*45%,0),0)</f>
        <v>0</v>
      </c>
      <c r="AQ187" s="108">
        <f t="shared" si="366"/>
        <v>0</v>
      </c>
      <c r="AR187" s="108">
        <f t="shared" si="366"/>
        <v>0</v>
      </c>
      <c r="AS187" s="108">
        <f t="shared" si="366"/>
        <v>0</v>
      </c>
      <c r="AT187" s="108">
        <f t="shared" si="366"/>
        <v>0</v>
      </c>
      <c r="AU187" s="108">
        <f t="shared" si="366"/>
        <v>0</v>
      </c>
      <c r="AV187" s="108">
        <f t="shared" si="366"/>
        <v>0</v>
      </c>
      <c r="AW187" s="108">
        <f t="shared" si="366"/>
        <v>0</v>
      </c>
      <c r="AX187" s="108">
        <f t="shared" si="366"/>
        <v>0</v>
      </c>
      <c r="AY187" s="108">
        <f t="shared" si="366"/>
        <v>0</v>
      </c>
      <c r="AZ187" s="108">
        <f t="shared" si="366"/>
        <v>0</v>
      </c>
      <c r="BA187" s="108">
        <f t="shared" si="366"/>
        <v>0</v>
      </c>
      <c r="BB187" s="108">
        <f t="shared" si="366"/>
        <v>0</v>
      </c>
      <c r="BC187" s="108">
        <f t="shared" si="366"/>
        <v>0</v>
      </c>
      <c r="BD187" s="108">
        <f t="shared" si="366"/>
        <v>0</v>
      </c>
      <c r="BE187" s="109">
        <f t="shared" si="366"/>
        <v>0</v>
      </c>
      <c r="BG187" s="222"/>
      <c r="BH187" s="222"/>
      <c r="BI187" s="222"/>
      <c r="BJ187" s="248"/>
      <c r="BK187" s="265"/>
      <c r="BL187" s="222"/>
      <c r="BM187" s="249"/>
      <c r="BN187" s="265"/>
      <c r="BO187" s="222"/>
      <c r="BP187" s="222"/>
      <c r="BQ187" s="265"/>
      <c r="BR187" s="265"/>
      <c r="BS187" s="265"/>
      <c r="BT187" s="244"/>
      <c r="BU187" s="222"/>
      <c r="BV187" s="244"/>
      <c r="BW187" s="222"/>
    </row>
    <row r="188" spans="1:75" outlineLevel="1">
      <c r="A188" s="221">
        <v>93</v>
      </c>
      <c r="B188" s="222" t="str">
        <f>IF(LEN(D188)&gt;1,IF(VALUE(MID(RIGHT(D188,7),1,1))&gt;4,"외국인",IF(VALUE(RIGHT(11-MOD((MID(D188,1,1)*2+MID(D188,2,1)*3+MID(D188,3,1)*4+MID(D188,4,1)*5+MID(D188,5,1)*6+MID(D188,6,1)*7+MID(RIGHT(D188,7),1,1)*8+MID(RIGHT(D188,7),2,1)*9+MID(RIGHT(D188,7),3,1)*2+MID(RIGHT(D188,7),4,1)*3+MID(RIGHT(D188,7),5,1)*4+MID(RIGHT(D188,7),6,1)*5),11),1))=VALUE(RIGHT(D188,1)),"","오류")),"")</f>
        <v/>
      </c>
      <c r="C188" s="222"/>
      <c r="D188" s="225"/>
      <c r="E188" s="222"/>
      <c r="F188" s="222"/>
      <c r="G188" s="222"/>
      <c r="H188" s="266"/>
      <c r="I188" s="89"/>
      <c r="J188" s="90"/>
      <c r="K188" s="90"/>
      <c r="L188" s="90"/>
      <c r="M188" s="90"/>
      <c r="N188" s="90"/>
      <c r="O188" s="90"/>
      <c r="P188" s="90"/>
      <c r="Q188" s="90"/>
      <c r="R188" s="90"/>
      <c r="S188" s="91"/>
      <c r="T188" s="91"/>
      <c r="U188" s="90"/>
      <c r="V188" s="90"/>
      <c r="W188" s="92"/>
      <c r="X188" s="93"/>
      <c r="Y188" s="264">
        <f>SUM(I188:X189)</f>
        <v>0</v>
      </c>
      <c r="Z188" s="222">
        <f>COUNTIF(I188:X189,"&gt;0")</f>
        <v>0</v>
      </c>
      <c r="AA188" s="266">
        <f>H188*Y188</f>
        <v>0</v>
      </c>
      <c r="AB188" s="94">
        <f>IF(AO188&lt;1000, 0, AO188)</f>
        <v>0</v>
      </c>
      <c r="AC188" s="95">
        <f ca="1">IF(IFERROR($AN188&lt;65,FALSE), IF(B188&lt;&gt;"외국인", ROUNDDOWN(AA188*$AH$1%,-1), IF(AND(AM188&lt;&gt;"", ISNUMBER(SEARCH(LEFT(SUBSTITUTE(AM188, "-",""),2), "F2_F5_F6"))), ROUNDDOWN(AA188*$AH$1%,-1), 0)),0)</f>
        <v>0</v>
      </c>
      <c r="AD188" s="96">
        <f>IF(Z188&gt;=$AJ$1,ROUNDDOWN(AA188*$AH$2%,-1),0)</f>
        <v>0</v>
      </c>
      <c r="AE188" s="266">
        <f ca="1">AB188+AC188+AB189+AC189+AD188+AD189</f>
        <v>0</v>
      </c>
      <c r="AF188" s="266">
        <f ca="1">AA188-AE188</f>
        <v>0</v>
      </c>
      <c r="AG188" s="222"/>
      <c r="AH188" s="222"/>
      <c r="AI188" s="222"/>
      <c r="AJ188" s="222"/>
      <c r="AK188" s="250"/>
      <c r="AL188" s="250"/>
      <c r="AM188" s="251"/>
      <c r="AN188" s="252" t="str">
        <f ca="1">IFERROR(DATEDIF(DATE(IF(ISNUMBER(FIND(MID( SUBSTITUTE(D188, "-",""), 7, 1), "3478")), 2000, 1900)+MID(D188,1,2), MID(D188,3,2), MID(D188,5,2)), TODAY(), "Y"),"")</f>
        <v/>
      </c>
      <c r="AO188" s="266">
        <f>ROUNDDOWN(SUM(AP188:BE189),-1)</f>
        <v>0</v>
      </c>
      <c r="AP188" s="97">
        <f t="shared" ref="AP188:BD188" si="367">IF($H188*I188&gt;150000,ROUNDDOWN(($H188*I188-150000)*6%*45%,0),0)</f>
        <v>0</v>
      </c>
      <c r="AQ188" s="98">
        <f t="shared" si="367"/>
        <v>0</v>
      </c>
      <c r="AR188" s="98">
        <f t="shared" si="367"/>
        <v>0</v>
      </c>
      <c r="AS188" s="98">
        <f t="shared" si="367"/>
        <v>0</v>
      </c>
      <c r="AT188" s="98">
        <f t="shared" si="367"/>
        <v>0</v>
      </c>
      <c r="AU188" s="98">
        <f t="shared" si="367"/>
        <v>0</v>
      </c>
      <c r="AV188" s="98">
        <f t="shared" si="367"/>
        <v>0</v>
      </c>
      <c r="AW188" s="98">
        <f t="shared" si="367"/>
        <v>0</v>
      </c>
      <c r="AX188" s="98">
        <f t="shared" si="367"/>
        <v>0</v>
      </c>
      <c r="AY188" s="98">
        <f t="shared" si="367"/>
        <v>0</v>
      </c>
      <c r="AZ188" s="98">
        <f t="shared" si="367"/>
        <v>0</v>
      </c>
      <c r="BA188" s="98">
        <f t="shared" si="367"/>
        <v>0</v>
      </c>
      <c r="BB188" s="98">
        <f t="shared" si="367"/>
        <v>0</v>
      </c>
      <c r="BC188" s="98">
        <f t="shared" si="367"/>
        <v>0</v>
      </c>
      <c r="BD188" s="99">
        <f t="shared" si="367"/>
        <v>0</v>
      </c>
      <c r="BE188" s="100"/>
      <c r="BG188" s="222">
        <f t="shared" ref="BG188" si="368">C188</f>
        <v>0</v>
      </c>
      <c r="BH188" s="222"/>
      <c r="BI188" s="222"/>
      <c r="BJ188" s="248"/>
      <c r="BK188" s="265"/>
      <c r="BL188" s="222"/>
      <c r="BM188" s="249">
        <f t="shared" si="325"/>
        <v>0</v>
      </c>
      <c r="BN188" s="265"/>
      <c r="BO188" s="222"/>
      <c r="BP188" s="222"/>
      <c r="BQ188" s="265"/>
      <c r="BR188" s="265"/>
      <c r="BS188" s="265"/>
      <c r="BT188" s="244"/>
      <c r="BU188" s="222"/>
      <c r="BV188" s="244">
        <f t="shared" si="326"/>
        <v>0</v>
      </c>
      <c r="BW188" s="222"/>
    </row>
    <row r="189" spans="1:75" outlineLevel="1">
      <c r="A189" s="221"/>
      <c r="B189" s="222"/>
      <c r="C189" s="222"/>
      <c r="D189" s="225"/>
      <c r="E189" s="222"/>
      <c r="F189" s="222"/>
      <c r="G189" s="222"/>
      <c r="H189" s="266"/>
      <c r="I189" s="101"/>
      <c r="J189" s="102"/>
      <c r="K189" s="102"/>
      <c r="L189" s="102"/>
      <c r="M189" s="102"/>
      <c r="N189" s="102"/>
      <c r="O189" s="102"/>
      <c r="P189" s="102"/>
      <c r="Q189" s="102"/>
      <c r="R189" s="102"/>
      <c r="S189" s="102"/>
      <c r="T189" s="102"/>
      <c r="U189" s="102"/>
      <c r="V189" s="102"/>
      <c r="W189" s="102"/>
      <c r="X189" s="103"/>
      <c r="Y189" s="264"/>
      <c r="Z189" s="222"/>
      <c r="AA189" s="266"/>
      <c r="AB189" s="104">
        <f>ROUNDDOWN(AB188*10%,-1)</f>
        <v>0</v>
      </c>
      <c r="AC189" s="105">
        <f ca="1">IFERROR(IF(AND( OR(COUNTIF(I188:X189, "&gt;0")&gt;=$AJ$1, AA188&gt;=$AJ$4),AN188&lt;60,AA188&lt;=$AH$5),ROUNDDOWN(ROUNDDOWN(AA188,-3)*$AH$4%,-1),IF(AND(COUNTIF(I188:X189,"&gt;0")&gt;=$AJ$1,AN188&lt;60,AA188&gt;$AH$5),$AJ$5,0)),0)</f>
        <v>0</v>
      </c>
      <c r="AD189" s="106">
        <f>IF(Z188&gt;=$AJ$1,ROUNDDOWN(AD188*$AH$3%/($AH$2*2%),-1),0)</f>
        <v>0</v>
      </c>
      <c r="AE189" s="266"/>
      <c r="AF189" s="266"/>
      <c r="AG189" s="222"/>
      <c r="AH189" s="222"/>
      <c r="AI189" s="222"/>
      <c r="AJ189" s="222"/>
      <c r="AK189" s="250"/>
      <c r="AL189" s="250"/>
      <c r="AM189" s="251"/>
      <c r="AN189" s="252"/>
      <c r="AO189" s="266"/>
      <c r="AP189" s="107">
        <f t="shared" ref="AP189:BE189" si="369">IF($H188*I189&gt;150000,ROUNDDOWN(($H188*I189-150000)*6%*45%,0),0)</f>
        <v>0</v>
      </c>
      <c r="AQ189" s="108">
        <f t="shared" si="369"/>
        <v>0</v>
      </c>
      <c r="AR189" s="108">
        <f t="shared" si="369"/>
        <v>0</v>
      </c>
      <c r="AS189" s="108">
        <f t="shared" si="369"/>
        <v>0</v>
      </c>
      <c r="AT189" s="108">
        <f t="shared" si="369"/>
        <v>0</v>
      </c>
      <c r="AU189" s="108">
        <f t="shared" si="369"/>
        <v>0</v>
      </c>
      <c r="AV189" s="108">
        <f t="shared" si="369"/>
        <v>0</v>
      </c>
      <c r="AW189" s="108">
        <f t="shared" si="369"/>
        <v>0</v>
      </c>
      <c r="AX189" s="108">
        <f t="shared" si="369"/>
        <v>0</v>
      </c>
      <c r="AY189" s="108">
        <f t="shared" si="369"/>
        <v>0</v>
      </c>
      <c r="AZ189" s="108">
        <f t="shared" si="369"/>
        <v>0</v>
      </c>
      <c r="BA189" s="108">
        <f t="shared" si="369"/>
        <v>0</v>
      </c>
      <c r="BB189" s="108">
        <f t="shared" si="369"/>
        <v>0</v>
      </c>
      <c r="BC189" s="108">
        <f t="shared" si="369"/>
        <v>0</v>
      </c>
      <c r="BD189" s="108">
        <f t="shared" si="369"/>
        <v>0</v>
      </c>
      <c r="BE189" s="109">
        <f t="shared" si="369"/>
        <v>0</v>
      </c>
      <c r="BG189" s="222"/>
      <c r="BH189" s="222"/>
      <c r="BI189" s="222"/>
      <c r="BJ189" s="248"/>
      <c r="BK189" s="265"/>
      <c r="BL189" s="222"/>
      <c r="BM189" s="249"/>
      <c r="BN189" s="265"/>
      <c r="BO189" s="222"/>
      <c r="BP189" s="222"/>
      <c r="BQ189" s="265"/>
      <c r="BR189" s="265"/>
      <c r="BS189" s="265"/>
      <c r="BT189" s="244"/>
      <c r="BU189" s="222"/>
      <c r="BV189" s="244"/>
      <c r="BW189" s="222"/>
    </row>
    <row r="190" spans="1:75" outlineLevel="1">
      <c r="A190" s="221">
        <v>94</v>
      </c>
      <c r="B190" s="222" t="str">
        <f>IF(LEN(D190)&gt;1,IF(VALUE(MID(RIGHT(D190,7),1,1))&gt;4,"외국인",IF(VALUE(RIGHT(11-MOD((MID(D190,1,1)*2+MID(D190,2,1)*3+MID(D190,3,1)*4+MID(D190,4,1)*5+MID(D190,5,1)*6+MID(D190,6,1)*7+MID(RIGHT(D190,7),1,1)*8+MID(RIGHT(D190,7),2,1)*9+MID(RIGHT(D190,7),3,1)*2+MID(RIGHT(D190,7),4,1)*3+MID(RIGHT(D190,7),5,1)*4+MID(RIGHT(D190,7),6,1)*5),11),1))=VALUE(RIGHT(D190,1)),"","오류")),"")</f>
        <v/>
      </c>
      <c r="C190" s="222"/>
      <c r="D190" s="225"/>
      <c r="E190" s="222"/>
      <c r="F190" s="222"/>
      <c r="G190" s="222"/>
      <c r="H190" s="266"/>
      <c r="I190" s="89"/>
      <c r="J190" s="90"/>
      <c r="K190" s="90"/>
      <c r="L190" s="90"/>
      <c r="M190" s="90"/>
      <c r="N190" s="90"/>
      <c r="O190" s="90"/>
      <c r="P190" s="90"/>
      <c r="Q190" s="90"/>
      <c r="R190" s="90"/>
      <c r="S190" s="91"/>
      <c r="T190" s="91"/>
      <c r="U190" s="90"/>
      <c r="V190" s="90"/>
      <c r="W190" s="92"/>
      <c r="X190" s="93"/>
      <c r="Y190" s="264">
        <f>SUM(I190:X191)</f>
        <v>0</v>
      </c>
      <c r="Z190" s="222">
        <f>COUNTIF(I190:X191,"&gt;0")</f>
        <v>0</v>
      </c>
      <c r="AA190" s="266">
        <f>H190*Y190</f>
        <v>0</v>
      </c>
      <c r="AB190" s="94">
        <f>IF(AO190&lt;1000, 0, AO190)</f>
        <v>0</v>
      </c>
      <c r="AC190" s="95">
        <f ca="1">IF(IFERROR($AN190&lt;65,FALSE), IF(B190&lt;&gt;"외국인", ROUNDDOWN(AA190*$AH$1%,-1), IF(AND(AM190&lt;&gt;"", ISNUMBER(SEARCH(LEFT(SUBSTITUTE(AM190, "-",""),2), "F2_F5_F6"))), ROUNDDOWN(AA190*$AH$1%,-1), 0)),0)</f>
        <v>0</v>
      </c>
      <c r="AD190" s="96">
        <f>IF(Z190&gt;=$AJ$1,ROUNDDOWN(AA190*$AH$2%,-1),0)</f>
        <v>0</v>
      </c>
      <c r="AE190" s="266">
        <f ca="1">AB190+AC190+AB191+AC191+AD190+AD191</f>
        <v>0</v>
      </c>
      <c r="AF190" s="266">
        <f ca="1">AA190-AE190</f>
        <v>0</v>
      </c>
      <c r="AG190" s="222"/>
      <c r="AH190" s="222"/>
      <c r="AI190" s="222"/>
      <c r="AJ190" s="222"/>
      <c r="AK190" s="250"/>
      <c r="AL190" s="250"/>
      <c r="AM190" s="251"/>
      <c r="AN190" s="252" t="str">
        <f ca="1">IFERROR(DATEDIF(DATE(IF(ISNUMBER(FIND(MID( SUBSTITUTE(D190, "-",""), 7, 1), "3478")), 2000, 1900)+MID(D190,1,2), MID(D190,3,2), MID(D190,5,2)), TODAY(), "Y"),"")</f>
        <v/>
      </c>
      <c r="AO190" s="266">
        <f>ROUNDDOWN(SUM(AP190:BE191),-1)</f>
        <v>0</v>
      </c>
      <c r="AP190" s="97">
        <f t="shared" ref="AP190:BD190" si="370">IF($H190*I190&gt;150000,ROUNDDOWN(($H190*I190-150000)*6%*45%,0),0)</f>
        <v>0</v>
      </c>
      <c r="AQ190" s="98">
        <f t="shared" si="370"/>
        <v>0</v>
      </c>
      <c r="AR190" s="98">
        <f t="shared" si="370"/>
        <v>0</v>
      </c>
      <c r="AS190" s="98">
        <f t="shared" si="370"/>
        <v>0</v>
      </c>
      <c r="AT190" s="98">
        <f t="shared" si="370"/>
        <v>0</v>
      </c>
      <c r="AU190" s="98">
        <f t="shared" si="370"/>
        <v>0</v>
      </c>
      <c r="AV190" s="98">
        <f t="shared" si="370"/>
        <v>0</v>
      </c>
      <c r="AW190" s="98">
        <f t="shared" si="370"/>
        <v>0</v>
      </c>
      <c r="AX190" s="98">
        <f t="shared" si="370"/>
        <v>0</v>
      </c>
      <c r="AY190" s="98">
        <f t="shared" si="370"/>
        <v>0</v>
      </c>
      <c r="AZ190" s="98">
        <f t="shared" si="370"/>
        <v>0</v>
      </c>
      <c r="BA190" s="98">
        <f t="shared" si="370"/>
        <v>0</v>
      </c>
      <c r="BB190" s="98">
        <f t="shared" si="370"/>
        <v>0</v>
      </c>
      <c r="BC190" s="98">
        <f t="shared" si="370"/>
        <v>0</v>
      </c>
      <c r="BD190" s="99">
        <f t="shared" si="370"/>
        <v>0</v>
      </c>
      <c r="BE190" s="100"/>
      <c r="BG190" s="222">
        <f t="shared" ref="BG190" si="371">C190</f>
        <v>0</v>
      </c>
      <c r="BH190" s="222"/>
      <c r="BI190" s="222"/>
      <c r="BJ190" s="248"/>
      <c r="BK190" s="265"/>
      <c r="BL190" s="222"/>
      <c r="BM190" s="249">
        <f t="shared" si="325"/>
        <v>0</v>
      </c>
      <c r="BN190" s="265"/>
      <c r="BO190" s="222"/>
      <c r="BP190" s="222"/>
      <c r="BQ190" s="265"/>
      <c r="BR190" s="265"/>
      <c r="BS190" s="265"/>
      <c r="BT190" s="244"/>
      <c r="BU190" s="222"/>
      <c r="BV190" s="244">
        <f t="shared" si="326"/>
        <v>0</v>
      </c>
      <c r="BW190" s="222"/>
    </row>
    <row r="191" spans="1:75" outlineLevel="1">
      <c r="A191" s="221"/>
      <c r="B191" s="222"/>
      <c r="C191" s="222"/>
      <c r="D191" s="225"/>
      <c r="E191" s="222"/>
      <c r="F191" s="222"/>
      <c r="G191" s="222"/>
      <c r="H191" s="266"/>
      <c r="I191" s="101"/>
      <c r="J191" s="102"/>
      <c r="K191" s="102"/>
      <c r="L191" s="102"/>
      <c r="M191" s="102"/>
      <c r="N191" s="102"/>
      <c r="O191" s="102"/>
      <c r="P191" s="102"/>
      <c r="Q191" s="102"/>
      <c r="R191" s="102"/>
      <c r="S191" s="102"/>
      <c r="T191" s="102"/>
      <c r="U191" s="102"/>
      <c r="V191" s="102"/>
      <c r="W191" s="102"/>
      <c r="X191" s="103"/>
      <c r="Y191" s="264"/>
      <c r="Z191" s="222"/>
      <c r="AA191" s="266"/>
      <c r="AB191" s="104">
        <f>ROUNDDOWN(AB190*10%,-1)</f>
        <v>0</v>
      </c>
      <c r="AC191" s="105">
        <f ca="1">IFERROR(IF(AND( OR(COUNTIF(I190:X191, "&gt;0")&gt;=$AJ$1, AA190&gt;=$AJ$4),AN190&lt;60,AA190&lt;=$AH$5),ROUNDDOWN(ROUNDDOWN(AA190,-3)*$AH$4%,-1),IF(AND(COUNTIF(I190:X191,"&gt;0")&gt;=$AJ$1,AN190&lt;60,AA190&gt;$AH$5),$AJ$5,0)),0)</f>
        <v>0</v>
      </c>
      <c r="AD191" s="106">
        <f>IF(Z190&gt;=$AJ$1,ROUNDDOWN(AD190*$AH$3%/($AH$2*2%),-1),0)</f>
        <v>0</v>
      </c>
      <c r="AE191" s="266"/>
      <c r="AF191" s="266"/>
      <c r="AG191" s="222"/>
      <c r="AH191" s="222"/>
      <c r="AI191" s="222"/>
      <c r="AJ191" s="222"/>
      <c r="AK191" s="250"/>
      <c r="AL191" s="250"/>
      <c r="AM191" s="251"/>
      <c r="AN191" s="252"/>
      <c r="AO191" s="266"/>
      <c r="AP191" s="107">
        <f t="shared" ref="AP191:BE191" si="372">IF($H190*I191&gt;150000,ROUNDDOWN(($H190*I191-150000)*6%*45%,0),0)</f>
        <v>0</v>
      </c>
      <c r="AQ191" s="108">
        <f t="shared" si="372"/>
        <v>0</v>
      </c>
      <c r="AR191" s="108">
        <f t="shared" si="372"/>
        <v>0</v>
      </c>
      <c r="AS191" s="108">
        <f t="shared" si="372"/>
        <v>0</v>
      </c>
      <c r="AT191" s="108">
        <f t="shared" si="372"/>
        <v>0</v>
      </c>
      <c r="AU191" s="108">
        <f t="shared" si="372"/>
        <v>0</v>
      </c>
      <c r="AV191" s="108">
        <f t="shared" si="372"/>
        <v>0</v>
      </c>
      <c r="AW191" s="108">
        <f t="shared" si="372"/>
        <v>0</v>
      </c>
      <c r="AX191" s="108">
        <f t="shared" si="372"/>
        <v>0</v>
      </c>
      <c r="AY191" s="108">
        <f t="shared" si="372"/>
        <v>0</v>
      </c>
      <c r="AZ191" s="108">
        <f t="shared" si="372"/>
        <v>0</v>
      </c>
      <c r="BA191" s="108">
        <f t="shared" si="372"/>
        <v>0</v>
      </c>
      <c r="BB191" s="108">
        <f t="shared" si="372"/>
        <v>0</v>
      </c>
      <c r="BC191" s="108">
        <f t="shared" si="372"/>
        <v>0</v>
      </c>
      <c r="BD191" s="108">
        <f t="shared" si="372"/>
        <v>0</v>
      </c>
      <c r="BE191" s="109">
        <f t="shared" si="372"/>
        <v>0</v>
      </c>
      <c r="BG191" s="222"/>
      <c r="BH191" s="222"/>
      <c r="BI191" s="222"/>
      <c r="BJ191" s="248"/>
      <c r="BK191" s="265"/>
      <c r="BL191" s="222"/>
      <c r="BM191" s="249"/>
      <c r="BN191" s="265"/>
      <c r="BO191" s="222"/>
      <c r="BP191" s="222"/>
      <c r="BQ191" s="265"/>
      <c r="BR191" s="265"/>
      <c r="BS191" s="265"/>
      <c r="BT191" s="244"/>
      <c r="BU191" s="222"/>
      <c r="BV191" s="244"/>
      <c r="BW191" s="222"/>
    </row>
    <row r="192" spans="1:75" outlineLevel="1">
      <c r="A192" s="221">
        <v>95</v>
      </c>
      <c r="B192" s="222" t="str">
        <f>IF(LEN(D192)&gt;1,IF(VALUE(MID(RIGHT(D192,7),1,1))&gt;4,"외국인",IF(VALUE(RIGHT(11-MOD((MID(D192,1,1)*2+MID(D192,2,1)*3+MID(D192,3,1)*4+MID(D192,4,1)*5+MID(D192,5,1)*6+MID(D192,6,1)*7+MID(RIGHT(D192,7),1,1)*8+MID(RIGHT(D192,7),2,1)*9+MID(RIGHT(D192,7),3,1)*2+MID(RIGHT(D192,7),4,1)*3+MID(RIGHT(D192,7),5,1)*4+MID(RIGHT(D192,7),6,1)*5),11),1))=VALUE(RIGHT(D192,1)),"","오류")),"")</f>
        <v/>
      </c>
      <c r="C192" s="222"/>
      <c r="D192" s="225"/>
      <c r="E192" s="222"/>
      <c r="F192" s="222"/>
      <c r="G192" s="222"/>
      <c r="H192" s="266"/>
      <c r="I192" s="89"/>
      <c r="J192" s="90"/>
      <c r="K192" s="90"/>
      <c r="L192" s="90"/>
      <c r="M192" s="90"/>
      <c r="N192" s="90"/>
      <c r="O192" s="90"/>
      <c r="P192" s="90"/>
      <c r="Q192" s="90"/>
      <c r="R192" s="90"/>
      <c r="S192" s="91"/>
      <c r="T192" s="91"/>
      <c r="U192" s="90"/>
      <c r="V192" s="90"/>
      <c r="W192" s="92"/>
      <c r="X192" s="93"/>
      <c r="Y192" s="264">
        <f>SUM(I192:X193)</f>
        <v>0</v>
      </c>
      <c r="Z192" s="222">
        <f>COUNTIF(I192:X193,"&gt;0")</f>
        <v>0</v>
      </c>
      <c r="AA192" s="266">
        <f>H192*Y192</f>
        <v>0</v>
      </c>
      <c r="AB192" s="94">
        <f>IF(AO192&lt;1000, 0, AO192)</f>
        <v>0</v>
      </c>
      <c r="AC192" s="95">
        <f ca="1">IF(IFERROR($AN192&lt;65,FALSE), IF(B192&lt;&gt;"외국인", ROUNDDOWN(AA192*$AH$1%,-1), IF(AND(AM192&lt;&gt;"", ISNUMBER(SEARCH(LEFT(SUBSTITUTE(AM192, "-",""),2), "F2_F5_F6"))), ROUNDDOWN(AA192*$AH$1%,-1), 0)),0)</f>
        <v>0</v>
      </c>
      <c r="AD192" s="96">
        <f>IF(Z192&gt;=$AJ$1,ROUNDDOWN(AA192*$AH$2%,-1),0)</f>
        <v>0</v>
      </c>
      <c r="AE192" s="266">
        <f ca="1">AB192+AC192+AB193+AC193+AD192+AD193</f>
        <v>0</v>
      </c>
      <c r="AF192" s="266">
        <f ca="1">AA192-AE192</f>
        <v>0</v>
      </c>
      <c r="AG192" s="222"/>
      <c r="AH192" s="222"/>
      <c r="AI192" s="222"/>
      <c r="AJ192" s="222"/>
      <c r="AK192" s="250"/>
      <c r="AL192" s="250"/>
      <c r="AM192" s="251"/>
      <c r="AN192" s="252" t="str">
        <f ca="1">IFERROR(DATEDIF(DATE(IF(ISNUMBER(FIND(MID( SUBSTITUTE(D192, "-",""), 7, 1), "3478")), 2000, 1900)+MID(D192,1,2), MID(D192,3,2), MID(D192,5,2)), TODAY(), "Y"),"")</f>
        <v/>
      </c>
      <c r="AO192" s="266">
        <f>ROUNDDOWN(SUM(AP192:BE193),-1)</f>
        <v>0</v>
      </c>
      <c r="AP192" s="97">
        <f t="shared" ref="AP192:BD192" si="373">IF($H192*I192&gt;150000,ROUNDDOWN(($H192*I192-150000)*6%*45%,0),0)</f>
        <v>0</v>
      </c>
      <c r="AQ192" s="98">
        <f t="shared" si="373"/>
        <v>0</v>
      </c>
      <c r="AR192" s="98">
        <f t="shared" si="373"/>
        <v>0</v>
      </c>
      <c r="AS192" s="98">
        <f t="shared" si="373"/>
        <v>0</v>
      </c>
      <c r="AT192" s="98">
        <f t="shared" si="373"/>
        <v>0</v>
      </c>
      <c r="AU192" s="98">
        <f t="shared" si="373"/>
        <v>0</v>
      </c>
      <c r="AV192" s="98">
        <f t="shared" si="373"/>
        <v>0</v>
      </c>
      <c r="AW192" s="98">
        <f t="shared" si="373"/>
        <v>0</v>
      </c>
      <c r="AX192" s="98">
        <f t="shared" si="373"/>
        <v>0</v>
      </c>
      <c r="AY192" s="98">
        <f t="shared" si="373"/>
        <v>0</v>
      </c>
      <c r="AZ192" s="98">
        <f t="shared" si="373"/>
        <v>0</v>
      </c>
      <c r="BA192" s="98">
        <f t="shared" si="373"/>
        <v>0</v>
      </c>
      <c r="BB192" s="98">
        <f t="shared" si="373"/>
        <v>0</v>
      </c>
      <c r="BC192" s="98">
        <f t="shared" si="373"/>
        <v>0</v>
      </c>
      <c r="BD192" s="99">
        <f t="shared" si="373"/>
        <v>0</v>
      </c>
      <c r="BE192" s="100"/>
      <c r="BG192" s="222">
        <f t="shared" ref="BG192" si="374">C192</f>
        <v>0</v>
      </c>
      <c r="BH192" s="222"/>
      <c r="BI192" s="222"/>
      <c r="BJ192" s="270"/>
      <c r="BK192" s="265"/>
      <c r="BL192" s="222"/>
      <c r="BM192" s="249">
        <f t="shared" si="325"/>
        <v>0</v>
      </c>
      <c r="BN192" s="265"/>
      <c r="BO192" s="222"/>
      <c r="BP192" s="222"/>
      <c r="BQ192" s="265"/>
      <c r="BR192" s="265"/>
      <c r="BS192" s="265"/>
      <c r="BT192" s="244"/>
      <c r="BU192" s="222"/>
      <c r="BV192" s="244">
        <f t="shared" si="326"/>
        <v>0</v>
      </c>
      <c r="BW192" s="222"/>
    </row>
    <row r="193" spans="1:75" outlineLevel="1">
      <c r="A193" s="221"/>
      <c r="B193" s="222"/>
      <c r="C193" s="222"/>
      <c r="D193" s="225"/>
      <c r="E193" s="222"/>
      <c r="F193" s="222"/>
      <c r="G193" s="222"/>
      <c r="H193" s="266"/>
      <c r="I193" s="101"/>
      <c r="J193" s="102"/>
      <c r="K193" s="102"/>
      <c r="L193" s="102"/>
      <c r="M193" s="102"/>
      <c r="N193" s="102"/>
      <c r="O193" s="102"/>
      <c r="P193" s="102"/>
      <c r="Q193" s="102"/>
      <c r="R193" s="102"/>
      <c r="S193" s="102"/>
      <c r="T193" s="102"/>
      <c r="U193" s="102"/>
      <c r="V193" s="102"/>
      <c r="W193" s="102"/>
      <c r="X193" s="103"/>
      <c r="Y193" s="264"/>
      <c r="Z193" s="222"/>
      <c r="AA193" s="266"/>
      <c r="AB193" s="104">
        <f>ROUNDDOWN(AB192*10%,-1)</f>
        <v>0</v>
      </c>
      <c r="AC193" s="105">
        <f ca="1">IFERROR(IF(AND( OR(COUNTIF(I192:X193, "&gt;0")&gt;=$AJ$1, AA192&gt;=$AJ$4),AN192&lt;60,AA192&lt;=$AH$5),ROUNDDOWN(ROUNDDOWN(AA192,-3)*$AH$4%,-1),IF(AND(COUNTIF(I192:X193,"&gt;0")&gt;=$AJ$1,AN192&lt;60,AA192&gt;$AH$5),$AJ$5,0)),0)</f>
        <v>0</v>
      </c>
      <c r="AD193" s="106">
        <f>IF(Z192&gt;=$AJ$1,ROUNDDOWN(AD192*$AH$3%/($AH$2*2%),-1),0)</f>
        <v>0</v>
      </c>
      <c r="AE193" s="266"/>
      <c r="AF193" s="266"/>
      <c r="AG193" s="222"/>
      <c r="AH193" s="222"/>
      <c r="AI193" s="222"/>
      <c r="AJ193" s="222"/>
      <c r="AK193" s="250"/>
      <c r="AL193" s="250"/>
      <c r="AM193" s="251"/>
      <c r="AN193" s="252"/>
      <c r="AO193" s="266"/>
      <c r="AP193" s="107">
        <f t="shared" ref="AP193:BE193" si="375">IF($H192*I193&gt;150000,ROUNDDOWN(($H192*I193-150000)*6%*45%,0),0)</f>
        <v>0</v>
      </c>
      <c r="AQ193" s="108">
        <f t="shared" si="375"/>
        <v>0</v>
      </c>
      <c r="AR193" s="108">
        <f t="shared" si="375"/>
        <v>0</v>
      </c>
      <c r="AS193" s="108">
        <f t="shared" si="375"/>
        <v>0</v>
      </c>
      <c r="AT193" s="108">
        <f t="shared" si="375"/>
        <v>0</v>
      </c>
      <c r="AU193" s="108">
        <f t="shared" si="375"/>
        <v>0</v>
      </c>
      <c r="AV193" s="108">
        <f t="shared" si="375"/>
        <v>0</v>
      </c>
      <c r="AW193" s="108">
        <f t="shared" si="375"/>
        <v>0</v>
      </c>
      <c r="AX193" s="108">
        <f t="shared" si="375"/>
        <v>0</v>
      </c>
      <c r="AY193" s="108">
        <f t="shared" si="375"/>
        <v>0</v>
      </c>
      <c r="AZ193" s="108">
        <f t="shared" si="375"/>
        <v>0</v>
      </c>
      <c r="BA193" s="108">
        <f t="shared" si="375"/>
        <v>0</v>
      </c>
      <c r="BB193" s="108">
        <f t="shared" si="375"/>
        <v>0</v>
      </c>
      <c r="BC193" s="108">
        <f t="shared" si="375"/>
        <v>0</v>
      </c>
      <c r="BD193" s="108">
        <f t="shared" si="375"/>
        <v>0</v>
      </c>
      <c r="BE193" s="109">
        <f t="shared" si="375"/>
        <v>0</v>
      </c>
      <c r="BG193" s="222"/>
      <c r="BH193" s="222"/>
      <c r="BI193" s="222"/>
      <c r="BJ193" s="269"/>
      <c r="BK193" s="265"/>
      <c r="BL193" s="222"/>
      <c r="BM193" s="249"/>
      <c r="BN193" s="265"/>
      <c r="BO193" s="222"/>
      <c r="BP193" s="222"/>
      <c r="BQ193" s="265"/>
      <c r="BR193" s="265"/>
      <c r="BS193" s="265"/>
      <c r="BT193" s="244"/>
      <c r="BU193" s="222"/>
      <c r="BV193" s="244"/>
      <c r="BW193" s="222"/>
    </row>
    <row r="194" spans="1:75" outlineLevel="1">
      <c r="A194" s="221">
        <v>96</v>
      </c>
      <c r="B194" s="222" t="str">
        <f>IF(LEN(D194)&gt;1,IF(VALUE(MID(RIGHT(D194,7),1,1))&gt;4,"외국인",IF(VALUE(RIGHT(11-MOD((MID(D194,1,1)*2+MID(D194,2,1)*3+MID(D194,3,1)*4+MID(D194,4,1)*5+MID(D194,5,1)*6+MID(D194,6,1)*7+MID(RIGHT(D194,7),1,1)*8+MID(RIGHT(D194,7),2,1)*9+MID(RIGHT(D194,7),3,1)*2+MID(RIGHT(D194,7),4,1)*3+MID(RIGHT(D194,7),5,1)*4+MID(RIGHT(D194,7),6,1)*5),11),1))=VALUE(RIGHT(D194,1)),"","오류")),"")</f>
        <v/>
      </c>
      <c r="C194" s="222"/>
      <c r="D194" s="225"/>
      <c r="E194" s="222"/>
      <c r="F194" s="222"/>
      <c r="G194" s="222"/>
      <c r="H194" s="266"/>
      <c r="I194" s="89"/>
      <c r="J194" s="90"/>
      <c r="K194" s="90"/>
      <c r="L194" s="90"/>
      <c r="M194" s="90"/>
      <c r="N194" s="90"/>
      <c r="O194" s="90"/>
      <c r="P194" s="90"/>
      <c r="Q194" s="90"/>
      <c r="R194" s="90"/>
      <c r="S194" s="91"/>
      <c r="T194" s="91"/>
      <c r="U194" s="90"/>
      <c r="V194" s="90"/>
      <c r="W194" s="92"/>
      <c r="X194" s="93"/>
      <c r="Y194" s="264">
        <f>SUM(I194:X195)</f>
        <v>0</v>
      </c>
      <c r="Z194" s="222">
        <f>COUNTIF(I194:X195,"&gt;0")</f>
        <v>0</v>
      </c>
      <c r="AA194" s="266">
        <f>H194*Y194</f>
        <v>0</v>
      </c>
      <c r="AB194" s="94">
        <f>IF(AO194&lt;1000, 0, AO194)</f>
        <v>0</v>
      </c>
      <c r="AC194" s="95">
        <f ca="1">IF(IFERROR($AN194&lt;65,FALSE), IF(B194&lt;&gt;"외국인", ROUNDDOWN(AA194*$AH$1%,-1), IF(AND(AM194&lt;&gt;"", ISNUMBER(SEARCH(LEFT(SUBSTITUTE(AM194, "-",""),2), "F2_F5_F6"))), ROUNDDOWN(AA194*$AH$1%,-1), 0)),0)</f>
        <v>0</v>
      </c>
      <c r="AD194" s="96">
        <f>IF(Z194&gt;=$AJ$1,ROUNDDOWN(AA194*$AH$2%,-1),0)</f>
        <v>0</v>
      </c>
      <c r="AE194" s="266">
        <f ca="1">AB194+AC194+AB195+AC195+AD194+AD195</f>
        <v>0</v>
      </c>
      <c r="AF194" s="266">
        <f ca="1">AA194-AE194</f>
        <v>0</v>
      </c>
      <c r="AG194" s="222"/>
      <c r="AH194" s="222"/>
      <c r="AI194" s="222"/>
      <c r="AJ194" s="222"/>
      <c r="AK194" s="250"/>
      <c r="AL194" s="250"/>
      <c r="AM194" s="251"/>
      <c r="AN194" s="252" t="str">
        <f ca="1">IFERROR(DATEDIF(DATE(IF(ISNUMBER(FIND(MID( SUBSTITUTE(D194, "-",""), 7, 1), "3478")), 2000, 1900)+MID(D194,1,2), MID(D194,3,2), MID(D194,5,2)), TODAY(), "Y"),"")</f>
        <v/>
      </c>
      <c r="AO194" s="266">
        <f>ROUNDDOWN(SUM(AP194:BE195),-1)</f>
        <v>0</v>
      </c>
      <c r="AP194" s="97">
        <f t="shared" ref="AP194:BD194" si="376">IF($H194*I194&gt;150000,ROUNDDOWN(($H194*I194-150000)*6%*45%,0),0)</f>
        <v>0</v>
      </c>
      <c r="AQ194" s="98">
        <f t="shared" si="376"/>
        <v>0</v>
      </c>
      <c r="AR194" s="98">
        <f t="shared" si="376"/>
        <v>0</v>
      </c>
      <c r="AS194" s="98">
        <f t="shared" si="376"/>
        <v>0</v>
      </c>
      <c r="AT194" s="98">
        <f t="shared" si="376"/>
        <v>0</v>
      </c>
      <c r="AU194" s="98">
        <f t="shared" si="376"/>
        <v>0</v>
      </c>
      <c r="AV194" s="98">
        <f t="shared" si="376"/>
        <v>0</v>
      </c>
      <c r="AW194" s="98">
        <f t="shared" si="376"/>
        <v>0</v>
      </c>
      <c r="AX194" s="98">
        <f t="shared" si="376"/>
        <v>0</v>
      </c>
      <c r="AY194" s="98">
        <f t="shared" si="376"/>
        <v>0</v>
      </c>
      <c r="AZ194" s="98">
        <f t="shared" si="376"/>
        <v>0</v>
      </c>
      <c r="BA194" s="98">
        <f t="shared" si="376"/>
        <v>0</v>
      </c>
      <c r="BB194" s="98">
        <f t="shared" si="376"/>
        <v>0</v>
      </c>
      <c r="BC194" s="98">
        <f t="shared" si="376"/>
        <v>0</v>
      </c>
      <c r="BD194" s="99">
        <f t="shared" si="376"/>
        <v>0</v>
      </c>
      <c r="BE194" s="100"/>
      <c r="BG194" s="222">
        <f t="shared" ref="BG194" si="377">C194</f>
        <v>0</v>
      </c>
      <c r="BH194" s="222"/>
      <c r="BI194" s="222"/>
      <c r="BJ194" s="227"/>
      <c r="BK194" s="265"/>
      <c r="BL194" s="222"/>
      <c r="BM194" s="249">
        <f t="shared" si="325"/>
        <v>0</v>
      </c>
      <c r="BN194" s="265"/>
      <c r="BO194" s="222"/>
      <c r="BP194" s="222"/>
      <c r="BQ194" s="265"/>
      <c r="BR194" s="265"/>
      <c r="BS194" s="265"/>
      <c r="BT194" s="244"/>
      <c r="BU194" s="222"/>
      <c r="BV194" s="244">
        <f t="shared" si="326"/>
        <v>0</v>
      </c>
      <c r="BW194" s="222"/>
    </row>
    <row r="195" spans="1:75" outlineLevel="1">
      <c r="A195" s="221"/>
      <c r="B195" s="222"/>
      <c r="C195" s="222"/>
      <c r="D195" s="225"/>
      <c r="E195" s="222"/>
      <c r="F195" s="222"/>
      <c r="G195" s="222"/>
      <c r="H195" s="266"/>
      <c r="I195" s="101"/>
      <c r="J195" s="102"/>
      <c r="K195" s="102"/>
      <c r="L195" s="102"/>
      <c r="M195" s="102"/>
      <c r="N195" s="102"/>
      <c r="O195" s="102"/>
      <c r="P195" s="102"/>
      <c r="Q195" s="102"/>
      <c r="R195" s="102"/>
      <c r="S195" s="102"/>
      <c r="T195" s="102"/>
      <c r="U195" s="102"/>
      <c r="V195" s="102"/>
      <c r="W195" s="102"/>
      <c r="X195" s="103"/>
      <c r="Y195" s="264"/>
      <c r="Z195" s="222"/>
      <c r="AA195" s="266"/>
      <c r="AB195" s="104">
        <f>ROUNDDOWN(AB194*10%,-1)</f>
        <v>0</v>
      </c>
      <c r="AC195" s="105">
        <f ca="1">IFERROR(IF(AND( OR(COUNTIF(I194:X195, "&gt;0")&gt;=$AJ$1, AA194&gt;=$AJ$4),AN194&lt;60,AA194&lt;=$AH$5),ROUNDDOWN(ROUNDDOWN(AA194,-3)*$AH$4%,-1),IF(AND(COUNTIF(I194:X195,"&gt;0")&gt;=$AJ$1,AN194&lt;60,AA194&gt;$AH$5),$AJ$5,0)),0)</f>
        <v>0</v>
      </c>
      <c r="AD195" s="106">
        <f>IF(Z194&gt;=$AJ$1,ROUNDDOWN(AD194*$AH$3%/($AH$2*2%),-1),0)</f>
        <v>0</v>
      </c>
      <c r="AE195" s="266"/>
      <c r="AF195" s="266"/>
      <c r="AG195" s="222"/>
      <c r="AH195" s="222"/>
      <c r="AI195" s="222"/>
      <c r="AJ195" s="222"/>
      <c r="AK195" s="250"/>
      <c r="AL195" s="250"/>
      <c r="AM195" s="251"/>
      <c r="AN195" s="252"/>
      <c r="AO195" s="266"/>
      <c r="AP195" s="107">
        <f t="shared" ref="AP195:BE195" si="378">IF($H194*I195&gt;150000,ROUNDDOWN(($H194*I195-150000)*6%*45%,0),0)</f>
        <v>0</v>
      </c>
      <c r="AQ195" s="108">
        <f t="shared" si="378"/>
        <v>0</v>
      </c>
      <c r="AR195" s="108">
        <f t="shared" si="378"/>
        <v>0</v>
      </c>
      <c r="AS195" s="108">
        <f t="shared" si="378"/>
        <v>0</v>
      </c>
      <c r="AT195" s="108">
        <f t="shared" si="378"/>
        <v>0</v>
      </c>
      <c r="AU195" s="108">
        <f t="shared" si="378"/>
        <v>0</v>
      </c>
      <c r="AV195" s="108">
        <f t="shared" si="378"/>
        <v>0</v>
      </c>
      <c r="AW195" s="108">
        <f t="shared" si="378"/>
        <v>0</v>
      </c>
      <c r="AX195" s="108">
        <f t="shared" si="378"/>
        <v>0</v>
      </c>
      <c r="AY195" s="108">
        <f t="shared" si="378"/>
        <v>0</v>
      </c>
      <c r="AZ195" s="108">
        <f t="shared" si="378"/>
        <v>0</v>
      </c>
      <c r="BA195" s="108">
        <f t="shared" si="378"/>
        <v>0</v>
      </c>
      <c r="BB195" s="108">
        <f t="shared" si="378"/>
        <v>0</v>
      </c>
      <c r="BC195" s="108">
        <f t="shared" si="378"/>
        <v>0</v>
      </c>
      <c r="BD195" s="108">
        <f t="shared" si="378"/>
        <v>0</v>
      </c>
      <c r="BE195" s="109">
        <f t="shared" si="378"/>
        <v>0</v>
      </c>
      <c r="BG195" s="222"/>
      <c r="BH195" s="222"/>
      <c r="BI195" s="222"/>
      <c r="BJ195" s="228"/>
      <c r="BK195" s="265"/>
      <c r="BL195" s="222"/>
      <c r="BM195" s="249"/>
      <c r="BN195" s="265"/>
      <c r="BO195" s="222"/>
      <c r="BP195" s="222"/>
      <c r="BQ195" s="265"/>
      <c r="BR195" s="265"/>
      <c r="BS195" s="265"/>
      <c r="BT195" s="244"/>
      <c r="BU195" s="222"/>
      <c r="BV195" s="244"/>
      <c r="BW195" s="222"/>
    </row>
    <row r="196" spans="1:75" outlineLevel="1">
      <c r="A196" s="221">
        <v>97</v>
      </c>
      <c r="B196" s="222" t="str">
        <f>IF(LEN(D196)&gt;1,IF(VALUE(MID(RIGHT(D196,7),1,1))&gt;4,"외국인",IF(VALUE(RIGHT(11-MOD((MID(D196,1,1)*2+MID(D196,2,1)*3+MID(D196,3,1)*4+MID(D196,4,1)*5+MID(D196,5,1)*6+MID(D196,6,1)*7+MID(RIGHT(D196,7),1,1)*8+MID(RIGHT(D196,7),2,1)*9+MID(RIGHT(D196,7),3,1)*2+MID(RIGHT(D196,7),4,1)*3+MID(RIGHT(D196,7),5,1)*4+MID(RIGHT(D196,7),6,1)*5),11),1))=VALUE(RIGHT(D196,1)),"","오류")),"")</f>
        <v/>
      </c>
      <c r="C196" s="222"/>
      <c r="D196" s="225"/>
      <c r="E196" s="222"/>
      <c r="F196" s="222"/>
      <c r="G196" s="222"/>
      <c r="H196" s="266"/>
      <c r="I196" s="89"/>
      <c r="J196" s="90"/>
      <c r="K196" s="90"/>
      <c r="L196" s="90"/>
      <c r="M196" s="90"/>
      <c r="N196" s="90"/>
      <c r="O196" s="90"/>
      <c r="P196" s="90"/>
      <c r="Q196" s="90"/>
      <c r="R196" s="90"/>
      <c r="S196" s="91"/>
      <c r="T196" s="91"/>
      <c r="U196" s="90"/>
      <c r="V196" s="90"/>
      <c r="W196" s="92"/>
      <c r="X196" s="93"/>
      <c r="Y196" s="264">
        <f>SUM(I196:X197)</f>
        <v>0</v>
      </c>
      <c r="Z196" s="222">
        <f>COUNTIF(I196:X197,"&gt;0")</f>
        <v>0</v>
      </c>
      <c r="AA196" s="266">
        <f>H196*Y196</f>
        <v>0</v>
      </c>
      <c r="AB196" s="94">
        <f>IF(AO196&lt;1000, 0, AO196)</f>
        <v>0</v>
      </c>
      <c r="AC196" s="95">
        <f ca="1">IF(IFERROR($AN196&lt;65,FALSE), IF(B196&lt;&gt;"외국인", ROUNDDOWN(AA196*$AH$1%,-1), IF(AND(AM196&lt;&gt;"", ISNUMBER(SEARCH(LEFT(SUBSTITUTE(AM196, "-",""),2), "F2_F5_F6"))), ROUNDDOWN(AA196*$AH$1%,-1), 0)),0)</f>
        <v>0</v>
      </c>
      <c r="AD196" s="96">
        <f>IF(Z196&gt;=$AJ$1,ROUNDDOWN(AA196*$AH$2%,-1),0)</f>
        <v>0</v>
      </c>
      <c r="AE196" s="266">
        <f ca="1">AB196+AC196+AB197+AC197+AD196+AD197</f>
        <v>0</v>
      </c>
      <c r="AF196" s="266">
        <f ca="1">AA196-AE196</f>
        <v>0</v>
      </c>
      <c r="AG196" s="222"/>
      <c r="AH196" s="222"/>
      <c r="AI196" s="222"/>
      <c r="AJ196" s="222"/>
      <c r="AK196" s="250"/>
      <c r="AL196" s="250"/>
      <c r="AM196" s="251"/>
      <c r="AN196" s="252" t="str">
        <f ca="1">IFERROR(DATEDIF(DATE(IF(ISNUMBER(FIND(MID( SUBSTITUTE(D196, "-",""), 7, 1), "3478")), 2000, 1900)+MID(D196,1,2), MID(D196,3,2), MID(D196,5,2)), TODAY(), "Y"),"")</f>
        <v/>
      </c>
      <c r="AO196" s="266">
        <f>ROUNDDOWN(SUM(AP196:BE197),-1)</f>
        <v>0</v>
      </c>
      <c r="AP196" s="97">
        <f t="shared" ref="AP196:BD196" si="379">IF($H196*I196&gt;150000,ROUNDDOWN(($H196*I196-150000)*6%*45%,0),0)</f>
        <v>0</v>
      </c>
      <c r="AQ196" s="98">
        <f t="shared" si="379"/>
        <v>0</v>
      </c>
      <c r="AR196" s="98">
        <f t="shared" si="379"/>
        <v>0</v>
      </c>
      <c r="AS196" s="98">
        <f t="shared" si="379"/>
        <v>0</v>
      </c>
      <c r="AT196" s="98">
        <f t="shared" si="379"/>
        <v>0</v>
      </c>
      <c r="AU196" s="98">
        <f t="shared" si="379"/>
        <v>0</v>
      </c>
      <c r="AV196" s="98">
        <f t="shared" si="379"/>
        <v>0</v>
      </c>
      <c r="AW196" s="98">
        <f t="shared" si="379"/>
        <v>0</v>
      </c>
      <c r="AX196" s="98">
        <f t="shared" si="379"/>
        <v>0</v>
      </c>
      <c r="AY196" s="98">
        <f t="shared" si="379"/>
        <v>0</v>
      </c>
      <c r="AZ196" s="98">
        <f t="shared" si="379"/>
        <v>0</v>
      </c>
      <c r="BA196" s="98">
        <f t="shared" si="379"/>
        <v>0</v>
      </c>
      <c r="BB196" s="98">
        <f t="shared" si="379"/>
        <v>0</v>
      </c>
      <c r="BC196" s="98">
        <f t="shared" si="379"/>
        <v>0</v>
      </c>
      <c r="BD196" s="99">
        <f t="shared" si="379"/>
        <v>0</v>
      </c>
      <c r="BE196" s="100"/>
      <c r="BG196" s="222">
        <f t="shared" ref="BG196" si="380">C196</f>
        <v>0</v>
      </c>
      <c r="BH196" s="222"/>
      <c r="BI196" s="222"/>
      <c r="BJ196" s="247"/>
      <c r="BK196" s="265"/>
      <c r="BL196" s="222"/>
      <c r="BM196" s="222"/>
      <c r="BN196" s="265"/>
      <c r="BO196" s="222"/>
      <c r="BP196" s="222"/>
      <c r="BQ196" s="265"/>
      <c r="BR196" s="265"/>
      <c r="BS196" s="265"/>
      <c r="BT196" s="244"/>
      <c r="BU196" s="222"/>
      <c r="BV196" s="244">
        <f t="shared" si="326"/>
        <v>0</v>
      </c>
      <c r="BW196" s="222"/>
    </row>
    <row r="197" spans="1:75" outlineLevel="1">
      <c r="A197" s="221"/>
      <c r="B197" s="222"/>
      <c r="C197" s="222"/>
      <c r="D197" s="225"/>
      <c r="E197" s="222"/>
      <c r="F197" s="222"/>
      <c r="G197" s="222"/>
      <c r="H197" s="266"/>
      <c r="I197" s="101"/>
      <c r="J197" s="102"/>
      <c r="K197" s="102"/>
      <c r="L197" s="102"/>
      <c r="M197" s="102"/>
      <c r="N197" s="102"/>
      <c r="O197" s="102"/>
      <c r="P197" s="102"/>
      <c r="Q197" s="102"/>
      <c r="R197" s="102"/>
      <c r="S197" s="102"/>
      <c r="T197" s="102"/>
      <c r="U197" s="102"/>
      <c r="V197" s="102"/>
      <c r="W197" s="102"/>
      <c r="X197" s="103"/>
      <c r="Y197" s="264"/>
      <c r="Z197" s="222"/>
      <c r="AA197" s="266"/>
      <c r="AB197" s="104">
        <f>ROUNDDOWN(AB196*10%,-1)</f>
        <v>0</v>
      </c>
      <c r="AC197" s="105">
        <f ca="1">IFERROR(IF(AND( OR(COUNTIF(I196:X197, "&gt;0")&gt;=$AJ$1, AA196&gt;=$AJ$4),AN196&lt;60,AA196&lt;=$AH$5),ROUNDDOWN(ROUNDDOWN(AA196,-3)*$AH$4%,-1),IF(AND(COUNTIF(I196:X197,"&gt;0")&gt;=$AJ$1,AN196&lt;60,AA196&gt;$AH$5),$AJ$5,0)),0)</f>
        <v>0</v>
      </c>
      <c r="AD197" s="106">
        <f>IF(Z196&gt;=$AJ$1,ROUNDDOWN(AD196*$AH$3%/($AH$2*2%),-1),0)</f>
        <v>0</v>
      </c>
      <c r="AE197" s="266"/>
      <c r="AF197" s="266"/>
      <c r="AG197" s="222"/>
      <c r="AH197" s="222"/>
      <c r="AI197" s="222"/>
      <c r="AJ197" s="222"/>
      <c r="AK197" s="250"/>
      <c r="AL197" s="250"/>
      <c r="AM197" s="251"/>
      <c r="AN197" s="252"/>
      <c r="AO197" s="266"/>
      <c r="AP197" s="107">
        <f t="shared" ref="AP197:BE197" si="381">IF($H196*I197&gt;150000,ROUNDDOWN(($H196*I197-150000)*6%*45%,0),0)</f>
        <v>0</v>
      </c>
      <c r="AQ197" s="108">
        <f t="shared" si="381"/>
        <v>0</v>
      </c>
      <c r="AR197" s="108">
        <f t="shared" si="381"/>
        <v>0</v>
      </c>
      <c r="AS197" s="108">
        <f t="shared" si="381"/>
        <v>0</v>
      </c>
      <c r="AT197" s="108">
        <f t="shared" si="381"/>
        <v>0</v>
      </c>
      <c r="AU197" s="108">
        <f t="shared" si="381"/>
        <v>0</v>
      </c>
      <c r="AV197" s="108">
        <f t="shared" si="381"/>
        <v>0</v>
      </c>
      <c r="AW197" s="108">
        <f t="shared" si="381"/>
        <v>0</v>
      </c>
      <c r="AX197" s="108">
        <f t="shared" si="381"/>
        <v>0</v>
      </c>
      <c r="AY197" s="108">
        <f t="shared" si="381"/>
        <v>0</v>
      </c>
      <c r="AZ197" s="108">
        <f t="shared" si="381"/>
        <v>0</v>
      </c>
      <c r="BA197" s="108">
        <f t="shared" si="381"/>
        <v>0</v>
      </c>
      <c r="BB197" s="108">
        <f t="shared" si="381"/>
        <v>0</v>
      </c>
      <c r="BC197" s="108">
        <f t="shared" si="381"/>
        <v>0</v>
      </c>
      <c r="BD197" s="108">
        <f t="shared" si="381"/>
        <v>0</v>
      </c>
      <c r="BE197" s="109">
        <f t="shared" si="381"/>
        <v>0</v>
      </c>
      <c r="BG197" s="222"/>
      <c r="BH197" s="222"/>
      <c r="BI197" s="222"/>
      <c r="BJ197" s="248"/>
      <c r="BK197" s="265"/>
      <c r="BL197" s="222"/>
      <c r="BM197" s="222"/>
      <c r="BN197" s="265"/>
      <c r="BO197" s="222"/>
      <c r="BP197" s="222"/>
      <c r="BQ197" s="265"/>
      <c r="BR197" s="265"/>
      <c r="BS197" s="265"/>
      <c r="BT197" s="244"/>
      <c r="BU197" s="222"/>
      <c r="BV197" s="244"/>
      <c r="BW197" s="222"/>
    </row>
    <row r="198" spans="1:75" outlineLevel="1">
      <c r="A198" s="221">
        <v>98</v>
      </c>
      <c r="B198" s="222" t="str">
        <f>IF(LEN(D198)&gt;1,IF(VALUE(MID(RIGHT(D198,7),1,1))&gt;4,"외국인",IF(VALUE(RIGHT(11-MOD((MID(D198,1,1)*2+MID(D198,2,1)*3+MID(D198,3,1)*4+MID(D198,4,1)*5+MID(D198,5,1)*6+MID(D198,6,1)*7+MID(RIGHT(D198,7),1,1)*8+MID(RIGHT(D198,7),2,1)*9+MID(RIGHT(D198,7),3,1)*2+MID(RIGHT(D198,7),4,1)*3+MID(RIGHT(D198,7),5,1)*4+MID(RIGHT(D198,7),6,1)*5),11),1))=VALUE(RIGHT(D198,1)),"","오류")),"")</f>
        <v/>
      </c>
      <c r="C198" s="222"/>
      <c r="D198" s="225"/>
      <c r="E198" s="222"/>
      <c r="F198" s="222"/>
      <c r="G198" s="222"/>
      <c r="H198" s="266"/>
      <c r="I198" s="89"/>
      <c r="J198" s="90"/>
      <c r="K198" s="90"/>
      <c r="L198" s="90"/>
      <c r="M198" s="90"/>
      <c r="N198" s="90"/>
      <c r="O198" s="90"/>
      <c r="P198" s="90"/>
      <c r="Q198" s="90"/>
      <c r="R198" s="90"/>
      <c r="S198" s="91"/>
      <c r="T198" s="91"/>
      <c r="U198" s="90"/>
      <c r="V198" s="90"/>
      <c r="W198" s="92"/>
      <c r="X198" s="93"/>
      <c r="Y198" s="264">
        <f>SUM(I198:X199)</f>
        <v>0</v>
      </c>
      <c r="Z198" s="222">
        <f>COUNTIF(I198:X199,"&gt;0")</f>
        <v>0</v>
      </c>
      <c r="AA198" s="266">
        <f>H198*Y198</f>
        <v>0</v>
      </c>
      <c r="AB198" s="94">
        <f>IF(AO198&lt;1000, 0, AO198)</f>
        <v>0</v>
      </c>
      <c r="AC198" s="95">
        <f ca="1">IF(IFERROR($AN198&lt;65,FALSE), IF(B198&lt;&gt;"외국인", ROUNDDOWN(AA198*$AH$1%,-1), IF(AND(AM198&lt;&gt;"", ISNUMBER(SEARCH(LEFT(SUBSTITUTE(AM198, "-",""),2), "F2_F5_F6"))), ROUNDDOWN(AA198*$AH$1%,-1), 0)),0)</f>
        <v>0</v>
      </c>
      <c r="AD198" s="96">
        <f>IF(Z198&gt;=$AJ$1,ROUNDDOWN(AA198*$AH$2%,-1),0)</f>
        <v>0</v>
      </c>
      <c r="AE198" s="266">
        <f ca="1">AB198+AC198+AB199+AC199+AD198+AD199</f>
        <v>0</v>
      </c>
      <c r="AF198" s="266">
        <f ca="1">AA198-AE198</f>
        <v>0</v>
      </c>
      <c r="AG198" s="222"/>
      <c r="AH198" s="222"/>
      <c r="AI198" s="222"/>
      <c r="AJ198" s="222"/>
      <c r="AK198" s="250"/>
      <c r="AL198" s="250"/>
      <c r="AM198" s="251"/>
      <c r="AN198" s="252" t="str">
        <f ca="1">IFERROR(DATEDIF(DATE(IF(ISNUMBER(FIND(MID( SUBSTITUTE(D198, "-",""), 7, 1), "3478")), 2000, 1900)+MID(D198,1,2), MID(D198,3,2), MID(D198,5,2)), TODAY(), "Y"),"")</f>
        <v/>
      </c>
      <c r="AO198" s="266">
        <f>ROUNDDOWN(SUM(AP198:BE199),-1)</f>
        <v>0</v>
      </c>
      <c r="AP198" s="97">
        <f t="shared" ref="AP198:BD198" si="382">IF($H198*I198&gt;150000,ROUNDDOWN(($H198*I198-150000)*6%*45%,0),0)</f>
        <v>0</v>
      </c>
      <c r="AQ198" s="98">
        <f t="shared" si="382"/>
        <v>0</v>
      </c>
      <c r="AR198" s="98">
        <f t="shared" si="382"/>
        <v>0</v>
      </c>
      <c r="AS198" s="98">
        <f t="shared" si="382"/>
        <v>0</v>
      </c>
      <c r="AT198" s="98">
        <f t="shared" si="382"/>
        <v>0</v>
      </c>
      <c r="AU198" s="98">
        <f t="shared" si="382"/>
        <v>0</v>
      </c>
      <c r="AV198" s="98">
        <f t="shared" si="382"/>
        <v>0</v>
      </c>
      <c r="AW198" s="98">
        <f t="shared" si="382"/>
        <v>0</v>
      </c>
      <c r="AX198" s="98">
        <f t="shared" si="382"/>
        <v>0</v>
      </c>
      <c r="AY198" s="98">
        <f t="shared" si="382"/>
        <v>0</v>
      </c>
      <c r="AZ198" s="98">
        <f t="shared" si="382"/>
        <v>0</v>
      </c>
      <c r="BA198" s="98">
        <f t="shared" si="382"/>
        <v>0</v>
      </c>
      <c r="BB198" s="98">
        <f t="shared" si="382"/>
        <v>0</v>
      </c>
      <c r="BC198" s="98">
        <f t="shared" si="382"/>
        <v>0</v>
      </c>
      <c r="BD198" s="99">
        <f t="shared" si="382"/>
        <v>0</v>
      </c>
      <c r="BE198" s="100"/>
      <c r="BG198" s="222">
        <f t="shared" ref="BG198" si="383">C198</f>
        <v>0</v>
      </c>
      <c r="BH198" s="222"/>
      <c r="BI198" s="222"/>
      <c r="BJ198" s="248"/>
      <c r="BK198" s="265"/>
      <c r="BL198" s="222"/>
      <c r="BM198" s="222"/>
      <c r="BN198" s="265"/>
      <c r="BO198" s="222"/>
      <c r="BP198" s="222"/>
      <c r="BQ198" s="265"/>
      <c r="BR198" s="265"/>
      <c r="BS198" s="265"/>
      <c r="BT198" s="244"/>
      <c r="BU198" s="222"/>
      <c r="BV198" s="244">
        <f t="shared" si="326"/>
        <v>0</v>
      </c>
      <c r="BW198" s="222"/>
    </row>
    <row r="199" spans="1:75" outlineLevel="1">
      <c r="A199" s="221"/>
      <c r="B199" s="222"/>
      <c r="C199" s="222"/>
      <c r="D199" s="225"/>
      <c r="E199" s="222"/>
      <c r="F199" s="222"/>
      <c r="G199" s="222"/>
      <c r="H199" s="266"/>
      <c r="I199" s="101"/>
      <c r="J199" s="102"/>
      <c r="K199" s="102"/>
      <c r="L199" s="102"/>
      <c r="M199" s="102"/>
      <c r="N199" s="102"/>
      <c r="O199" s="102"/>
      <c r="P199" s="102"/>
      <c r="Q199" s="102"/>
      <c r="R199" s="102"/>
      <c r="S199" s="102"/>
      <c r="T199" s="102"/>
      <c r="U199" s="102"/>
      <c r="V199" s="102"/>
      <c r="W199" s="102"/>
      <c r="X199" s="103"/>
      <c r="Y199" s="264"/>
      <c r="Z199" s="222"/>
      <c r="AA199" s="266"/>
      <c r="AB199" s="104">
        <f>ROUNDDOWN(AB198*10%,-1)</f>
        <v>0</v>
      </c>
      <c r="AC199" s="105">
        <f ca="1">IFERROR(IF(AND( OR(COUNTIF(I198:X199, "&gt;0")&gt;=$AJ$1, AA198&gt;=$AJ$4),AN198&lt;60,AA198&lt;=$AH$5),ROUNDDOWN(ROUNDDOWN(AA198,-3)*$AH$4%,-1),IF(AND(COUNTIF(I198:X199,"&gt;0")&gt;=$AJ$1,AN198&lt;60,AA198&gt;$AH$5),$AJ$5,0)),0)</f>
        <v>0</v>
      </c>
      <c r="AD199" s="106">
        <f>IF(Z198&gt;=$AJ$1,ROUNDDOWN(AD198*$AH$3%/($AH$2*2%),-1),0)</f>
        <v>0</v>
      </c>
      <c r="AE199" s="266"/>
      <c r="AF199" s="266"/>
      <c r="AG199" s="222"/>
      <c r="AH199" s="222"/>
      <c r="AI199" s="222"/>
      <c r="AJ199" s="222"/>
      <c r="AK199" s="250"/>
      <c r="AL199" s="250"/>
      <c r="AM199" s="251"/>
      <c r="AN199" s="252"/>
      <c r="AO199" s="266"/>
      <c r="AP199" s="107">
        <f t="shared" ref="AP199:BE199" si="384">IF($H198*I199&gt;150000,ROUNDDOWN(($H198*I199-150000)*6%*45%,0),0)</f>
        <v>0</v>
      </c>
      <c r="AQ199" s="108">
        <f t="shared" si="384"/>
        <v>0</v>
      </c>
      <c r="AR199" s="108">
        <f t="shared" si="384"/>
        <v>0</v>
      </c>
      <c r="AS199" s="108">
        <f t="shared" si="384"/>
        <v>0</v>
      </c>
      <c r="AT199" s="108">
        <f t="shared" si="384"/>
        <v>0</v>
      </c>
      <c r="AU199" s="108">
        <f t="shared" si="384"/>
        <v>0</v>
      </c>
      <c r="AV199" s="108">
        <f t="shared" si="384"/>
        <v>0</v>
      </c>
      <c r="AW199" s="108">
        <f t="shared" si="384"/>
        <v>0</v>
      </c>
      <c r="AX199" s="108">
        <f t="shared" si="384"/>
        <v>0</v>
      </c>
      <c r="AY199" s="108">
        <f t="shared" si="384"/>
        <v>0</v>
      </c>
      <c r="AZ199" s="108">
        <f t="shared" si="384"/>
        <v>0</v>
      </c>
      <c r="BA199" s="108">
        <f t="shared" si="384"/>
        <v>0</v>
      </c>
      <c r="BB199" s="108">
        <f t="shared" si="384"/>
        <v>0</v>
      </c>
      <c r="BC199" s="108">
        <f t="shared" si="384"/>
        <v>0</v>
      </c>
      <c r="BD199" s="108">
        <f t="shared" si="384"/>
        <v>0</v>
      </c>
      <c r="BE199" s="109">
        <f t="shared" si="384"/>
        <v>0</v>
      </c>
      <c r="BG199" s="222"/>
      <c r="BH199" s="222"/>
      <c r="BI199" s="222"/>
      <c r="BJ199" s="248"/>
      <c r="BK199" s="265"/>
      <c r="BL199" s="222"/>
      <c r="BM199" s="222"/>
      <c r="BN199" s="265"/>
      <c r="BO199" s="222"/>
      <c r="BP199" s="222"/>
      <c r="BQ199" s="265"/>
      <c r="BR199" s="265"/>
      <c r="BS199" s="265"/>
      <c r="BT199" s="244"/>
      <c r="BU199" s="222"/>
      <c r="BV199" s="244"/>
      <c r="BW199" s="222"/>
    </row>
    <row r="200" spans="1:75" outlineLevel="1">
      <c r="A200" s="221">
        <v>99</v>
      </c>
      <c r="B200" s="222" t="str">
        <f>IF(LEN(D200)&gt;1,IF(VALUE(MID(RIGHT(D200,7),1,1))&gt;4,"외국인",IF(VALUE(RIGHT(11-MOD((MID(D200,1,1)*2+MID(D200,2,1)*3+MID(D200,3,1)*4+MID(D200,4,1)*5+MID(D200,5,1)*6+MID(D200,6,1)*7+MID(RIGHT(D200,7),1,1)*8+MID(RIGHT(D200,7),2,1)*9+MID(RIGHT(D200,7),3,1)*2+MID(RIGHT(D200,7),4,1)*3+MID(RIGHT(D200,7),5,1)*4+MID(RIGHT(D200,7),6,1)*5),11),1))=VALUE(RIGHT(D200,1)),"","오류")),"")</f>
        <v/>
      </c>
      <c r="C200" s="222"/>
      <c r="D200" s="225"/>
      <c r="E200" s="222"/>
      <c r="F200" s="222"/>
      <c r="G200" s="222"/>
      <c r="H200" s="266"/>
      <c r="I200" s="89"/>
      <c r="J200" s="90"/>
      <c r="K200" s="90"/>
      <c r="L200" s="90"/>
      <c r="M200" s="90"/>
      <c r="N200" s="90"/>
      <c r="O200" s="90"/>
      <c r="P200" s="90"/>
      <c r="Q200" s="90"/>
      <c r="R200" s="90"/>
      <c r="S200" s="91"/>
      <c r="T200" s="91"/>
      <c r="U200" s="90"/>
      <c r="V200" s="90"/>
      <c r="W200" s="92"/>
      <c r="X200" s="93"/>
      <c r="Y200" s="264">
        <f>SUM(I200:X201)</f>
        <v>0</v>
      </c>
      <c r="Z200" s="222">
        <f>COUNTIF(I200:X201,"&gt;0")</f>
        <v>0</v>
      </c>
      <c r="AA200" s="266">
        <f>H200*Y200</f>
        <v>0</v>
      </c>
      <c r="AB200" s="94">
        <f>IF(AO200&lt;1000, 0, AO200)</f>
        <v>0</v>
      </c>
      <c r="AC200" s="95">
        <f ca="1">IF(IFERROR($AN200&lt;65,FALSE), IF(B200&lt;&gt;"외국인", ROUNDDOWN(AA200*$AH$1%,-1), IF(AND(AM200&lt;&gt;"", ISNUMBER(SEARCH(LEFT(SUBSTITUTE(AM200, "-",""),2), "F2_F5_F6"))), ROUNDDOWN(AA200*$AH$1%,-1), 0)),0)</f>
        <v>0</v>
      </c>
      <c r="AD200" s="96">
        <f>IF(Z200&gt;=$AJ$1,ROUNDDOWN(AA200*$AH$2%,-1),0)</f>
        <v>0</v>
      </c>
      <c r="AE200" s="266">
        <f ca="1">AB200+AC200+AB201+AC201+AD200+AD201</f>
        <v>0</v>
      </c>
      <c r="AF200" s="266">
        <f ca="1">AA200-AE200</f>
        <v>0</v>
      </c>
      <c r="AG200" s="222"/>
      <c r="AH200" s="222"/>
      <c r="AI200" s="222"/>
      <c r="AJ200" s="222"/>
      <c r="AK200" s="250"/>
      <c r="AL200" s="250"/>
      <c r="AM200" s="251"/>
      <c r="AN200" s="252" t="str">
        <f ca="1">IFERROR(DATEDIF(DATE(IF(ISNUMBER(FIND(MID( SUBSTITUTE(D200, "-",""), 7, 1), "3478")), 2000, 1900)+MID(D200,1,2), MID(D200,3,2), MID(D200,5,2)), TODAY(), "Y"),"")</f>
        <v/>
      </c>
      <c r="AO200" s="266">
        <f>ROUNDDOWN(SUM(AP200:BE201),-1)</f>
        <v>0</v>
      </c>
      <c r="AP200" s="97">
        <f t="shared" ref="AP200:BD200" si="385">IF($H200*I200&gt;150000,ROUNDDOWN(($H200*I200-150000)*6%*45%,0),0)</f>
        <v>0</v>
      </c>
      <c r="AQ200" s="98">
        <f t="shared" si="385"/>
        <v>0</v>
      </c>
      <c r="AR200" s="98">
        <f t="shared" si="385"/>
        <v>0</v>
      </c>
      <c r="AS200" s="98">
        <f t="shared" si="385"/>
        <v>0</v>
      </c>
      <c r="AT200" s="98">
        <f t="shared" si="385"/>
        <v>0</v>
      </c>
      <c r="AU200" s="98">
        <f t="shared" si="385"/>
        <v>0</v>
      </c>
      <c r="AV200" s="98">
        <f t="shared" si="385"/>
        <v>0</v>
      </c>
      <c r="AW200" s="98">
        <f t="shared" si="385"/>
        <v>0</v>
      </c>
      <c r="AX200" s="98">
        <f t="shared" si="385"/>
        <v>0</v>
      </c>
      <c r="AY200" s="98">
        <f t="shared" si="385"/>
        <v>0</v>
      </c>
      <c r="AZ200" s="98">
        <f t="shared" si="385"/>
        <v>0</v>
      </c>
      <c r="BA200" s="98">
        <f t="shared" si="385"/>
        <v>0</v>
      </c>
      <c r="BB200" s="98">
        <f t="shared" si="385"/>
        <v>0</v>
      </c>
      <c r="BC200" s="98">
        <f t="shared" si="385"/>
        <v>0</v>
      </c>
      <c r="BD200" s="99">
        <f t="shared" si="385"/>
        <v>0</v>
      </c>
      <c r="BE200" s="100"/>
      <c r="BG200" s="222">
        <f t="shared" ref="BG200" si="386">C200</f>
        <v>0</v>
      </c>
      <c r="BH200" s="222"/>
      <c r="BI200" s="222"/>
      <c r="BJ200" s="271"/>
      <c r="BK200" s="265"/>
      <c r="BL200" s="222"/>
      <c r="BM200" s="222"/>
      <c r="BN200" s="265"/>
      <c r="BO200" s="222"/>
      <c r="BP200" s="222"/>
      <c r="BQ200" s="265"/>
      <c r="BR200" s="265"/>
      <c r="BS200" s="265"/>
      <c r="BT200" s="244"/>
      <c r="BU200" s="222"/>
      <c r="BV200" s="244">
        <f t="shared" si="326"/>
        <v>0</v>
      </c>
      <c r="BW200" s="222"/>
    </row>
    <row r="201" spans="1:75" outlineLevel="1">
      <c r="A201" s="221"/>
      <c r="B201" s="222"/>
      <c r="C201" s="222"/>
      <c r="D201" s="225"/>
      <c r="E201" s="222"/>
      <c r="F201" s="222"/>
      <c r="G201" s="222"/>
      <c r="H201" s="266"/>
      <c r="I201" s="101"/>
      <c r="J201" s="102"/>
      <c r="K201" s="102"/>
      <c r="L201" s="102"/>
      <c r="M201" s="102"/>
      <c r="N201" s="102"/>
      <c r="O201" s="102"/>
      <c r="P201" s="102"/>
      <c r="Q201" s="102"/>
      <c r="R201" s="102"/>
      <c r="S201" s="102"/>
      <c r="T201" s="102"/>
      <c r="U201" s="102"/>
      <c r="V201" s="102"/>
      <c r="W201" s="102"/>
      <c r="X201" s="103"/>
      <c r="Y201" s="264"/>
      <c r="Z201" s="222"/>
      <c r="AA201" s="266"/>
      <c r="AB201" s="104">
        <f>ROUNDDOWN(AB200*10%,-1)</f>
        <v>0</v>
      </c>
      <c r="AC201" s="105">
        <f ca="1">IFERROR(IF(AND( OR(COUNTIF(I200:X201, "&gt;0")&gt;=$AJ$1, AA200&gt;=$AJ$4),AN200&lt;60,AA200&lt;=$AH$5),ROUNDDOWN(ROUNDDOWN(AA200,-3)*$AH$4%,-1),IF(AND(COUNTIF(I200:X201,"&gt;0")&gt;=$AJ$1,AN200&lt;60,AA200&gt;$AH$5),$AJ$5,0)),0)</f>
        <v>0</v>
      </c>
      <c r="AD201" s="106">
        <f>IF(Z200&gt;=$AJ$1,ROUNDDOWN(AD200*$AH$3%/($AH$2*2%),-1),0)</f>
        <v>0</v>
      </c>
      <c r="AE201" s="266"/>
      <c r="AF201" s="266"/>
      <c r="AG201" s="222"/>
      <c r="AH201" s="222"/>
      <c r="AI201" s="222"/>
      <c r="AJ201" s="222"/>
      <c r="AK201" s="250"/>
      <c r="AL201" s="250"/>
      <c r="AM201" s="251"/>
      <c r="AN201" s="252"/>
      <c r="AO201" s="266"/>
      <c r="AP201" s="107">
        <f t="shared" ref="AP201:BE201" si="387">IF($H200*I201&gt;150000,ROUNDDOWN(($H200*I201-150000)*6%*45%,0),0)</f>
        <v>0</v>
      </c>
      <c r="AQ201" s="108">
        <f t="shared" si="387"/>
        <v>0</v>
      </c>
      <c r="AR201" s="108">
        <f t="shared" si="387"/>
        <v>0</v>
      </c>
      <c r="AS201" s="108">
        <f t="shared" si="387"/>
        <v>0</v>
      </c>
      <c r="AT201" s="108">
        <f t="shared" si="387"/>
        <v>0</v>
      </c>
      <c r="AU201" s="108">
        <f t="shared" si="387"/>
        <v>0</v>
      </c>
      <c r="AV201" s="108">
        <f t="shared" si="387"/>
        <v>0</v>
      </c>
      <c r="AW201" s="108">
        <f t="shared" si="387"/>
        <v>0</v>
      </c>
      <c r="AX201" s="108">
        <f t="shared" si="387"/>
        <v>0</v>
      </c>
      <c r="AY201" s="108">
        <f t="shared" si="387"/>
        <v>0</v>
      </c>
      <c r="AZ201" s="108">
        <f t="shared" si="387"/>
        <v>0</v>
      </c>
      <c r="BA201" s="108">
        <f t="shared" si="387"/>
        <v>0</v>
      </c>
      <c r="BB201" s="108">
        <f t="shared" si="387"/>
        <v>0</v>
      </c>
      <c r="BC201" s="108">
        <f t="shared" si="387"/>
        <v>0</v>
      </c>
      <c r="BD201" s="108">
        <f t="shared" si="387"/>
        <v>0</v>
      </c>
      <c r="BE201" s="109">
        <f t="shared" si="387"/>
        <v>0</v>
      </c>
      <c r="BG201" s="222"/>
      <c r="BH201" s="222"/>
      <c r="BI201" s="222"/>
      <c r="BJ201" s="271"/>
      <c r="BK201" s="265"/>
      <c r="BL201" s="222"/>
      <c r="BM201" s="222"/>
      <c r="BN201" s="265"/>
      <c r="BO201" s="222"/>
      <c r="BP201" s="222"/>
      <c r="BQ201" s="265"/>
      <c r="BR201" s="265"/>
      <c r="BS201" s="265"/>
      <c r="BT201" s="244"/>
      <c r="BU201" s="222"/>
      <c r="BV201" s="244"/>
      <c r="BW201" s="222"/>
    </row>
    <row r="202" spans="1:75" outlineLevel="1">
      <c r="A202" s="221">
        <v>100</v>
      </c>
      <c r="B202" s="222" t="str">
        <f>IF(LEN(D202)&gt;1,IF(VALUE(MID(RIGHT(D202,7),1,1))&gt;4,"외국인",IF(VALUE(RIGHT(11-MOD((MID(D202,1,1)*2+MID(D202,2,1)*3+MID(D202,3,1)*4+MID(D202,4,1)*5+MID(D202,5,1)*6+MID(D202,6,1)*7+MID(RIGHT(D202,7),1,1)*8+MID(RIGHT(D202,7),2,1)*9+MID(RIGHT(D202,7),3,1)*2+MID(RIGHT(D202,7),4,1)*3+MID(RIGHT(D202,7),5,1)*4+MID(RIGHT(D202,7),6,1)*5),11),1))=VALUE(RIGHT(D202,1)),"","오류")),"")</f>
        <v/>
      </c>
      <c r="C202" s="222"/>
      <c r="D202" s="225"/>
      <c r="E202" s="222"/>
      <c r="F202" s="222"/>
      <c r="G202" s="222"/>
      <c r="H202" s="266"/>
      <c r="I202" s="89"/>
      <c r="J202" s="90"/>
      <c r="K202" s="90"/>
      <c r="L202" s="90"/>
      <c r="M202" s="90"/>
      <c r="N202" s="90"/>
      <c r="O202" s="90"/>
      <c r="P202" s="90"/>
      <c r="Q202" s="90"/>
      <c r="R202" s="90"/>
      <c r="S202" s="91"/>
      <c r="T202" s="91"/>
      <c r="U202" s="90"/>
      <c r="V202" s="90"/>
      <c r="W202" s="92"/>
      <c r="X202" s="93"/>
      <c r="Y202" s="264">
        <f>SUM(I202:X203)</f>
        <v>0</v>
      </c>
      <c r="Z202" s="222">
        <f>COUNTIF(I202:X203,"&gt;0")</f>
        <v>0</v>
      </c>
      <c r="AA202" s="266">
        <f>H202*Y202</f>
        <v>0</v>
      </c>
      <c r="AB202" s="94">
        <f>IF(AO202&lt;1000, 0, AO202)</f>
        <v>0</v>
      </c>
      <c r="AC202" s="95">
        <f ca="1">IF(IFERROR($AN202&lt;65,FALSE), IF(B202&lt;&gt;"외국인", ROUNDDOWN(AA202*$AH$1%,-1), IF(AND(AM202&lt;&gt;"", ISNUMBER(SEARCH(LEFT(SUBSTITUTE(AM202, "-",""),2), "F2_F5_F6"))), ROUNDDOWN(AA202*$AH$1%,-1), 0)),0)</f>
        <v>0</v>
      </c>
      <c r="AD202" s="96">
        <f>IF(Z202&gt;=$AJ$1,ROUNDDOWN(AA202*$AH$2%,-1),0)</f>
        <v>0</v>
      </c>
      <c r="AE202" s="266">
        <f ca="1">AB202+AC202+AB203+AC203+AD202+AD203</f>
        <v>0</v>
      </c>
      <c r="AF202" s="266">
        <f ca="1">AA202-AE202</f>
        <v>0</v>
      </c>
      <c r="AG202" s="222"/>
      <c r="AH202" s="222"/>
      <c r="AI202" s="222"/>
      <c r="AJ202" s="222"/>
      <c r="AK202" s="250"/>
      <c r="AL202" s="250"/>
      <c r="AM202" s="251"/>
      <c r="AN202" s="252" t="str">
        <f ca="1">IFERROR(DATEDIF(DATE(IF(ISNUMBER(FIND(MID( SUBSTITUTE(D202, "-",""), 7, 1), "3478")), 2000, 1900)+MID(D202,1,2), MID(D202,3,2), MID(D202,5,2)), TODAY(), "Y"),"")</f>
        <v/>
      </c>
      <c r="AO202" s="266">
        <f>ROUNDDOWN(SUM(AP202:BE203),-1)</f>
        <v>0</v>
      </c>
      <c r="AP202" s="97">
        <f t="shared" ref="AP202:BD202" si="388">IF($H202*I202&gt;150000,ROUNDDOWN(($H202*I202-150000)*6%*45%,0),0)</f>
        <v>0</v>
      </c>
      <c r="AQ202" s="98">
        <f t="shared" si="388"/>
        <v>0</v>
      </c>
      <c r="AR202" s="98">
        <f t="shared" si="388"/>
        <v>0</v>
      </c>
      <c r="AS202" s="98">
        <f t="shared" si="388"/>
        <v>0</v>
      </c>
      <c r="AT202" s="98">
        <f t="shared" si="388"/>
        <v>0</v>
      </c>
      <c r="AU202" s="98">
        <f t="shared" si="388"/>
        <v>0</v>
      </c>
      <c r="AV202" s="98">
        <f t="shared" si="388"/>
        <v>0</v>
      </c>
      <c r="AW202" s="98">
        <f t="shared" si="388"/>
        <v>0</v>
      </c>
      <c r="AX202" s="98">
        <f t="shared" si="388"/>
        <v>0</v>
      </c>
      <c r="AY202" s="98">
        <f t="shared" si="388"/>
        <v>0</v>
      </c>
      <c r="AZ202" s="98">
        <f t="shared" si="388"/>
        <v>0</v>
      </c>
      <c r="BA202" s="98">
        <f t="shared" si="388"/>
        <v>0</v>
      </c>
      <c r="BB202" s="98">
        <f t="shared" si="388"/>
        <v>0</v>
      </c>
      <c r="BC202" s="98">
        <f t="shared" si="388"/>
        <v>0</v>
      </c>
      <c r="BD202" s="99">
        <f t="shared" si="388"/>
        <v>0</v>
      </c>
      <c r="BE202" s="100"/>
      <c r="BG202" s="222">
        <f t="shared" ref="BG202" si="389">C202</f>
        <v>0</v>
      </c>
      <c r="BH202" s="222"/>
      <c r="BI202" s="222"/>
      <c r="BJ202" s="267"/>
      <c r="BK202" s="265"/>
      <c r="BL202" s="222"/>
      <c r="BM202" s="222"/>
      <c r="BN202" s="265"/>
      <c r="BO202" s="222"/>
      <c r="BP202" s="222"/>
      <c r="BQ202" s="265"/>
      <c r="BR202" s="265"/>
      <c r="BS202" s="265"/>
      <c r="BT202" s="244"/>
      <c r="BU202" s="222"/>
      <c r="BV202" s="244">
        <f t="shared" si="326"/>
        <v>0</v>
      </c>
      <c r="BW202" s="222"/>
    </row>
    <row r="203" spans="1:75" ht="16" outlineLevel="1" thickBot="1">
      <c r="A203" s="274"/>
      <c r="B203" s="272"/>
      <c r="C203" s="272"/>
      <c r="D203" s="275"/>
      <c r="E203" s="272"/>
      <c r="F203" s="272"/>
      <c r="G203" s="272"/>
      <c r="H203" s="273"/>
      <c r="I203" s="110"/>
      <c r="J203" s="111"/>
      <c r="K203" s="111"/>
      <c r="L203" s="111"/>
      <c r="M203" s="111"/>
      <c r="N203" s="111"/>
      <c r="O203" s="111"/>
      <c r="P203" s="111"/>
      <c r="Q203" s="111"/>
      <c r="R203" s="111"/>
      <c r="S203" s="111"/>
      <c r="T203" s="111"/>
      <c r="U203" s="111"/>
      <c r="V203" s="111"/>
      <c r="W203" s="111"/>
      <c r="X203" s="112"/>
      <c r="Y203" s="276"/>
      <c r="Z203" s="272"/>
      <c r="AA203" s="273"/>
      <c r="AB203" s="113">
        <f>ROUNDDOWN(AB202*10%,-1)</f>
        <v>0</v>
      </c>
      <c r="AC203" s="114">
        <f ca="1">IFERROR(IF(AND( OR(COUNTIF(I202:X203, "&gt;0")&gt;=$AJ$1, AA202&gt;=$AJ$4),AN202&lt;60,AA202&lt;=$AH$5),ROUNDDOWN(ROUNDDOWN(AA202,-3)*$AH$4%,-1),IF(AND(COUNTIF(I202:X203,"&gt;0")&gt;=$AJ$1,AN202&lt;60,AA202&gt;$AH$5),$AJ$5,0)),0)</f>
        <v>0</v>
      </c>
      <c r="AD203" s="115">
        <f>IF(Z202&gt;=$AJ$1,ROUNDDOWN(AD202*$AH$3%/($AH$2*2%),-1),0)</f>
        <v>0</v>
      </c>
      <c r="AE203" s="273"/>
      <c r="AF203" s="273"/>
      <c r="AG203" s="272"/>
      <c r="AH203" s="272"/>
      <c r="AI203" s="272"/>
      <c r="AJ203" s="272"/>
      <c r="AK203" s="277"/>
      <c r="AL203" s="277"/>
      <c r="AM203" s="278"/>
      <c r="AN203" s="252"/>
      <c r="AO203" s="266"/>
      <c r="AP203" s="107">
        <f t="shared" ref="AP203:BE203" si="390">IF($H202*I203&gt;150000,ROUNDDOWN(($H202*I203-150000)*6%*45%,0),0)</f>
        <v>0</v>
      </c>
      <c r="AQ203" s="108">
        <f t="shared" si="390"/>
        <v>0</v>
      </c>
      <c r="AR203" s="108">
        <f t="shared" si="390"/>
        <v>0</v>
      </c>
      <c r="AS203" s="108">
        <f t="shared" si="390"/>
        <v>0</v>
      </c>
      <c r="AT203" s="108">
        <f t="shared" si="390"/>
        <v>0</v>
      </c>
      <c r="AU203" s="108">
        <f t="shared" si="390"/>
        <v>0</v>
      </c>
      <c r="AV203" s="108">
        <f t="shared" si="390"/>
        <v>0</v>
      </c>
      <c r="AW203" s="108">
        <f t="shared" si="390"/>
        <v>0</v>
      </c>
      <c r="AX203" s="108">
        <f t="shared" si="390"/>
        <v>0</v>
      </c>
      <c r="AY203" s="108">
        <f t="shared" si="390"/>
        <v>0</v>
      </c>
      <c r="AZ203" s="108">
        <f t="shared" si="390"/>
        <v>0</v>
      </c>
      <c r="BA203" s="108">
        <f t="shared" si="390"/>
        <v>0</v>
      </c>
      <c r="BB203" s="108">
        <f t="shared" si="390"/>
        <v>0</v>
      </c>
      <c r="BC203" s="108">
        <f t="shared" si="390"/>
        <v>0</v>
      </c>
      <c r="BD203" s="108">
        <f t="shared" si="390"/>
        <v>0</v>
      </c>
      <c r="BE203" s="109">
        <f t="shared" si="390"/>
        <v>0</v>
      </c>
      <c r="BG203" s="222"/>
      <c r="BH203" s="222"/>
      <c r="BI203" s="222"/>
      <c r="BJ203" s="268"/>
      <c r="BK203" s="265"/>
      <c r="BL203" s="222"/>
      <c r="BM203" s="222"/>
      <c r="BN203" s="265"/>
      <c r="BO203" s="222"/>
      <c r="BP203" s="222"/>
      <c r="BQ203" s="265"/>
      <c r="BR203" s="265"/>
      <c r="BS203" s="265"/>
      <c r="BT203" s="244"/>
      <c r="BU203" s="222"/>
      <c r="BV203" s="244"/>
      <c r="BW203" s="222"/>
    </row>
    <row r="204" spans="1:75">
      <c r="AK204" s="116"/>
      <c r="AL204" s="116"/>
      <c r="AM204" s="116"/>
    </row>
  </sheetData>
  <mergeCells count="3885">
    <mergeCell ref="BT182:BT183"/>
    <mergeCell ref="BT184:BT185"/>
    <mergeCell ref="BT186:BT187"/>
    <mergeCell ref="BT188:BT189"/>
    <mergeCell ref="BT190:BT191"/>
    <mergeCell ref="BT192:BT193"/>
    <mergeCell ref="BT194:BT195"/>
    <mergeCell ref="BT196:BT197"/>
    <mergeCell ref="BT198:BT199"/>
    <mergeCell ref="BT200:BT201"/>
    <mergeCell ref="BT202:BT203"/>
    <mergeCell ref="BT148:BT149"/>
    <mergeCell ref="BT150:BT151"/>
    <mergeCell ref="BT152:BT153"/>
    <mergeCell ref="BT154:BT155"/>
    <mergeCell ref="BT156:BT157"/>
    <mergeCell ref="BT158:BT159"/>
    <mergeCell ref="BT160:BT161"/>
    <mergeCell ref="BT162:BT163"/>
    <mergeCell ref="BT164:BT165"/>
    <mergeCell ref="BT166:BT167"/>
    <mergeCell ref="BT168:BT169"/>
    <mergeCell ref="BT170:BT171"/>
    <mergeCell ref="BT172:BT173"/>
    <mergeCell ref="BT174:BT175"/>
    <mergeCell ref="BT176:BT177"/>
    <mergeCell ref="BT178:BT179"/>
    <mergeCell ref="BT180:BT181"/>
    <mergeCell ref="BT114:BT115"/>
    <mergeCell ref="BT116:BT117"/>
    <mergeCell ref="BT118:BT119"/>
    <mergeCell ref="BT120:BT121"/>
    <mergeCell ref="BT122:BT123"/>
    <mergeCell ref="BT124:BT125"/>
    <mergeCell ref="BT126:BT127"/>
    <mergeCell ref="BT128:BT129"/>
    <mergeCell ref="BT130:BT131"/>
    <mergeCell ref="BT132:BT133"/>
    <mergeCell ref="BT134:BT135"/>
    <mergeCell ref="BT136:BT137"/>
    <mergeCell ref="BT138:BT139"/>
    <mergeCell ref="BT140:BT141"/>
    <mergeCell ref="BT142:BT143"/>
    <mergeCell ref="BT144:BT145"/>
    <mergeCell ref="BT146:BT147"/>
    <mergeCell ref="BT80:BT81"/>
    <mergeCell ref="BT82:BT83"/>
    <mergeCell ref="BT84:BT85"/>
    <mergeCell ref="BT86:BT87"/>
    <mergeCell ref="BT88:BT89"/>
    <mergeCell ref="BT90:BT91"/>
    <mergeCell ref="BT92:BT93"/>
    <mergeCell ref="BT94:BT95"/>
    <mergeCell ref="BT96:BT97"/>
    <mergeCell ref="BT98:BT99"/>
    <mergeCell ref="BT100:BT101"/>
    <mergeCell ref="BT102:BT103"/>
    <mergeCell ref="BT104:BT105"/>
    <mergeCell ref="BT106:BT107"/>
    <mergeCell ref="BT108:BT109"/>
    <mergeCell ref="BT110:BT111"/>
    <mergeCell ref="BT112:BT113"/>
    <mergeCell ref="BT34:BT35"/>
    <mergeCell ref="BT36:BT37"/>
    <mergeCell ref="BT38:BT39"/>
    <mergeCell ref="BT40:BT41"/>
    <mergeCell ref="BT42:BT43"/>
    <mergeCell ref="BT44:BT45"/>
    <mergeCell ref="BT46:BT47"/>
    <mergeCell ref="BT48:BT49"/>
    <mergeCell ref="BT50:BT51"/>
    <mergeCell ref="BT52:BT53"/>
    <mergeCell ref="BT54:BT55"/>
    <mergeCell ref="BT56:BT57"/>
    <mergeCell ref="BT58:BT59"/>
    <mergeCell ref="BT60:BT61"/>
    <mergeCell ref="BT62:BT63"/>
    <mergeCell ref="BT64:BT65"/>
    <mergeCell ref="BT66:BT67"/>
    <mergeCell ref="BM94:BM95"/>
    <mergeCell ref="BM102:BM103"/>
    <mergeCell ref="BM104:BM105"/>
    <mergeCell ref="BM106:BM107"/>
    <mergeCell ref="AO200:AO201"/>
    <mergeCell ref="BG200:BG201"/>
    <mergeCell ref="BM142:BM143"/>
    <mergeCell ref="BM38:BM39"/>
    <mergeCell ref="BM40:BM41"/>
    <mergeCell ref="BU202:BU203"/>
    <mergeCell ref="BV202:BV203"/>
    <mergeCell ref="BW202:BW203"/>
    <mergeCell ref="BL202:BL203"/>
    <mergeCell ref="BQ202:BQ203"/>
    <mergeCell ref="BR202:BR203"/>
    <mergeCell ref="BS202:BS203"/>
    <mergeCell ref="BM202:BM203"/>
    <mergeCell ref="BN202:BN203"/>
    <mergeCell ref="BO202:BO203"/>
    <mergeCell ref="BP202:BP203"/>
    <mergeCell ref="AO202:AO203"/>
    <mergeCell ref="BG202:BG203"/>
    <mergeCell ref="BH202:BH203"/>
    <mergeCell ref="BI202:BI203"/>
    <mergeCell ref="BJ202:BJ203"/>
    <mergeCell ref="BK202:BK203"/>
    <mergeCell ref="BT68:BT69"/>
    <mergeCell ref="BT70:BT71"/>
    <mergeCell ref="BT72:BT73"/>
    <mergeCell ref="BT74:BT75"/>
    <mergeCell ref="BT76:BT77"/>
    <mergeCell ref="BT78:BT79"/>
    <mergeCell ref="BM8:BM9"/>
    <mergeCell ref="BM10:BM11"/>
    <mergeCell ref="BM12:BM13"/>
    <mergeCell ref="BM14:BM15"/>
    <mergeCell ref="BM16:BM17"/>
    <mergeCell ref="BM18:BM19"/>
    <mergeCell ref="BM20:BM21"/>
    <mergeCell ref="BM22:BM23"/>
    <mergeCell ref="BM24:BM25"/>
    <mergeCell ref="BM26:BM27"/>
    <mergeCell ref="BM28:BM29"/>
    <mergeCell ref="BM30:BM31"/>
    <mergeCell ref="BM32:BM33"/>
    <mergeCell ref="BM34:BM35"/>
    <mergeCell ref="BM36:BM37"/>
    <mergeCell ref="BM90:BM91"/>
    <mergeCell ref="BM92:BM93"/>
    <mergeCell ref="BM42:BM43"/>
    <mergeCell ref="BM44:BM45"/>
    <mergeCell ref="BM46:BM47"/>
    <mergeCell ref="BM48:BM49"/>
    <mergeCell ref="BM50:BM51"/>
    <mergeCell ref="BM52:BM53"/>
    <mergeCell ref="BM54:BM55"/>
    <mergeCell ref="BM56:BM57"/>
    <mergeCell ref="BM58:BM59"/>
    <mergeCell ref="BM60:BM61"/>
    <mergeCell ref="BM62:BM63"/>
    <mergeCell ref="BM64:BM65"/>
    <mergeCell ref="BM66:BM67"/>
    <mergeCell ref="BM68:BM69"/>
    <mergeCell ref="BM70:BM71"/>
    <mergeCell ref="BW200:BW201"/>
    <mergeCell ref="A202:A203"/>
    <mergeCell ref="B202:B203"/>
    <mergeCell ref="C202:C203"/>
    <mergeCell ref="D202:D203"/>
    <mergeCell ref="E202:E203"/>
    <mergeCell ref="F202:F203"/>
    <mergeCell ref="G202:G203"/>
    <mergeCell ref="H202:H203"/>
    <mergeCell ref="Y202:Y203"/>
    <mergeCell ref="BM200:BM201"/>
    <mergeCell ref="BN200:BN201"/>
    <mergeCell ref="BO200:BO201"/>
    <mergeCell ref="BP200:BP201"/>
    <mergeCell ref="BQ200:BQ201"/>
    <mergeCell ref="BR200:BR201"/>
    <mergeCell ref="BS200:BS201"/>
    <mergeCell ref="BU200:BU201"/>
    <mergeCell ref="BV200:BV201"/>
    <mergeCell ref="AK200:AK201"/>
    <mergeCell ref="F200:F201"/>
    <mergeCell ref="G200:G201"/>
    <mergeCell ref="H200:H201"/>
    <mergeCell ref="Y200:Y201"/>
    <mergeCell ref="Z200:Z201"/>
    <mergeCell ref="AA200:AA201"/>
    <mergeCell ref="Z202:Z203"/>
    <mergeCell ref="AA202:AA203"/>
    <mergeCell ref="AE202:AE203"/>
    <mergeCell ref="AF202:AF203"/>
    <mergeCell ref="AG202:AG203"/>
    <mergeCell ref="AH202:AH203"/>
    <mergeCell ref="AE200:AE201"/>
    <mergeCell ref="AF200:AF201"/>
    <mergeCell ref="AG200:AG201"/>
    <mergeCell ref="AH200:AH201"/>
    <mergeCell ref="AI200:AI201"/>
    <mergeCell ref="AJ200:AJ201"/>
    <mergeCell ref="AI202:AI203"/>
    <mergeCell ref="AJ202:AJ203"/>
    <mergeCell ref="AK202:AK203"/>
    <mergeCell ref="AL202:AL203"/>
    <mergeCell ref="AM202:AM203"/>
    <mergeCell ref="AN202:AN203"/>
    <mergeCell ref="BM188:BM189"/>
    <mergeCell ref="BM190:BM191"/>
    <mergeCell ref="BM192:BM193"/>
    <mergeCell ref="BM194:BM195"/>
    <mergeCell ref="BM196:BM197"/>
    <mergeCell ref="BM198:BM199"/>
    <mergeCell ref="AG198:AG199"/>
    <mergeCell ref="AH198:AH199"/>
    <mergeCell ref="AI198:AI199"/>
    <mergeCell ref="AJ198:AJ199"/>
    <mergeCell ref="AK198:AK199"/>
    <mergeCell ref="AL198:AL199"/>
    <mergeCell ref="BH200:BH201"/>
    <mergeCell ref="BI200:BI201"/>
    <mergeCell ref="BJ200:BJ201"/>
    <mergeCell ref="BK200:BK201"/>
    <mergeCell ref="BL200:BL201"/>
    <mergeCell ref="AL200:AL201"/>
    <mergeCell ref="AM200:AM201"/>
    <mergeCell ref="AN200:AN201"/>
    <mergeCell ref="AK192:AK193"/>
    <mergeCell ref="AL192:AL193"/>
    <mergeCell ref="AG194:AG195"/>
    <mergeCell ref="AH194:AH195"/>
    <mergeCell ref="AI194:AI195"/>
    <mergeCell ref="AJ194:AJ195"/>
    <mergeCell ref="BI194:BI195"/>
    <mergeCell ref="BJ194:BJ195"/>
    <mergeCell ref="BK194:BK195"/>
    <mergeCell ref="BM110:BM111"/>
    <mergeCell ref="BM112:BM113"/>
    <mergeCell ref="BM114:BM115"/>
    <mergeCell ref="BM116:BM117"/>
    <mergeCell ref="BM118:BM119"/>
    <mergeCell ref="BM120:BM121"/>
    <mergeCell ref="BM122:BM123"/>
    <mergeCell ref="BM124:BM125"/>
    <mergeCell ref="BM126:BM127"/>
    <mergeCell ref="BM128:BM129"/>
    <mergeCell ref="BM130:BM131"/>
    <mergeCell ref="BM132:BM133"/>
    <mergeCell ref="BM134:BM135"/>
    <mergeCell ref="BM136:BM137"/>
    <mergeCell ref="BM182:BM183"/>
    <mergeCell ref="BM184:BM185"/>
    <mergeCell ref="BM186:BM187"/>
    <mergeCell ref="BV198:BV199"/>
    <mergeCell ref="BW198:BW199"/>
    <mergeCell ref="A200:A201"/>
    <mergeCell ref="B200:B201"/>
    <mergeCell ref="C200:C201"/>
    <mergeCell ref="D200:D201"/>
    <mergeCell ref="E200:E201"/>
    <mergeCell ref="BN198:BN199"/>
    <mergeCell ref="BO198:BO199"/>
    <mergeCell ref="BP198:BP199"/>
    <mergeCell ref="BJ198:BJ199"/>
    <mergeCell ref="BK198:BK199"/>
    <mergeCell ref="BL198:BL199"/>
    <mergeCell ref="BQ198:BQ199"/>
    <mergeCell ref="BN8:BN9"/>
    <mergeCell ref="BO8:BO9"/>
    <mergeCell ref="BP8:BP9"/>
    <mergeCell ref="BN10:BN11"/>
    <mergeCell ref="BO10:BO11"/>
    <mergeCell ref="BP10:BP11"/>
    <mergeCell ref="BN12:BN13"/>
    <mergeCell ref="BO12:BO13"/>
    <mergeCell ref="BP12:BP13"/>
    <mergeCell ref="BN14:BN15"/>
    <mergeCell ref="BO14:BO15"/>
    <mergeCell ref="BP14:BP15"/>
    <mergeCell ref="BN16:BN17"/>
    <mergeCell ref="BO16:BO17"/>
    <mergeCell ref="BP16:BP17"/>
    <mergeCell ref="BM162:BM163"/>
    <mergeCell ref="BM164:BM165"/>
    <mergeCell ref="BM108:BM109"/>
    <mergeCell ref="BN18:BN19"/>
    <mergeCell ref="BO18:BO19"/>
    <mergeCell ref="BP18:BP19"/>
    <mergeCell ref="BN20:BN21"/>
    <mergeCell ref="BO20:BO21"/>
    <mergeCell ref="BP20:BP21"/>
    <mergeCell ref="BN22:BN23"/>
    <mergeCell ref="BO22:BO23"/>
    <mergeCell ref="BP22:BP23"/>
    <mergeCell ref="BN24:BN25"/>
    <mergeCell ref="BO24:BO25"/>
    <mergeCell ref="BP24:BP25"/>
    <mergeCell ref="BN26:BN27"/>
    <mergeCell ref="AM198:AM199"/>
    <mergeCell ref="AN198:AN199"/>
    <mergeCell ref="AO198:AO199"/>
    <mergeCell ref="BG198:BG199"/>
    <mergeCell ref="BH198:BH199"/>
    <mergeCell ref="BI198:BI199"/>
    <mergeCell ref="BO26:BO27"/>
    <mergeCell ref="BP26:BP27"/>
    <mergeCell ref="BN28:BN29"/>
    <mergeCell ref="BO28:BO29"/>
    <mergeCell ref="BP28:BP29"/>
    <mergeCell ref="BN30:BN31"/>
    <mergeCell ref="BO30:BO31"/>
    <mergeCell ref="BP30:BP31"/>
    <mergeCell ref="BN32:BN33"/>
    <mergeCell ref="BO32:BO33"/>
    <mergeCell ref="BP32:BP33"/>
    <mergeCell ref="BN34:BN35"/>
    <mergeCell ref="BO34:BO35"/>
    <mergeCell ref="BP34:BP35"/>
    <mergeCell ref="BN36:BN37"/>
    <mergeCell ref="BO36:BO37"/>
    <mergeCell ref="BP36:BP37"/>
    <mergeCell ref="BN38:BN39"/>
    <mergeCell ref="BO38:BO39"/>
    <mergeCell ref="BP38:BP39"/>
    <mergeCell ref="BN40:BN41"/>
    <mergeCell ref="BO40:BO41"/>
    <mergeCell ref="BN42:BN43"/>
    <mergeCell ref="BO42:BO43"/>
    <mergeCell ref="BP42:BP43"/>
    <mergeCell ref="BN44:BN45"/>
    <mergeCell ref="BO44:BO45"/>
    <mergeCell ref="BP44:BP45"/>
    <mergeCell ref="BN46:BN47"/>
    <mergeCell ref="BO46:BO47"/>
    <mergeCell ref="BP46:BP47"/>
    <mergeCell ref="BN48:BN49"/>
    <mergeCell ref="BO48:BO49"/>
    <mergeCell ref="BP48:BP49"/>
    <mergeCell ref="BN50:BN51"/>
    <mergeCell ref="H198:H199"/>
    <mergeCell ref="Y198:Y199"/>
    <mergeCell ref="Z198:Z199"/>
    <mergeCell ref="AA198:AA199"/>
    <mergeCell ref="AE198:AE199"/>
    <mergeCell ref="AF198:AF199"/>
    <mergeCell ref="BO50:BO51"/>
    <mergeCell ref="BP50:BP51"/>
    <mergeCell ref="BN52:BN53"/>
    <mergeCell ref="BO52:BO53"/>
    <mergeCell ref="BP52:BP53"/>
    <mergeCell ref="BN54:BN55"/>
    <mergeCell ref="BO54:BO55"/>
    <mergeCell ref="BP54:BP55"/>
    <mergeCell ref="BN56:BN57"/>
    <mergeCell ref="BO56:BO57"/>
    <mergeCell ref="BP56:BP57"/>
    <mergeCell ref="BN58:BN59"/>
    <mergeCell ref="BM166:BM167"/>
    <mergeCell ref="BN62:BN63"/>
    <mergeCell ref="BO62:BO63"/>
    <mergeCell ref="BP62:BP63"/>
    <mergeCell ref="BN64:BN65"/>
    <mergeCell ref="BO64:BO65"/>
    <mergeCell ref="BP64:BP65"/>
    <mergeCell ref="BN66:BN67"/>
    <mergeCell ref="BO66:BO67"/>
    <mergeCell ref="BP66:BP67"/>
    <mergeCell ref="BM80:BM81"/>
    <mergeCell ref="BM82:BM83"/>
    <mergeCell ref="BM84:BM85"/>
    <mergeCell ref="BM86:BM87"/>
    <mergeCell ref="BM88:BM89"/>
    <mergeCell ref="BM144:BM145"/>
    <mergeCell ref="BU196:BU197"/>
    <mergeCell ref="BV196:BV197"/>
    <mergeCell ref="BW196:BW197"/>
    <mergeCell ref="A198:A199"/>
    <mergeCell ref="B198:B199"/>
    <mergeCell ref="C198:C199"/>
    <mergeCell ref="D198:D199"/>
    <mergeCell ref="E198:E199"/>
    <mergeCell ref="F198:F199"/>
    <mergeCell ref="G198:G199"/>
    <mergeCell ref="BN196:BN197"/>
    <mergeCell ref="BO196:BO197"/>
    <mergeCell ref="BP196:BP197"/>
    <mergeCell ref="BL196:BL197"/>
    <mergeCell ref="BQ196:BQ197"/>
    <mergeCell ref="BR196:BR197"/>
    <mergeCell ref="BS196:BS197"/>
    <mergeCell ref="AI196:AI197"/>
    <mergeCell ref="AJ196:AJ197"/>
    <mergeCell ref="AK196:AK197"/>
    <mergeCell ref="AL196:AL197"/>
    <mergeCell ref="AM196:AM197"/>
    <mergeCell ref="AN196:AN197"/>
    <mergeCell ref="BR198:BR199"/>
    <mergeCell ref="BS198:BS199"/>
    <mergeCell ref="BU198:BU199"/>
    <mergeCell ref="BN138:BN139"/>
    <mergeCell ref="BO152:BO153"/>
    <mergeCell ref="BP152:BP153"/>
    <mergeCell ref="BN154:BN155"/>
    <mergeCell ref="BO154:BO155"/>
    <mergeCell ref="BP154:BP155"/>
    <mergeCell ref="BN68:BN69"/>
    <mergeCell ref="BM178:BM179"/>
    <mergeCell ref="BM180:BM181"/>
    <mergeCell ref="BM138:BM139"/>
    <mergeCell ref="BM140:BM141"/>
    <mergeCell ref="BM78:BM79"/>
    <mergeCell ref="AO196:AO197"/>
    <mergeCell ref="BG196:BG197"/>
    <mergeCell ref="BH196:BH197"/>
    <mergeCell ref="BI196:BI197"/>
    <mergeCell ref="BJ196:BJ197"/>
    <mergeCell ref="BK196:BK197"/>
    <mergeCell ref="BO74:BO75"/>
    <mergeCell ref="BP74:BP75"/>
    <mergeCell ref="BN76:BN77"/>
    <mergeCell ref="BO76:BO77"/>
    <mergeCell ref="BP76:BP77"/>
    <mergeCell ref="BN78:BN79"/>
    <mergeCell ref="BO78:BO79"/>
    <mergeCell ref="BP78:BP79"/>
    <mergeCell ref="BN80:BN81"/>
    <mergeCell ref="BO80:BO81"/>
    <mergeCell ref="BP80:BP81"/>
    <mergeCell ref="BN82:BN83"/>
    <mergeCell ref="BO82:BO83"/>
    <mergeCell ref="BP82:BP83"/>
    <mergeCell ref="BN88:BN89"/>
    <mergeCell ref="BO88:BO89"/>
    <mergeCell ref="BP88:BP89"/>
    <mergeCell ref="BN90:BN91"/>
    <mergeCell ref="BO90:BO91"/>
    <mergeCell ref="BP90:BP91"/>
    <mergeCell ref="BN92:BN93"/>
    <mergeCell ref="BO92:BO93"/>
    <mergeCell ref="BP92:BP93"/>
    <mergeCell ref="BN94:BN95"/>
    <mergeCell ref="BO94:BO95"/>
    <mergeCell ref="BM146:BM147"/>
    <mergeCell ref="BM148:BM149"/>
    <mergeCell ref="BM150:BM151"/>
    <mergeCell ref="BM152:BM153"/>
    <mergeCell ref="BM154:BM155"/>
    <mergeCell ref="BM156:BM157"/>
    <mergeCell ref="BP94:BP95"/>
    <mergeCell ref="BN96:BN97"/>
    <mergeCell ref="BO96:BO97"/>
    <mergeCell ref="BP96:BP97"/>
    <mergeCell ref="BN98:BN99"/>
    <mergeCell ref="BN116:BN117"/>
    <mergeCell ref="BO116:BO117"/>
    <mergeCell ref="BP116:BP117"/>
    <mergeCell ref="BN118:BN119"/>
    <mergeCell ref="BO118:BO119"/>
    <mergeCell ref="BP118:BP119"/>
    <mergeCell ref="BN120:BN121"/>
    <mergeCell ref="BN114:BN115"/>
    <mergeCell ref="BO114:BO115"/>
    <mergeCell ref="BP114:BP115"/>
    <mergeCell ref="AL194:AL195"/>
    <mergeCell ref="AM194:AM195"/>
    <mergeCell ref="AN194:AN195"/>
    <mergeCell ref="AO194:AO195"/>
    <mergeCell ref="BG194:BG195"/>
    <mergeCell ref="Z196:Z197"/>
    <mergeCell ref="AA196:AA197"/>
    <mergeCell ref="AE196:AE197"/>
    <mergeCell ref="AF196:AF197"/>
    <mergeCell ref="AG196:AG197"/>
    <mergeCell ref="AH196:AH197"/>
    <mergeCell ref="AE194:AE195"/>
    <mergeCell ref="AF194:AF195"/>
    <mergeCell ref="BO68:BO69"/>
    <mergeCell ref="BP68:BP69"/>
    <mergeCell ref="BN70:BN71"/>
    <mergeCell ref="BO70:BO71"/>
    <mergeCell ref="BP70:BP71"/>
    <mergeCell ref="BN72:BN73"/>
    <mergeCell ref="BO72:BO73"/>
    <mergeCell ref="BP72:BP73"/>
    <mergeCell ref="BN74:BN75"/>
    <mergeCell ref="BN108:BN109"/>
    <mergeCell ref="BO108:BO109"/>
    <mergeCell ref="BP108:BP109"/>
    <mergeCell ref="BN110:BN111"/>
    <mergeCell ref="BO110:BO111"/>
    <mergeCell ref="BP110:BP111"/>
    <mergeCell ref="BN112:BN113"/>
    <mergeCell ref="BO112:BO113"/>
    <mergeCell ref="BP112:BP113"/>
    <mergeCell ref="BN86:BN87"/>
    <mergeCell ref="BN144:BN145"/>
    <mergeCell ref="BO144:BO145"/>
    <mergeCell ref="BP144:BP145"/>
    <mergeCell ref="BN146:BN147"/>
    <mergeCell ref="BO146:BO147"/>
    <mergeCell ref="BP146:BP147"/>
    <mergeCell ref="BN148:BN149"/>
    <mergeCell ref="BO148:BO149"/>
    <mergeCell ref="BP148:BP149"/>
    <mergeCell ref="BN150:BN151"/>
    <mergeCell ref="BO150:BO151"/>
    <mergeCell ref="BP150:BP151"/>
    <mergeCell ref="BN152:BN153"/>
    <mergeCell ref="BW194:BW195"/>
    <mergeCell ref="A196:A197"/>
    <mergeCell ref="B196:B197"/>
    <mergeCell ref="C196:C197"/>
    <mergeCell ref="D196:D197"/>
    <mergeCell ref="E196:E197"/>
    <mergeCell ref="F196:F197"/>
    <mergeCell ref="G196:G197"/>
    <mergeCell ref="H196:H197"/>
    <mergeCell ref="Y196:Y197"/>
    <mergeCell ref="BN194:BN195"/>
    <mergeCell ref="BO194:BO195"/>
    <mergeCell ref="BP194:BP195"/>
    <mergeCell ref="BQ194:BQ195"/>
    <mergeCell ref="BR194:BR195"/>
    <mergeCell ref="BS194:BS195"/>
    <mergeCell ref="BU194:BU195"/>
    <mergeCell ref="BV194:BV195"/>
    <mergeCell ref="AK194:AK195"/>
    <mergeCell ref="BN126:BN127"/>
    <mergeCell ref="BO126:BO127"/>
    <mergeCell ref="BP126:BP127"/>
    <mergeCell ref="BN128:BN129"/>
    <mergeCell ref="BO128:BO129"/>
    <mergeCell ref="BP128:BP129"/>
    <mergeCell ref="BN130:BN131"/>
    <mergeCell ref="BO130:BO131"/>
    <mergeCell ref="BP130:BP131"/>
    <mergeCell ref="BN132:BN133"/>
    <mergeCell ref="BO132:BO133"/>
    <mergeCell ref="BP132:BP133"/>
    <mergeCell ref="BN134:BN135"/>
    <mergeCell ref="BO134:BO135"/>
    <mergeCell ref="BP134:BP135"/>
    <mergeCell ref="BN136:BN137"/>
    <mergeCell ref="BO136:BO137"/>
    <mergeCell ref="BP136:BP137"/>
    <mergeCell ref="BL194:BL195"/>
    <mergeCell ref="AG192:AG193"/>
    <mergeCell ref="AH192:AH193"/>
    <mergeCell ref="AI192:AI193"/>
    <mergeCell ref="AJ192:AJ193"/>
    <mergeCell ref="BN162:BN163"/>
    <mergeCell ref="BO162:BO163"/>
    <mergeCell ref="BP162:BP163"/>
    <mergeCell ref="BN164:BN165"/>
    <mergeCell ref="BO164:BO165"/>
    <mergeCell ref="BP164:BP165"/>
    <mergeCell ref="BN166:BN167"/>
    <mergeCell ref="BO166:BO167"/>
    <mergeCell ref="BP166:BP167"/>
    <mergeCell ref="BN168:BN169"/>
    <mergeCell ref="BO168:BO169"/>
    <mergeCell ref="BP168:BP169"/>
    <mergeCell ref="BN170:BN171"/>
    <mergeCell ref="BO170:BO171"/>
    <mergeCell ref="BP170:BP171"/>
    <mergeCell ref="BN172:BN173"/>
    <mergeCell ref="BO172:BO173"/>
    <mergeCell ref="BO186:BO187"/>
    <mergeCell ref="BP186:BP187"/>
    <mergeCell ref="BN188:BN189"/>
    <mergeCell ref="BO188:BO189"/>
    <mergeCell ref="BP188:BP189"/>
    <mergeCell ref="BN190:BN191"/>
    <mergeCell ref="BM174:BM175"/>
    <mergeCell ref="BM176:BM177"/>
    <mergeCell ref="BN174:BN175"/>
    <mergeCell ref="BM168:BM169"/>
    <mergeCell ref="BN178:BN179"/>
    <mergeCell ref="BO178:BO179"/>
    <mergeCell ref="BP178:BP179"/>
    <mergeCell ref="BN180:BN181"/>
    <mergeCell ref="BO180:BO181"/>
    <mergeCell ref="BP180:BP181"/>
    <mergeCell ref="AE174:AE175"/>
    <mergeCell ref="AF174:AF175"/>
    <mergeCell ref="BR192:BR193"/>
    <mergeCell ref="BS192:BS193"/>
    <mergeCell ref="BU192:BU193"/>
    <mergeCell ref="BV192:BV193"/>
    <mergeCell ref="BW192:BW193"/>
    <mergeCell ref="A194:A195"/>
    <mergeCell ref="B194:B195"/>
    <mergeCell ref="C194:C195"/>
    <mergeCell ref="D194:D195"/>
    <mergeCell ref="E194:E195"/>
    <mergeCell ref="BN192:BN193"/>
    <mergeCell ref="BO192:BO193"/>
    <mergeCell ref="BP192:BP193"/>
    <mergeCell ref="BJ192:BJ193"/>
    <mergeCell ref="BK192:BK193"/>
    <mergeCell ref="BL192:BL193"/>
    <mergeCell ref="BQ192:BQ193"/>
    <mergeCell ref="F194:F195"/>
    <mergeCell ref="G194:G195"/>
    <mergeCell ref="H194:H195"/>
    <mergeCell ref="Y194:Y195"/>
    <mergeCell ref="Z194:Z195"/>
    <mergeCell ref="AA194:AA195"/>
    <mergeCell ref="BH194:BH195"/>
    <mergeCell ref="BU190:BU191"/>
    <mergeCell ref="BV190:BV191"/>
    <mergeCell ref="H186:H187"/>
    <mergeCell ref="Y186:Y187"/>
    <mergeCell ref="Z186:Z187"/>
    <mergeCell ref="AA186:AA187"/>
    <mergeCell ref="AE186:AE187"/>
    <mergeCell ref="AF186:AF187"/>
    <mergeCell ref="BU184:BU185"/>
    <mergeCell ref="BV184:BV185"/>
    <mergeCell ref="H180:H181"/>
    <mergeCell ref="Y180:Y181"/>
    <mergeCell ref="Z180:Z181"/>
    <mergeCell ref="AA180:AA181"/>
    <mergeCell ref="AE180:AE181"/>
    <mergeCell ref="BN182:BN183"/>
    <mergeCell ref="AM192:AM193"/>
    <mergeCell ref="AN192:AN193"/>
    <mergeCell ref="AO192:AO193"/>
    <mergeCell ref="BG192:BG193"/>
    <mergeCell ref="BH192:BH193"/>
    <mergeCell ref="BI192:BI193"/>
    <mergeCell ref="BO182:BO183"/>
    <mergeCell ref="BP182:BP183"/>
    <mergeCell ref="BN184:BN185"/>
    <mergeCell ref="BO184:BO185"/>
    <mergeCell ref="H192:H193"/>
    <mergeCell ref="Y192:Y193"/>
    <mergeCell ref="Z192:Z193"/>
    <mergeCell ref="AA192:AA193"/>
    <mergeCell ref="AE192:AE193"/>
    <mergeCell ref="AF192:AF193"/>
    <mergeCell ref="BW190:BW191"/>
    <mergeCell ref="A192:A193"/>
    <mergeCell ref="B192:B193"/>
    <mergeCell ref="C192:C193"/>
    <mergeCell ref="D192:D193"/>
    <mergeCell ref="E192:E193"/>
    <mergeCell ref="F192:F193"/>
    <mergeCell ref="G192:G193"/>
    <mergeCell ref="BL190:BL191"/>
    <mergeCell ref="BQ190:BQ191"/>
    <mergeCell ref="BR190:BR191"/>
    <mergeCell ref="BS190:BS191"/>
    <mergeCell ref="AO190:AO191"/>
    <mergeCell ref="BG190:BG191"/>
    <mergeCell ref="BH190:BH191"/>
    <mergeCell ref="BI190:BI191"/>
    <mergeCell ref="BJ190:BJ191"/>
    <mergeCell ref="BK190:BK191"/>
    <mergeCell ref="AI190:AI191"/>
    <mergeCell ref="AJ190:AJ191"/>
    <mergeCell ref="AK190:AK191"/>
    <mergeCell ref="AL190:AL191"/>
    <mergeCell ref="AM190:AM191"/>
    <mergeCell ref="AN190:AN191"/>
    <mergeCell ref="Z190:Z191"/>
    <mergeCell ref="AA190:AA191"/>
    <mergeCell ref="AE190:AE191"/>
    <mergeCell ref="AF190:AF191"/>
    <mergeCell ref="AG190:AG191"/>
    <mergeCell ref="AH190:AH191"/>
    <mergeCell ref="BO190:BO191"/>
    <mergeCell ref="BP190:BP191"/>
    <mergeCell ref="BW188:BW189"/>
    <mergeCell ref="A190:A191"/>
    <mergeCell ref="B190:B191"/>
    <mergeCell ref="C190:C191"/>
    <mergeCell ref="D190:D191"/>
    <mergeCell ref="E190:E191"/>
    <mergeCell ref="F190:F191"/>
    <mergeCell ref="G190:G191"/>
    <mergeCell ref="H190:H191"/>
    <mergeCell ref="Y190:Y191"/>
    <mergeCell ref="BQ188:BQ189"/>
    <mergeCell ref="BR188:BR189"/>
    <mergeCell ref="BS188:BS189"/>
    <mergeCell ref="BU188:BU189"/>
    <mergeCell ref="BV188:BV189"/>
    <mergeCell ref="BH188:BH189"/>
    <mergeCell ref="BI188:BI189"/>
    <mergeCell ref="BJ188:BJ189"/>
    <mergeCell ref="BK188:BK189"/>
    <mergeCell ref="BL188:BL189"/>
    <mergeCell ref="AK188:AK189"/>
    <mergeCell ref="AL188:AL189"/>
    <mergeCell ref="AM188:AM189"/>
    <mergeCell ref="AN188:AN189"/>
    <mergeCell ref="AO188:AO189"/>
    <mergeCell ref="BG188:BG189"/>
    <mergeCell ref="AE188:AE189"/>
    <mergeCell ref="AF188:AF189"/>
    <mergeCell ref="AG188:AG189"/>
    <mergeCell ref="AH188:AH189"/>
    <mergeCell ref="AI188:AI189"/>
    <mergeCell ref="AJ188:AJ189"/>
    <mergeCell ref="F188:F189"/>
    <mergeCell ref="G188:G189"/>
    <mergeCell ref="H188:H189"/>
    <mergeCell ref="Y188:Y189"/>
    <mergeCell ref="Z188:Z189"/>
    <mergeCell ref="AA188:AA189"/>
    <mergeCell ref="BR186:BR187"/>
    <mergeCell ref="BS186:BS187"/>
    <mergeCell ref="BU186:BU187"/>
    <mergeCell ref="BV186:BV187"/>
    <mergeCell ref="BW186:BW187"/>
    <mergeCell ref="A188:A189"/>
    <mergeCell ref="B188:B189"/>
    <mergeCell ref="C188:C189"/>
    <mergeCell ref="D188:D189"/>
    <mergeCell ref="E188:E189"/>
    <mergeCell ref="BJ186:BJ187"/>
    <mergeCell ref="BK186:BK187"/>
    <mergeCell ref="BL186:BL187"/>
    <mergeCell ref="BQ186:BQ187"/>
    <mergeCell ref="AM186:AM187"/>
    <mergeCell ref="AN186:AN187"/>
    <mergeCell ref="AO186:AO187"/>
    <mergeCell ref="BG186:BG187"/>
    <mergeCell ref="BH186:BH187"/>
    <mergeCell ref="BI186:BI187"/>
    <mergeCell ref="AG186:AG187"/>
    <mergeCell ref="AH186:AH187"/>
    <mergeCell ref="AI186:AI187"/>
    <mergeCell ref="AJ186:AJ187"/>
    <mergeCell ref="AK186:AK187"/>
    <mergeCell ref="AL186:AL187"/>
    <mergeCell ref="BW184:BW185"/>
    <mergeCell ref="A186:A187"/>
    <mergeCell ref="B186:B187"/>
    <mergeCell ref="C186:C187"/>
    <mergeCell ref="D186:D187"/>
    <mergeCell ref="E186:E187"/>
    <mergeCell ref="F186:F187"/>
    <mergeCell ref="G186:G187"/>
    <mergeCell ref="BL184:BL185"/>
    <mergeCell ref="BQ184:BQ185"/>
    <mergeCell ref="BR184:BR185"/>
    <mergeCell ref="BS184:BS185"/>
    <mergeCell ref="AO184:AO185"/>
    <mergeCell ref="BG184:BG185"/>
    <mergeCell ref="BH184:BH185"/>
    <mergeCell ref="BI184:BI185"/>
    <mergeCell ref="BJ184:BJ185"/>
    <mergeCell ref="BK184:BK185"/>
    <mergeCell ref="AI184:AI185"/>
    <mergeCell ref="AJ184:AJ185"/>
    <mergeCell ref="AK184:AK185"/>
    <mergeCell ref="AL184:AL185"/>
    <mergeCell ref="AM184:AM185"/>
    <mergeCell ref="AN184:AN185"/>
    <mergeCell ref="Z184:Z185"/>
    <mergeCell ref="AA184:AA185"/>
    <mergeCell ref="AE184:AE185"/>
    <mergeCell ref="AF184:AF185"/>
    <mergeCell ref="AG184:AG185"/>
    <mergeCell ref="AH184:AH185"/>
    <mergeCell ref="BP184:BP185"/>
    <mergeCell ref="BN186:BN187"/>
    <mergeCell ref="BW182:BW183"/>
    <mergeCell ref="A184:A185"/>
    <mergeCell ref="B184:B185"/>
    <mergeCell ref="C184:C185"/>
    <mergeCell ref="D184:D185"/>
    <mergeCell ref="E184:E185"/>
    <mergeCell ref="F184:F185"/>
    <mergeCell ref="G184:G185"/>
    <mergeCell ref="H184:H185"/>
    <mergeCell ref="Y184:Y185"/>
    <mergeCell ref="BQ182:BQ183"/>
    <mergeCell ref="BR182:BR183"/>
    <mergeCell ref="BS182:BS183"/>
    <mergeCell ref="BU182:BU183"/>
    <mergeCell ref="BV182:BV183"/>
    <mergeCell ref="BH182:BH183"/>
    <mergeCell ref="BI182:BI183"/>
    <mergeCell ref="BJ182:BJ183"/>
    <mergeCell ref="BK182:BK183"/>
    <mergeCell ref="BL182:BL183"/>
    <mergeCell ref="AK182:AK183"/>
    <mergeCell ref="AL182:AL183"/>
    <mergeCell ref="AM182:AM183"/>
    <mergeCell ref="AN182:AN183"/>
    <mergeCell ref="AO182:AO183"/>
    <mergeCell ref="BG182:BG183"/>
    <mergeCell ref="AE182:AE183"/>
    <mergeCell ref="AF182:AF183"/>
    <mergeCell ref="AG182:AG183"/>
    <mergeCell ref="AH182:AH183"/>
    <mergeCell ref="AI182:AI183"/>
    <mergeCell ref="AJ182:AJ183"/>
    <mergeCell ref="F182:F183"/>
    <mergeCell ref="G182:G183"/>
    <mergeCell ref="H182:H183"/>
    <mergeCell ref="Y182:Y183"/>
    <mergeCell ref="Z182:Z183"/>
    <mergeCell ref="AA182:AA183"/>
    <mergeCell ref="BR180:BR181"/>
    <mergeCell ref="BS180:BS181"/>
    <mergeCell ref="BU180:BU181"/>
    <mergeCell ref="BV180:BV181"/>
    <mergeCell ref="BW180:BW181"/>
    <mergeCell ref="A182:A183"/>
    <mergeCell ref="B182:B183"/>
    <mergeCell ref="C182:C183"/>
    <mergeCell ref="D182:D183"/>
    <mergeCell ref="E182:E183"/>
    <mergeCell ref="BJ180:BJ181"/>
    <mergeCell ref="BK180:BK181"/>
    <mergeCell ref="BL180:BL181"/>
    <mergeCell ref="BQ180:BQ181"/>
    <mergeCell ref="AM180:AM181"/>
    <mergeCell ref="AN180:AN181"/>
    <mergeCell ref="AO180:AO181"/>
    <mergeCell ref="BG180:BG181"/>
    <mergeCell ref="BH180:BH181"/>
    <mergeCell ref="BI180:BI181"/>
    <mergeCell ref="AG180:AG181"/>
    <mergeCell ref="AH180:AH181"/>
    <mergeCell ref="AI180:AI181"/>
    <mergeCell ref="AJ180:AJ181"/>
    <mergeCell ref="AK180:AK181"/>
    <mergeCell ref="AL180:AL181"/>
    <mergeCell ref="BW178:BW179"/>
    <mergeCell ref="A180:A181"/>
    <mergeCell ref="B180:B181"/>
    <mergeCell ref="C180:C181"/>
    <mergeCell ref="D180:D181"/>
    <mergeCell ref="E180:E181"/>
    <mergeCell ref="F180:F181"/>
    <mergeCell ref="G180:G181"/>
    <mergeCell ref="BL178:BL179"/>
    <mergeCell ref="BQ178:BQ179"/>
    <mergeCell ref="BR178:BR179"/>
    <mergeCell ref="BS178:BS179"/>
    <mergeCell ref="AO178:AO179"/>
    <mergeCell ref="BG178:BG179"/>
    <mergeCell ref="BH178:BH179"/>
    <mergeCell ref="BI178:BI179"/>
    <mergeCell ref="BJ178:BJ179"/>
    <mergeCell ref="BK178:BK179"/>
    <mergeCell ref="AI178:AI179"/>
    <mergeCell ref="AJ178:AJ179"/>
    <mergeCell ref="AK178:AK179"/>
    <mergeCell ref="AL178:AL179"/>
    <mergeCell ref="AM178:AM179"/>
    <mergeCell ref="AN178:AN179"/>
    <mergeCell ref="Z178:Z179"/>
    <mergeCell ref="AA178:AA179"/>
    <mergeCell ref="AE178:AE179"/>
    <mergeCell ref="AF178:AF179"/>
    <mergeCell ref="AG178:AG179"/>
    <mergeCell ref="AH178:AH179"/>
    <mergeCell ref="AF180:AF181"/>
    <mergeCell ref="BU178:BU179"/>
    <mergeCell ref="A178:A179"/>
    <mergeCell ref="B178:B179"/>
    <mergeCell ref="C178:C179"/>
    <mergeCell ref="D178:D179"/>
    <mergeCell ref="E178:E179"/>
    <mergeCell ref="F178:F179"/>
    <mergeCell ref="G178:G179"/>
    <mergeCell ref="H178:H179"/>
    <mergeCell ref="Y178:Y179"/>
    <mergeCell ref="BQ176:BQ177"/>
    <mergeCell ref="BR176:BR177"/>
    <mergeCell ref="BS176:BS177"/>
    <mergeCell ref="BU176:BU177"/>
    <mergeCell ref="BV176:BV177"/>
    <mergeCell ref="BH176:BH177"/>
    <mergeCell ref="BI176:BI177"/>
    <mergeCell ref="BJ176:BJ177"/>
    <mergeCell ref="BK176:BK177"/>
    <mergeCell ref="BL176:BL177"/>
    <mergeCell ref="AK176:AK177"/>
    <mergeCell ref="AL176:AL177"/>
    <mergeCell ref="AM176:AM177"/>
    <mergeCell ref="AN176:AN177"/>
    <mergeCell ref="AO176:AO177"/>
    <mergeCell ref="BG176:BG177"/>
    <mergeCell ref="AE176:AE177"/>
    <mergeCell ref="AF176:AF177"/>
    <mergeCell ref="AG176:AG177"/>
    <mergeCell ref="AH176:AH177"/>
    <mergeCell ref="AI176:AI177"/>
    <mergeCell ref="AJ176:AJ177"/>
    <mergeCell ref="BV178:BV179"/>
    <mergeCell ref="BU174:BU175"/>
    <mergeCell ref="BV174:BV175"/>
    <mergeCell ref="BW174:BW175"/>
    <mergeCell ref="A176:A177"/>
    <mergeCell ref="B176:B177"/>
    <mergeCell ref="C176:C177"/>
    <mergeCell ref="D176:D177"/>
    <mergeCell ref="E176:E177"/>
    <mergeCell ref="BJ174:BJ175"/>
    <mergeCell ref="BK174:BK175"/>
    <mergeCell ref="BL174:BL175"/>
    <mergeCell ref="BQ174:BQ175"/>
    <mergeCell ref="AM174:AM175"/>
    <mergeCell ref="AN174:AN175"/>
    <mergeCell ref="AO174:AO175"/>
    <mergeCell ref="BG174:BG175"/>
    <mergeCell ref="BH174:BH175"/>
    <mergeCell ref="BI174:BI175"/>
    <mergeCell ref="AG174:AG175"/>
    <mergeCell ref="AH174:AH175"/>
    <mergeCell ref="AI174:AI175"/>
    <mergeCell ref="AJ174:AJ175"/>
    <mergeCell ref="AK174:AK175"/>
    <mergeCell ref="AL174:AL175"/>
    <mergeCell ref="BW176:BW177"/>
    <mergeCell ref="H174:H175"/>
    <mergeCell ref="Y174:Y175"/>
    <mergeCell ref="Z174:Z175"/>
    <mergeCell ref="AA174:AA175"/>
    <mergeCell ref="BO174:BO175"/>
    <mergeCell ref="BP174:BP175"/>
    <mergeCell ref="BN176:BN177"/>
    <mergeCell ref="AL172:AL173"/>
    <mergeCell ref="AM172:AM173"/>
    <mergeCell ref="AN172:AN173"/>
    <mergeCell ref="A172:A173"/>
    <mergeCell ref="B172:B173"/>
    <mergeCell ref="C172:C173"/>
    <mergeCell ref="D172:D173"/>
    <mergeCell ref="E172:E173"/>
    <mergeCell ref="F172:F173"/>
    <mergeCell ref="F176:F177"/>
    <mergeCell ref="G176:G177"/>
    <mergeCell ref="H176:H177"/>
    <mergeCell ref="Y176:Y177"/>
    <mergeCell ref="Z176:Z177"/>
    <mergeCell ref="AA176:AA177"/>
    <mergeCell ref="BR174:BR175"/>
    <mergeCell ref="BS174:BS175"/>
    <mergeCell ref="BO176:BO177"/>
    <mergeCell ref="BP176:BP177"/>
    <mergeCell ref="AK170:AK171"/>
    <mergeCell ref="AL170:AL171"/>
    <mergeCell ref="AM170:AM171"/>
    <mergeCell ref="AN170:AN171"/>
    <mergeCell ref="AO170:AO171"/>
    <mergeCell ref="BG170:BG171"/>
    <mergeCell ref="BM170:BM171"/>
    <mergeCell ref="BM172:BM173"/>
    <mergeCell ref="AJ170:AJ171"/>
    <mergeCell ref="BU172:BU173"/>
    <mergeCell ref="BV172:BV173"/>
    <mergeCell ref="BW172:BW173"/>
    <mergeCell ref="A174:A175"/>
    <mergeCell ref="B174:B175"/>
    <mergeCell ref="C174:C175"/>
    <mergeCell ref="D174:D175"/>
    <mergeCell ref="E174:E175"/>
    <mergeCell ref="F174:F175"/>
    <mergeCell ref="G174:G175"/>
    <mergeCell ref="BL172:BL173"/>
    <mergeCell ref="BQ172:BQ173"/>
    <mergeCell ref="BR172:BR173"/>
    <mergeCell ref="BS172:BS173"/>
    <mergeCell ref="AO172:AO173"/>
    <mergeCell ref="BG172:BG173"/>
    <mergeCell ref="BH172:BH173"/>
    <mergeCell ref="BI172:BI173"/>
    <mergeCell ref="BJ172:BJ173"/>
    <mergeCell ref="BK172:BK173"/>
    <mergeCell ref="AI172:AI173"/>
    <mergeCell ref="AJ172:AJ173"/>
    <mergeCell ref="AK172:AK173"/>
    <mergeCell ref="F170:F171"/>
    <mergeCell ref="G170:G171"/>
    <mergeCell ref="H170:H171"/>
    <mergeCell ref="Y170:Y171"/>
    <mergeCell ref="Z170:Z171"/>
    <mergeCell ref="AA170:AA171"/>
    <mergeCell ref="BP172:BP173"/>
    <mergeCell ref="BR168:BR169"/>
    <mergeCell ref="BS168:BS169"/>
    <mergeCell ref="BU168:BU169"/>
    <mergeCell ref="BV168:BV169"/>
    <mergeCell ref="BW168:BW169"/>
    <mergeCell ref="Z172:Z173"/>
    <mergeCell ref="AA172:AA173"/>
    <mergeCell ref="AE172:AE173"/>
    <mergeCell ref="AF172:AF173"/>
    <mergeCell ref="AG172:AG173"/>
    <mergeCell ref="AH172:AH173"/>
    <mergeCell ref="BW170:BW171"/>
    <mergeCell ref="G172:G173"/>
    <mergeCell ref="H172:H173"/>
    <mergeCell ref="Y172:Y173"/>
    <mergeCell ref="BQ170:BQ171"/>
    <mergeCell ref="BR170:BR171"/>
    <mergeCell ref="BS170:BS171"/>
    <mergeCell ref="BU170:BU171"/>
    <mergeCell ref="BV170:BV171"/>
    <mergeCell ref="BH170:BH171"/>
    <mergeCell ref="BI170:BI171"/>
    <mergeCell ref="BJ170:BJ171"/>
    <mergeCell ref="BK170:BK171"/>
    <mergeCell ref="BL170:BL171"/>
    <mergeCell ref="A170:A171"/>
    <mergeCell ref="B170:B171"/>
    <mergeCell ref="C170:C171"/>
    <mergeCell ref="D170:D171"/>
    <mergeCell ref="E170:E171"/>
    <mergeCell ref="BJ168:BJ169"/>
    <mergeCell ref="BK168:BK169"/>
    <mergeCell ref="BL168:BL169"/>
    <mergeCell ref="BQ168:BQ169"/>
    <mergeCell ref="AM168:AM169"/>
    <mergeCell ref="AN168:AN169"/>
    <mergeCell ref="AO168:AO169"/>
    <mergeCell ref="BG168:BG169"/>
    <mergeCell ref="BH168:BH169"/>
    <mergeCell ref="BI168:BI169"/>
    <mergeCell ref="AG168:AG169"/>
    <mergeCell ref="AH168:AH169"/>
    <mergeCell ref="AI168:AI169"/>
    <mergeCell ref="AJ168:AJ169"/>
    <mergeCell ref="AK168:AK169"/>
    <mergeCell ref="AL168:AL169"/>
    <mergeCell ref="H168:H169"/>
    <mergeCell ref="Y168:Y169"/>
    <mergeCell ref="Z168:Z169"/>
    <mergeCell ref="AA168:AA169"/>
    <mergeCell ref="AE168:AE169"/>
    <mergeCell ref="AF168:AF169"/>
    <mergeCell ref="AE170:AE171"/>
    <mergeCell ref="AF170:AF171"/>
    <mergeCell ref="AG170:AG171"/>
    <mergeCell ref="AH170:AH171"/>
    <mergeCell ref="AI170:AI171"/>
    <mergeCell ref="BU166:BU167"/>
    <mergeCell ref="BV166:BV167"/>
    <mergeCell ref="BW166:BW167"/>
    <mergeCell ref="A168:A169"/>
    <mergeCell ref="B168:B169"/>
    <mergeCell ref="C168:C169"/>
    <mergeCell ref="D168:D169"/>
    <mergeCell ref="E168:E169"/>
    <mergeCell ref="F168:F169"/>
    <mergeCell ref="G168:G169"/>
    <mergeCell ref="BL166:BL167"/>
    <mergeCell ref="BQ166:BQ167"/>
    <mergeCell ref="BR166:BR167"/>
    <mergeCell ref="BS166:BS167"/>
    <mergeCell ref="AO166:AO167"/>
    <mergeCell ref="BG166:BG167"/>
    <mergeCell ref="BH166:BH167"/>
    <mergeCell ref="BI166:BI167"/>
    <mergeCell ref="BJ166:BJ167"/>
    <mergeCell ref="BK166:BK167"/>
    <mergeCell ref="A166:A167"/>
    <mergeCell ref="B166:B167"/>
    <mergeCell ref="C166:C167"/>
    <mergeCell ref="D166:D167"/>
    <mergeCell ref="E166:E167"/>
    <mergeCell ref="F166:F167"/>
    <mergeCell ref="G166:G167"/>
    <mergeCell ref="H166:H167"/>
    <mergeCell ref="Y166:Y167"/>
    <mergeCell ref="BQ164:BQ165"/>
    <mergeCell ref="BR164:BR165"/>
    <mergeCell ref="BS164:BS165"/>
    <mergeCell ref="BU164:BU165"/>
    <mergeCell ref="BV164:BV165"/>
    <mergeCell ref="BH164:BH165"/>
    <mergeCell ref="BI164:BI165"/>
    <mergeCell ref="BJ164:BJ165"/>
    <mergeCell ref="BK164:BK165"/>
    <mergeCell ref="BL164:BL165"/>
    <mergeCell ref="AM164:AM165"/>
    <mergeCell ref="AN164:AN165"/>
    <mergeCell ref="AO164:AO165"/>
    <mergeCell ref="BG164:BG165"/>
    <mergeCell ref="AE164:AE165"/>
    <mergeCell ref="AF164:AF165"/>
    <mergeCell ref="AG164:AG165"/>
    <mergeCell ref="AH164:AH165"/>
    <mergeCell ref="AI164:AI165"/>
    <mergeCell ref="AJ164:AJ165"/>
    <mergeCell ref="F164:F165"/>
    <mergeCell ref="G164:G165"/>
    <mergeCell ref="Y164:Y165"/>
    <mergeCell ref="Z164:Z165"/>
    <mergeCell ref="AA164:AA165"/>
    <mergeCell ref="AI166:AI167"/>
    <mergeCell ref="AJ166:AJ167"/>
    <mergeCell ref="AK166:AK167"/>
    <mergeCell ref="AL166:AL167"/>
    <mergeCell ref="AM166:AM167"/>
    <mergeCell ref="AN166:AN167"/>
    <mergeCell ref="Z166:Z167"/>
    <mergeCell ref="AA166:AA167"/>
    <mergeCell ref="AE166:AE167"/>
    <mergeCell ref="AF166:AF167"/>
    <mergeCell ref="AG166:AG167"/>
    <mergeCell ref="AH166:AH167"/>
    <mergeCell ref="AL164:AL165"/>
    <mergeCell ref="H164:H165"/>
    <mergeCell ref="BU162:BU163"/>
    <mergeCell ref="BW164:BW165"/>
    <mergeCell ref="BV162:BV163"/>
    <mergeCell ref="BW162:BW163"/>
    <mergeCell ref="A164:A165"/>
    <mergeCell ref="B164:B165"/>
    <mergeCell ref="C164:C165"/>
    <mergeCell ref="D164:D165"/>
    <mergeCell ref="E164:E165"/>
    <mergeCell ref="BJ162:BJ163"/>
    <mergeCell ref="BK162:BK163"/>
    <mergeCell ref="BL162:BL163"/>
    <mergeCell ref="BQ162:BQ163"/>
    <mergeCell ref="AM162:AM163"/>
    <mergeCell ref="AN162:AN163"/>
    <mergeCell ref="AO162:AO163"/>
    <mergeCell ref="BG162:BG163"/>
    <mergeCell ref="BH162:BH163"/>
    <mergeCell ref="BI162:BI163"/>
    <mergeCell ref="AG162:AG163"/>
    <mergeCell ref="AH162:AH163"/>
    <mergeCell ref="AI162:AI163"/>
    <mergeCell ref="AJ162:AJ163"/>
    <mergeCell ref="AK162:AK163"/>
    <mergeCell ref="AL162:AL163"/>
    <mergeCell ref="H162:H163"/>
    <mergeCell ref="Y162:Y163"/>
    <mergeCell ref="Z162:Z163"/>
    <mergeCell ref="AA162:AA163"/>
    <mergeCell ref="AE162:AE163"/>
    <mergeCell ref="AF162:AF163"/>
    <mergeCell ref="AK164:AK165"/>
    <mergeCell ref="BW160:BW161"/>
    <mergeCell ref="A162:A163"/>
    <mergeCell ref="B162:B163"/>
    <mergeCell ref="C162:C163"/>
    <mergeCell ref="D162:D163"/>
    <mergeCell ref="E162:E163"/>
    <mergeCell ref="F162:F163"/>
    <mergeCell ref="G162:G163"/>
    <mergeCell ref="BL160:BL161"/>
    <mergeCell ref="BQ160:BQ161"/>
    <mergeCell ref="BR160:BR161"/>
    <mergeCell ref="BS160:BS161"/>
    <mergeCell ref="AO160:AO161"/>
    <mergeCell ref="BG160:BG161"/>
    <mergeCell ref="BH160:BH161"/>
    <mergeCell ref="BI160:BI161"/>
    <mergeCell ref="BJ160:BJ161"/>
    <mergeCell ref="BK160:BK161"/>
    <mergeCell ref="AI160:AI161"/>
    <mergeCell ref="AJ160:AJ161"/>
    <mergeCell ref="AK160:AK161"/>
    <mergeCell ref="AL160:AL161"/>
    <mergeCell ref="AM160:AM161"/>
    <mergeCell ref="AN160:AN161"/>
    <mergeCell ref="A160:A161"/>
    <mergeCell ref="B160:B161"/>
    <mergeCell ref="C160:C161"/>
    <mergeCell ref="D160:D161"/>
    <mergeCell ref="E160:E161"/>
    <mergeCell ref="F160:F161"/>
    <mergeCell ref="BR162:BR163"/>
    <mergeCell ref="BS162:BS163"/>
    <mergeCell ref="BK158:BK159"/>
    <mergeCell ref="BL158:BL159"/>
    <mergeCell ref="AK158:AK159"/>
    <mergeCell ref="AL158:AL159"/>
    <mergeCell ref="AM158:AM159"/>
    <mergeCell ref="AN158:AN159"/>
    <mergeCell ref="AO158:AO159"/>
    <mergeCell ref="BG158:BG159"/>
    <mergeCell ref="BN158:BN159"/>
    <mergeCell ref="BO158:BO159"/>
    <mergeCell ref="BP158:BP159"/>
    <mergeCell ref="BN160:BN161"/>
    <mergeCell ref="BO160:BO161"/>
    <mergeCell ref="BP160:BP161"/>
    <mergeCell ref="AJ158:AJ159"/>
    <mergeCell ref="BU160:BU161"/>
    <mergeCell ref="BV160:BV161"/>
    <mergeCell ref="BM158:BM159"/>
    <mergeCell ref="BM160:BM161"/>
    <mergeCell ref="F158:F159"/>
    <mergeCell ref="G158:G159"/>
    <mergeCell ref="H158:H159"/>
    <mergeCell ref="Y158:Y159"/>
    <mergeCell ref="Z158:Z159"/>
    <mergeCell ref="AA158:AA159"/>
    <mergeCell ref="BR156:BR157"/>
    <mergeCell ref="BS156:BS157"/>
    <mergeCell ref="BU156:BU157"/>
    <mergeCell ref="BV156:BV157"/>
    <mergeCell ref="BW156:BW157"/>
    <mergeCell ref="Z160:Z161"/>
    <mergeCell ref="AA160:AA161"/>
    <mergeCell ref="AE160:AE161"/>
    <mergeCell ref="AF160:AF161"/>
    <mergeCell ref="AG160:AG161"/>
    <mergeCell ref="AH160:AH161"/>
    <mergeCell ref="BW158:BW159"/>
    <mergeCell ref="BN156:BN157"/>
    <mergeCell ref="BO156:BO157"/>
    <mergeCell ref="BP156:BP157"/>
    <mergeCell ref="G160:G161"/>
    <mergeCell ref="H160:H161"/>
    <mergeCell ref="Y160:Y161"/>
    <mergeCell ref="BQ158:BQ159"/>
    <mergeCell ref="BR158:BR159"/>
    <mergeCell ref="BS158:BS159"/>
    <mergeCell ref="BU158:BU159"/>
    <mergeCell ref="BV158:BV159"/>
    <mergeCell ref="BH158:BH159"/>
    <mergeCell ref="BI158:BI159"/>
    <mergeCell ref="BJ158:BJ159"/>
    <mergeCell ref="A158:A159"/>
    <mergeCell ref="B158:B159"/>
    <mergeCell ref="C158:C159"/>
    <mergeCell ref="D158:D159"/>
    <mergeCell ref="E158:E159"/>
    <mergeCell ref="BJ156:BJ157"/>
    <mergeCell ref="BK156:BK157"/>
    <mergeCell ref="BL156:BL157"/>
    <mergeCell ref="BQ156:BQ157"/>
    <mergeCell ref="AM156:AM157"/>
    <mergeCell ref="AN156:AN157"/>
    <mergeCell ref="AO156:AO157"/>
    <mergeCell ref="BG156:BG157"/>
    <mergeCell ref="BH156:BH157"/>
    <mergeCell ref="BI156:BI157"/>
    <mergeCell ref="AG156:AG157"/>
    <mergeCell ref="AH156:AH157"/>
    <mergeCell ref="AI156:AI157"/>
    <mergeCell ref="AJ156:AJ157"/>
    <mergeCell ref="AK156:AK157"/>
    <mergeCell ref="AL156:AL157"/>
    <mergeCell ref="H156:H157"/>
    <mergeCell ref="Y156:Y157"/>
    <mergeCell ref="Z156:Z157"/>
    <mergeCell ref="AA156:AA157"/>
    <mergeCell ref="AE156:AE157"/>
    <mergeCell ref="AF156:AF157"/>
    <mergeCell ref="AE158:AE159"/>
    <mergeCell ref="AF158:AF159"/>
    <mergeCell ref="AG158:AG159"/>
    <mergeCell ref="AH158:AH159"/>
    <mergeCell ref="AI158:AI159"/>
    <mergeCell ref="BU154:BU155"/>
    <mergeCell ref="BV154:BV155"/>
    <mergeCell ref="BW154:BW155"/>
    <mergeCell ref="A156:A157"/>
    <mergeCell ref="B156:B157"/>
    <mergeCell ref="C156:C157"/>
    <mergeCell ref="D156:D157"/>
    <mergeCell ref="E156:E157"/>
    <mergeCell ref="F156:F157"/>
    <mergeCell ref="G156:G157"/>
    <mergeCell ref="BL154:BL155"/>
    <mergeCell ref="BQ154:BQ155"/>
    <mergeCell ref="BR154:BR155"/>
    <mergeCell ref="BS154:BS155"/>
    <mergeCell ref="AO154:AO155"/>
    <mergeCell ref="BG154:BG155"/>
    <mergeCell ref="BH154:BH155"/>
    <mergeCell ref="BI154:BI155"/>
    <mergeCell ref="BJ154:BJ155"/>
    <mergeCell ref="BK154:BK155"/>
    <mergeCell ref="AI154:AI155"/>
    <mergeCell ref="AJ154:AJ155"/>
    <mergeCell ref="AK154:AK155"/>
    <mergeCell ref="AL154:AL155"/>
    <mergeCell ref="AM154:AM155"/>
    <mergeCell ref="AN154:AN155"/>
    <mergeCell ref="Z154:Z155"/>
    <mergeCell ref="AA154:AA155"/>
    <mergeCell ref="AE154:AE155"/>
    <mergeCell ref="AF154:AF155"/>
    <mergeCell ref="AG154:AG155"/>
    <mergeCell ref="AH154:AH155"/>
    <mergeCell ref="BW152:BW153"/>
    <mergeCell ref="A154:A155"/>
    <mergeCell ref="B154:B155"/>
    <mergeCell ref="C154:C155"/>
    <mergeCell ref="D154:D155"/>
    <mergeCell ref="E154:E155"/>
    <mergeCell ref="F154:F155"/>
    <mergeCell ref="G154:G155"/>
    <mergeCell ref="H154:H155"/>
    <mergeCell ref="Y154:Y155"/>
    <mergeCell ref="BQ152:BQ153"/>
    <mergeCell ref="BR152:BR153"/>
    <mergeCell ref="BS152:BS153"/>
    <mergeCell ref="BU152:BU153"/>
    <mergeCell ref="BV152:BV153"/>
    <mergeCell ref="BH152:BH153"/>
    <mergeCell ref="BI152:BI153"/>
    <mergeCell ref="BJ152:BJ153"/>
    <mergeCell ref="BK152:BK153"/>
    <mergeCell ref="BL152:BL153"/>
    <mergeCell ref="AK152:AK153"/>
    <mergeCell ref="AL152:AL153"/>
    <mergeCell ref="AM152:AM153"/>
    <mergeCell ref="AN152:AN153"/>
    <mergeCell ref="AO152:AO153"/>
    <mergeCell ref="BG152:BG153"/>
    <mergeCell ref="AE152:AE153"/>
    <mergeCell ref="AF152:AF153"/>
    <mergeCell ref="AG152:AG153"/>
    <mergeCell ref="AH152:AH153"/>
    <mergeCell ref="AI152:AI153"/>
    <mergeCell ref="AJ152:AJ153"/>
    <mergeCell ref="F152:F153"/>
    <mergeCell ref="G152:G153"/>
    <mergeCell ref="H152:H153"/>
    <mergeCell ref="Y152:Y153"/>
    <mergeCell ref="Z152:Z153"/>
    <mergeCell ref="AA152:AA153"/>
    <mergeCell ref="BR150:BR151"/>
    <mergeCell ref="BS150:BS151"/>
    <mergeCell ref="BU150:BU151"/>
    <mergeCell ref="BV150:BV151"/>
    <mergeCell ref="BW150:BW151"/>
    <mergeCell ref="A152:A153"/>
    <mergeCell ref="B152:B153"/>
    <mergeCell ref="C152:C153"/>
    <mergeCell ref="D152:D153"/>
    <mergeCell ref="E152:E153"/>
    <mergeCell ref="BJ150:BJ151"/>
    <mergeCell ref="BK150:BK151"/>
    <mergeCell ref="BL150:BL151"/>
    <mergeCell ref="BQ150:BQ151"/>
    <mergeCell ref="AM150:AM151"/>
    <mergeCell ref="AN150:AN151"/>
    <mergeCell ref="AO150:AO151"/>
    <mergeCell ref="BG150:BG151"/>
    <mergeCell ref="BH150:BH151"/>
    <mergeCell ref="BI150:BI151"/>
    <mergeCell ref="AG150:AG151"/>
    <mergeCell ref="AH150:AH151"/>
    <mergeCell ref="AI150:AI151"/>
    <mergeCell ref="AJ150:AJ151"/>
    <mergeCell ref="AK150:AK151"/>
    <mergeCell ref="AL150:AL151"/>
    <mergeCell ref="H150:H151"/>
    <mergeCell ref="Y150:Y151"/>
    <mergeCell ref="Z150:Z151"/>
    <mergeCell ref="AA150:AA151"/>
    <mergeCell ref="AE150:AE151"/>
    <mergeCell ref="AF150:AF151"/>
    <mergeCell ref="BU148:BU149"/>
    <mergeCell ref="BV148:BV149"/>
    <mergeCell ref="BW148:BW149"/>
    <mergeCell ref="A150:A151"/>
    <mergeCell ref="B150:B151"/>
    <mergeCell ref="C150:C151"/>
    <mergeCell ref="D150:D151"/>
    <mergeCell ref="E150:E151"/>
    <mergeCell ref="F150:F151"/>
    <mergeCell ref="G150:G151"/>
    <mergeCell ref="BL148:BL149"/>
    <mergeCell ref="BQ148:BQ149"/>
    <mergeCell ref="BR148:BR149"/>
    <mergeCell ref="BS148:BS149"/>
    <mergeCell ref="AO148:AO149"/>
    <mergeCell ref="BG148:BG149"/>
    <mergeCell ref="BH148:BH149"/>
    <mergeCell ref="BI148:BI149"/>
    <mergeCell ref="BJ148:BJ149"/>
    <mergeCell ref="BK148:BK149"/>
    <mergeCell ref="AI148:AI149"/>
    <mergeCell ref="AJ148:AJ149"/>
    <mergeCell ref="AK148:AK149"/>
    <mergeCell ref="AL148:AL149"/>
    <mergeCell ref="AM148:AM149"/>
    <mergeCell ref="AN148:AN149"/>
    <mergeCell ref="A148:A149"/>
    <mergeCell ref="B148:B149"/>
    <mergeCell ref="C148:C149"/>
    <mergeCell ref="D148:D149"/>
    <mergeCell ref="E148:E149"/>
    <mergeCell ref="F148:F149"/>
    <mergeCell ref="G148:G149"/>
    <mergeCell ref="H148:H149"/>
    <mergeCell ref="Y148:Y149"/>
    <mergeCell ref="BQ146:BQ147"/>
    <mergeCell ref="BR146:BR147"/>
    <mergeCell ref="BS146:BS147"/>
    <mergeCell ref="BU146:BU147"/>
    <mergeCell ref="BV146:BV147"/>
    <mergeCell ref="BH146:BH147"/>
    <mergeCell ref="BI146:BI147"/>
    <mergeCell ref="BJ146:BJ147"/>
    <mergeCell ref="BK146:BK147"/>
    <mergeCell ref="BL146:BL147"/>
    <mergeCell ref="AK146:AK147"/>
    <mergeCell ref="AL146:AL147"/>
    <mergeCell ref="AM146:AM147"/>
    <mergeCell ref="AN146:AN147"/>
    <mergeCell ref="AO146:AO147"/>
    <mergeCell ref="BG146:BG147"/>
    <mergeCell ref="AJ146:AJ147"/>
    <mergeCell ref="F146:F147"/>
    <mergeCell ref="G146:G147"/>
    <mergeCell ref="H146:H147"/>
    <mergeCell ref="Y146:Y147"/>
    <mergeCell ref="Z146:Z147"/>
    <mergeCell ref="AA146:AA147"/>
    <mergeCell ref="BR144:BR145"/>
    <mergeCell ref="BS144:BS145"/>
    <mergeCell ref="BU144:BU145"/>
    <mergeCell ref="BV144:BV145"/>
    <mergeCell ref="BW144:BW145"/>
    <mergeCell ref="Z148:Z149"/>
    <mergeCell ref="AA148:AA149"/>
    <mergeCell ref="AE148:AE149"/>
    <mergeCell ref="AF148:AF149"/>
    <mergeCell ref="AG148:AG149"/>
    <mergeCell ref="AH148:AH149"/>
    <mergeCell ref="BW146:BW147"/>
    <mergeCell ref="A146:A147"/>
    <mergeCell ref="B146:B147"/>
    <mergeCell ref="C146:C147"/>
    <mergeCell ref="D146:D147"/>
    <mergeCell ref="E146:E147"/>
    <mergeCell ref="BJ144:BJ145"/>
    <mergeCell ref="BK144:BK145"/>
    <mergeCell ref="BL144:BL145"/>
    <mergeCell ref="BQ144:BQ145"/>
    <mergeCell ref="AM144:AM145"/>
    <mergeCell ref="AN144:AN145"/>
    <mergeCell ref="AO144:AO145"/>
    <mergeCell ref="BG144:BG145"/>
    <mergeCell ref="BH144:BH145"/>
    <mergeCell ref="BI144:BI145"/>
    <mergeCell ref="AG144:AG145"/>
    <mergeCell ref="AH144:AH145"/>
    <mergeCell ref="AI144:AI145"/>
    <mergeCell ref="AJ144:AJ145"/>
    <mergeCell ref="AK144:AK145"/>
    <mergeCell ref="AL144:AL145"/>
    <mergeCell ref="H144:H145"/>
    <mergeCell ref="Y144:Y145"/>
    <mergeCell ref="Z144:Z145"/>
    <mergeCell ref="AA144:AA145"/>
    <mergeCell ref="AE144:AE145"/>
    <mergeCell ref="AF144:AF145"/>
    <mergeCell ref="AE146:AE147"/>
    <mergeCell ref="AF146:AF147"/>
    <mergeCell ref="AG146:AG147"/>
    <mergeCell ref="AH146:AH147"/>
    <mergeCell ref="AI146:AI147"/>
    <mergeCell ref="BU142:BU143"/>
    <mergeCell ref="BV142:BV143"/>
    <mergeCell ref="BW142:BW143"/>
    <mergeCell ref="A144:A145"/>
    <mergeCell ref="B144:B145"/>
    <mergeCell ref="C144:C145"/>
    <mergeCell ref="D144:D145"/>
    <mergeCell ref="E144:E145"/>
    <mergeCell ref="F144:F145"/>
    <mergeCell ref="G144:G145"/>
    <mergeCell ref="BL142:BL143"/>
    <mergeCell ref="BQ142:BQ143"/>
    <mergeCell ref="BR142:BR143"/>
    <mergeCell ref="BS142:BS143"/>
    <mergeCell ref="AO142:AO143"/>
    <mergeCell ref="BG142:BG143"/>
    <mergeCell ref="BH142:BH143"/>
    <mergeCell ref="BI142:BI143"/>
    <mergeCell ref="BJ142:BJ143"/>
    <mergeCell ref="BK142:BK143"/>
    <mergeCell ref="F142:F143"/>
    <mergeCell ref="G142:G143"/>
    <mergeCell ref="H142:H143"/>
    <mergeCell ref="Y142:Y143"/>
    <mergeCell ref="BQ140:BQ141"/>
    <mergeCell ref="BR140:BR141"/>
    <mergeCell ref="BS140:BS141"/>
    <mergeCell ref="BU140:BU141"/>
    <mergeCell ref="BV140:BV141"/>
    <mergeCell ref="BH140:BH141"/>
    <mergeCell ref="BI140:BI141"/>
    <mergeCell ref="BJ140:BJ141"/>
    <mergeCell ref="BK140:BK141"/>
    <mergeCell ref="BL140:BL141"/>
    <mergeCell ref="F140:F141"/>
    <mergeCell ref="G140:G141"/>
    <mergeCell ref="H140:H141"/>
    <mergeCell ref="Y140:Y141"/>
    <mergeCell ref="Z140:Z141"/>
    <mergeCell ref="AA140:AA141"/>
    <mergeCell ref="AI142:AI143"/>
    <mergeCell ref="AJ142:AJ143"/>
    <mergeCell ref="AK142:AK143"/>
    <mergeCell ref="AL142:AL143"/>
    <mergeCell ref="AM142:AM143"/>
    <mergeCell ref="AN142:AN143"/>
    <mergeCell ref="BN140:BN141"/>
    <mergeCell ref="BO140:BO141"/>
    <mergeCell ref="BP140:BP141"/>
    <mergeCell ref="BN142:BN143"/>
    <mergeCell ref="BO142:BO143"/>
    <mergeCell ref="BP142:BP143"/>
    <mergeCell ref="A136:A137"/>
    <mergeCell ref="B136:B137"/>
    <mergeCell ref="C136:C137"/>
    <mergeCell ref="D136:D137"/>
    <mergeCell ref="E136:E137"/>
    <mergeCell ref="F136:F137"/>
    <mergeCell ref="BR138:BR139"/>
    <mergeCell ref="BS138:BS139"/>
    <mergeCell ref="BU138:BU139"/>
    <mergeCell ref="BV138:BV139"/>
    <mergeCell ref="Z142:Z143"/>
    <mergeCell ref="AA142:AA143"/>
    <mergeCell ref="AE142:AE143"/>
    <mergeCell ref="AF142:AF143"/>
    <mergeCell ref="AG142:AG143"/>
    <mergeCell ref="AH142:AH143"/>
    <mergeCell ref="H138:H139"/>
    <mergeCell ref="Y138:Y139"/>
    <mergeCell ref="Z138:Z139"/>
    <mergeCell ref="AA138:AA139"/>
    <mergeCell ref="AE138:AE139"/>
    <mergeCell ref="AF138:AF139"/>
    <mergeCell ref="AK140:AK141"/>
    <mergeCell ref="AL140:AL141"/>
    <mergeCell ref="AM140:AM141"/>
    <mergeCell ref="AN140:AN141"/>
    <mergeCell ref="AO140:AO141"/>
    <mergeCell ref="A142:A143"/>
    <mergeCell ref="B142:B143"/>
    <mergeCell ref="C142:C143"/>
    <mergeCell ref="D142:D143"/>
    <mergeCell ref="E142:E143"/>
    <mergeCell ref="BW138:BW139"/>
    <mergeCell ref="A140:A141"/>
    <mergeCell ref="B140:B141"/>
    <mergeCell ref="C140:C141"/>
    <mergeCell ref="D140:D141"/>
    <mergeCell ref="E140:E141"/>
    <mergeCell ref="BJ138:BJ139"/>
    <mergeCell ref="BK138:BK139"/>
    <mergeCell ref="BL138:BL139"/>
    <mergeCell ref="BQ138:BQ139"/>
    <mergeCell ref="AM138:AM139"/>
    <mergeCell ref="AN138:AN139"/>
    <mergeCell ref="AO138:AO139"/>
    <mergeCell ref="BG138:BG139"/>
    <mergeCell ref="BH138:BH139"/>
    <mergeCell ref="BI138:BI139"/>
    <mergeCell ref="AG138:AG139"/>
    <mergeCell ref="AH138:AH139"/>
    <mergeCell ref="AI138:AI139"/>
    <mergeCell ref="AJ138:AJ139"/>
    <mergeCell ref="AK138:AK139"/>
    <mergeCell ref="AL138:AL139"/>
    <mergeCell ref="BG140:BG141"/>
    <mergeCell ref="AE140:AE141"/>
    <mergeCell ref="AF140:AF141"/>
    <mergeCell ref="AG140:AG141"/>
    <mergeCell ref="AH140:AH141"/>
    <mergeCell ref="AI140:AI141"/>
    <mergeCell ref="AJ140:AJ141"/>
    <mergeCell ref="BW140:BW141"/>
    <mergeCell ref="BO138:BO139"/>
    <mergeCell ref="BP138:BP139"/>
    <mergeCell ref="AL134:AL135"/>
    <mergeCell ref="AM134:AM135"/>
    <mergeCell ref="AN134:AN135"/>
    <mergeCell ref="AO134:AO135"/>
    <mergeCell ref="BG134:BG135"/>
    <mergeCell ref="AJ134:AJ135"/>
    <mergeCell ref="BU136:BU137"/>
    <mergeCell ref="BV136:BV137"/>
    <mergeCell ref="BW136:BW137"/>
    <mergeCell ref="A138:A139"/>
    <mergeCell ref="B138:B139"/>
    <mergeCell ref="C138:C139"/>
    <mergeCell ref="D138:D139"/>
    <mergeCell ref="E138:E139"/>
    <mergeCell ref="F138:F139"/>
    <mergeCell ref="G138:G139"/>
    <mergeCell ref="BL136:BL137"/>
    <mergeCell ref="BQ136:BQ137"/>
    <mergeCell ref="BR136:BR137"/>
    <mergeCell ref="BS136:BS137"/>
    <mergeCell ref="AO136:AO137"/>
    <mergeCell ref="BG136:BG137"/>
    <mergeCell ref="BH136:BH137"/>
    <mergeCell ref="BI136:BI137"/>
    <mergeCell ref="BJ136:BJ137"/>
    <mergeCell ref="BK136:BK137"/>
    <mergeCell ref="AI136:AI137"/>
    <mergeCell ref="AJ136:AJ137"/>
    <mergeCell ref="AK136:AK137"/>
    <mergeCell ref="AL136:AL137"/>
    <mergeCell ref="AM136:AM137"/>
    <mergeCell ref="AN136:AN137"/>
    <mergeCell ref="F134:F135"/>
    <mergeCell ref="G134:G135"/>
    <mergeCell ref="H134:H135"/>
    <mergeCell ref="Y134:Y135"/>
    <mergeCell ref="Z134:Z135"/>
    <mergeCell ref="AA134:AA135"/>
    <mergeCell ref="BR132:BR133"/>
    <mergeCell ref="BS132:BS133"/>
    <mergeCell ref="BU132:BU133"/>
    <mergeCell ref="BV132:BV133"/>
    <mergeCell ref="BW132:BW133"/>
    <mergeCell ref="Z136:Z137"/>
    <mergeCell ref="AA136:AA137"/>
    <mergeCell ref="AE136:AE137"/>
    <mergeCell ref="AF136:AF137"/>
    <mergeCell ref="AG136:AG137"/>
    <mergeCell ref="AH136:AH137"/>
    <mergeCell ref="BW134:BW135"/>
    <mergeCell ref="G136:G137"/>
    <mergeCell ref="H136:H137"/>
    <mergeCell ref="Y136:Y137"/>
    <mergeCell ref="BQ134:BQ135"/>
    <mergeCell ref="BR134:BR135"/>
    <mergeCell ref="BS134:BS135"/>
    <mergeCell ref="BU134:BU135"/>
    <mergeCell ref="BV134:BV135"/>
    <mergeCell ref="BH134:BH135"/>
    <mergeCell ref="BI134:BI135"/>
    <mergeCell ref="BJ134:BJ135"/>
    <mergeCell ref="BK134:BK135"/>
    <mergeCell ref="BL134:BL135"/>
    <mergeCell ref="AK134:AK135"/>
    <mergeCell ref="A134:A135"/>
    <mergeCell ref="B134:B135"/>
    <mergeCell ref="C134:C135"/>
    <mergeCell ref="D134:D135"/>
    <mergeCell ref="E134:E135"/>
    <mergeCell ref="BJ132:BJ133"/>
    <mergeCell ref="BK132:BK133"/>
    <mergeCell ref="BL132:BL133"/>
    <mergeCell ref="BQ132:BQ133"/>
    <mergeCell ref="AM132:AM133"/>
    <mergeCell ref="AN132:AN133"/>
    <mergeCell ref="AO132:AO133"/>
    <mergeCell ref="BG132:BG133"/>
    <mergeCell ref="BH132:BH133"/>
    <mergeCell ref="BI132:BI133"/>
    <mergeCell ref="AG132:AG133"/>
    <mergeCell ref="AH132:AH133"/>
    <mergeCell ref="AI132:AI133"/>
    <mergeCell ref="AJ132:AJ133"/>
    <mergeCell ref="AK132:AK133"/>
    <mergeCell ref="AL132:AL133"/>
    <mergeCell ref="H132:H133"/>
    <mergeCell ref="Y132:Y133"/>
    <mergeCell ref="Z132:Z133"/>
    <mergeCell ref="AA132:AA133"/>
    <mergeCell ref="AE132:AE133"/>
    <mergeCell ref="AF132:AF133"/>
    <mergeCell ref="AE134:AE135"/>
    <mergeCell ref="AF134:AF135"/>
    <mergeCell ref="AG134:AG135"/>
    <mergeCell ref="AH134:AH135"/>
    <mergeCell ref="AI134:AI135"/>
    <mergeCell ref="BU130:BU131"/>
    <mergeCell ref="BV130:BV131"/>
    <mergeCell ref="BW130:BW131"/>
    <mergeCell ref="A132:A133"/>
    <mergeCell ref="B132:B133"/>
    <mergeCell ref="C132:C133"/>
    <mergeCell ref="D132:D133"/>
    <mergeCell ref="E132:E133"/>
    <mergeCell ref="F132:F133"/>
    <mergeCell ref="G132:G133"/>
    <mergeCell ref="BL130:BL131"/>
    <mergeCell ref="BQ130:BQ131"/>
    <mergeCell ref="BR130:BR131"/>
    <mergeCell ref="BS130:BS131"/>
    <mergeCell ref="AO130:AO131"/>
    <mergeCell ref="BG130:BG131"/>
    <mergeCell ref="BH130:BH131"/>
    <mergeCell ref="BI130:BI131"/>
    <mergeCell ref="BJ130:BJ131"/>
    <mergeCell ref="BK130:BK131"/>
    <mergeCell ref="AI130:AI131"/>
    <mergeCell ref="AJ130:AJ131"/>
    <mergeCell ref="AK130:AK131"/>
    <mergeCell ref="AL130:AL131"/>
    <mergeCell ref="AM130:AM131"/>
    <mergeCell ref="AN130:AN131"/>
    <mergeCell ref="Z130:Z131"/>
    <mergeCell ref="AA130:AA131"/>
    <mergeCell ref="AE130:AE131"/>
    <mergeCell ref="AF130:AF131"/>
    <mergeCell ref="AG130:AG131"/>
    <mergeCell ref="AH130:AH131"/>
    <mergeCell ref="BW128:BW129"/>
    <mergeCell ref="A130:A131"/>
    <mergeCell ref="B130:B131"/>
    <mergeCell ref="C130:C131"/>
    <mergeCell ref="D130:D131"/>
    <mergeCell ref="E130:E131"/>
    <mergeCell ref="F130:F131"/>
    <mergeCell ref="G130:G131"/>
    <mergeCell ref="H130:H131"/>
    <mergeCell ref="Y130:Y131"/>
    <mergeCell ref="BQ128:BQ129"/>
    <mergeCell ref="BR128:BR129"/>
    <mergeCell ref="BS128:BS129"/>
    <mergeCell ref="BU128:BU129"/>
    <mergeCell ref="BV128:BV129"/>
    <mergeCell ref="BH128:BH129"/>
    <mergeCell ref="BI128:BI129"/>
    <mergeCell ref="BJ128:BJ129"/>
    <mergeCell ref="BK128:BK129"/>
    <mergeCell ref="BL128:BL129"/>
    <mergeCell ref="AK128:AK129"/>
    <mergeCell ref="AL128:AL129"/>
    <mergeCell ref="AM128:AM129"/>
    <mergeCell ref="AN128:AN129"/>
    <mergeCell ref="AO128:AO129"/>
    <mergeCell ref="BG128:BG129"/>
    <mergeCell ref="AE128:AE129"/>
    <mergeCell ref="AF128:AF129"/>
    <mergeCell ref="AG128:AG129"/>
    <mergeCell ref="AH128:AH129"/>
    <mergeCell ref="AI128:AI129"/>
    <mergeCell ref="AJ128:AJ129"/>
    <mergeCell ref="F128:F129"/>
    <mergeCell ref="G128:G129"/>
    <mergeCell ref="H128:H129"/>
    <mergeCell ref="Y128:Y129"/>
    <mergeCell ref="Z128:Z129"/>
    <mergeCell ref="AA128:AA129"/>
    <mergeCell ref="BR126:BR127"/>
    <mergeCell ref="BS126:BS127"/>
    <mergeCell ref="BU126:BU127"/>
    <mergeCell ref="BV126:BV127"/>
    <mergeCell ref="BW126:BW127"/>
    <mergeCell ref="A128:A129"/>
    <mergeCell ref="B128:B129"/>
    <mergeCell ref="C128:C129"/>
    <mergeCell ref="D128:D129"/>
    <mergeCell ref="E128:E129"/>
    <mergeCell ref="BJ126:BJ127"/>
    <mergeCell ref="BK126:BK127"/>
    <mergeCell ref="BL126:BL127"/>
    <mergeCell ref="BQ126:BQ127"/>
    <mergeCell ref="AM126:AM127"/>
    <mergeCell ref="AN126:AN127"/>
    <mergeCell ref="AO126:AO127"/>
    <mergeCell ref="BG126:BG127"/>
    <mergeCell ref="BH126:BH127"/>
    <mergeCell ref="BI126:BI127"/>
    <mergeCell ref="AG126:AG127"/>
    <mergeCell ref="AH126:AH127"/>
    <mergeCell ref="AI126:AI127"/>
    <mergeCell ref="AJ126:AJ127"/>
    <mergeCell ref="AK126:AK127"/>
    <mergeCell ref="AL126:AL127"/>
    <mergeCell ref="H126:H127"/>
    <mergeCell ref="Y126:Y127"/>
    <mergeCell ref="Z126:Z127"/>
    <mergeCell ref="AA126:AA127"/>
    <mergeCell ref="AE126:AE127"/>
    <mergeCell ref="AF126:AF127"/>
    <mergeCell ref="BU124:BU125"/>
    <mergeCell ref="BV124:BV125"/>
    <mergeCell ref="BW124:BW125"/>
    <mergeCell ref="A126:A127"/>
    <mergeCell ref="B126:B127"/>
    <mergeCell ref="C126:C127"/>
    <mergeCell ref="D126:D127"/>
    <mergeCell ref="E126:E127"/>
    <mergeCell ref="F126:F127"/>
    <mergeCell ref="G126:G127"/>
    <mergeCell ref="BL124:BL125"/>
    <mergeCell ref="BQ124:BQ125"/>
    <mergeCell ref="BR124:BR125"/>
    <mergeCell ref="BS124:BS125"/>
    <mergeCell ref="AO124:AO125"/>
    <mergeCell ref="BG124:BG125"/>
    <mergeCell ref="BH124:BH125"/>
    <mergeCell ref="BI124:BI125"/>
    <mergeCell ref="BJ124:BJ125"/>
    <mergeCell ref="BK124:BK125"/>
    <mergeCell ref="AI124:AI125"/>
    <mergeCell ref="AJ124:AJ125"/>
    <mergeCell ref="AK124:AK125"/>
    <mergeCell ref="AL124:AL125"/>
    <mergeCell ref="AM124:AM125"/>
    <mergeCell ref="AN124:AN125"/>
    <mergeCell ref="A124:A125"/>
    <mergeCell ref="B124:B125"/>
    <mergeCell ref="C124:C125"/>
    <mergeCell ref="D124:D125"/>
    <mergeCell ref="E124:E125"/>
    <mergeCell ref="F124:F125"/>
    <mergeCell ref="G124:G125"/>
    <mergeCell ref="H124:H125"/>
    <mergeCell ref="Y124:Y125"/>
    <mergeCell ref="BQ122:BQ123"/>
    <mergeCell ref="BR122:BR123"/>
    <mergeCell ref="BS122:BS123"/>
    <mergeCell ref="BU122:BU123"/>
    <mergeCell ref="BV122:BV123"/>
    <mergeCell ref="BH122:BH123"/>
    <mergeCell ref="BI122:BI123"/>
    <mergeCell ref="BJ122:BJ123"/>
    <mergeCell ref="BK122:BK123"/>
    <mergeCell ref="BL122:BL123"/>
    <mergeCell ref="AK122:AK123"/>
    <mergeCell ref="AL122:AL123"/>
    <mergeCell ref="AM122:AM123"/>
    <mergeCell ref="AN122:AN123"/>
    <mergeCell ref="AO122:AO123"/>
    <mergeCell ref="BG122:BG123"/>
    <mergeCell ref="BN122:BN123"/>
    <mergeCell ref="BO122:BO123"/>
    <mergeCell ref="BP122:BP123"/>
    <mergeCell ref="BN124:BN125"/>
    <mergeCell ref="BO124:BO125"/>
    <mergeCell ref="BP124:BP125"/>
    <mergeCell ref="AJ122:AJ123"/>
    <mergeCell ref="F122:F123"/>
    <mergeCell ref="G122:G123"/>
    <mergeCell ref="H122:H123"/>
    <mergeCell ref="Y122:Y123"/>
    <mergeCell ref="Z122:Z123"/>
    <mergeCell ref="AA122:AA123"/>
    <mergeCell ref="BR120:BR121"/>
    <mergeCell ref="BS120:BS121"/>
    <mergeCell ref="BU120:BU121"/>
    <mergeCell ref="BV120:BV121"/>
    <mergeCell ref="BW120:BW121"/>
    <mergeCell ref="Z124:Z125"/>
    <mergeCell ref="AA124:AA125"/>
    <mergeCell ref="AE124:AE125"/>
    <mergeCell ref="AF124:AF125"/>
    <mergeCell ref="AG124:AG125"/>
    <mergeCell ref="AH124:AH125"/>
    <mergeCell ref="BW122:BW123"/>
    <mergeCell ref="BO120:BO121"/>
    <mergeCell ref="BP120:BP121"/>
    <mergeCell ref="A122:A123"/>
    <mergeCell ref="B122:B123"/>
    <mergeCell ref="C122:C123"/>
    <mergeCell ref="D122:D123"/>
    <mergeCell ref="E122:E123"/>
    <mergeCell ref="BJ120:BJ121"/>
    <mergeCell ref="BK120:BK121"/>
    <mergeCell ref="BL120:BL121"/>
    <mergeCell ref="BQ120:BQ121"/>
    <mergeCell ref="AM120:AM121"/>
    <mergeCell ref="AN120:AN121"/>
    <mergeCell ref="AO120:AO121"/>
    <mergeCell ref="BG120:BG121"/>
    <mergeCell ref="BH120:BH121"/>
    <mergeCell ref="BI120:BI121"/>
    <mergeCell ref="AG120:AG121"/>
    <mergeCell ref="AH120:AH121"/>
    <mergeCell ref="AI120:AI121"/>
    <mergeCell ref="AJ120:AJ121"/>
    <mergeCell ref="AK120:AK121"/>
    <mergeCell ref="AL120:AL121"/>
    <mergeCell ref="H120:H121"/>
    <mergeCell ref="Y120:Y121"/>
    <mergeCell ref="Z120:Z121"/>
    <mergeCell ref="AA120:AA121"/>
    <mergeCell ref="AE120:AE121"/>
    <mergeCell ref="AF120:AF121"/>
    <mergeCell ref="AE122:AE123"/>
    <mergeCell ref="AF122:AF123"/>
    <mergeCell ref="AG122:AG123"/>
    <mergeCell ref="AH122:AH123"/>
    <mergeCell ref="AI122:AI123"/>
    <mergeCell ref="BU118:BU119"/>
    <mergeCell ref="BV118:BV119"/>
    <mergeCell ref="BW118:BW119"/>
    <mergeCell ref="A120:A121"/>
    <mergeCell ref="B120:B121"/>
    <mergeCell ref="C120:C121"/>
    <mergeCell ref="D120:D121"/>
    <mergeCell ref="E120:E121"/>
    <mergeCell ref="F120:F121"/>
    <mergeCell ref="G120:G121"/>
    <mergeCell ref="BL118:BL119"/>
    <mergeCell ref="BQ118:BQ119"/>
    <mergeCell ref="BR118:BR119"/>
    <mergeCell ref="BS118:BS119"/>
    <mergeCell ref="AO118:AO119"/>
    <mergeCell ref="BG118:BG119"/>
    <mergeCell ref="BH118:BH119"/>
    <mergeCell ref="BI118:BI119"/>
    <mergeCell ref="BJ118:BJ119"/>
    <mergeCell ref="BK118:BK119"/>
    <mergeCell ref="AI118:AI119"/>
    <mergeCell ref="AJ118:AJ119"/>
    <mergeCell ref="AK118:AK119"/>
    <mergeCell ref="AL118:AL119"/>
    <mergeCell ref="AM118:AM119"/>
    <mergeCell ref="AN118:AN119"/>
    <mergeCell ref="Z118:Z119"/>
    <mergeCell ref="AA118:AA119"/>
    <mergeCell ref="AE118:AE119"/>
    <mergeCell ref="AF118:AF119"/>
    <mergeCell ref="AG118:AG119"/>
    <mergeCell ref="AH118:AH119"/>
    <mergeCell ref="BW116:BW117"/>
    <mergeCell ref="A118:A119"/>
    <mergeCell ref="B118:B119"/>
    <mergeCell ref="C118:C119"/>
    <mergeCell ref="D118:D119"/>
    <mergeCell ref="E118:E119"/>
    <mergeCell ref="F118:F119"/>
    <mergeCell ref="G118:G119"/>
    <mergeCell ref="H118:H119"/>
    <mergeCell ref="Y118:Y119"/>
    <mergeCell ref="BQ116:BQ117"/>
    <mergeCell ref="BR116:BR117"/>
    <mergeCell ref="BS116:BS117"/>
    <mergeCell ref="BU116:BU117"/>
    <mergeCell ref="BV116:BV117"/>
    <mergeCell ref="BH116:BH117"/>
    <mergeCell ref="BI116:BI117"/>
    <mergeCell ref="BJ116:BJ117"/>
    <mergeCell ref="BK116:BK117"/>
    <mergeCell ref="BL116:BL117"/>
    <mergeCell ref="AK116:AK117"/>
    <mergeCell ref="AL116:AL117"/>
    <mergeCell ref="AM116:AM117"/>
    <mergeCell ref="AN116:AN117"/>
    <mergeCell ref="AO116:AO117"/>
    <mergeCell ref="BG116:BG117"/>
    <mergeCell ref="AE116:AE117"/>
    <mergeCell ref="AF116:AF117"/>
    <mergeCell ref="AG116:AG117"/>
    <mergeCell ref="AH116:AH117"/>
    <mergeCell ref="AI116:AI117"/>
    <mergeCell ref="AJ116:AJ117"/>
    <mergeCell ref="F116:F117"/>
    <mergeCell ref="G116:G117"/>
    <mergeCell ref="H116:H117"/>
    <mergeCell ref="Y116:Y117"/>
    <mergeCell ref="Z116:Z117"/>
    <mergeCell ref="AA116:AA117"/>
    <mergeCell ref="BR114:BR115"/>
    <mergeCell ref="BS114:BS115"/>
    <mergeCell ref="BU114:BU115"/>
    <mergeCell ref="BV114:BV115"/>
    <mergeCell ref="BW114:BW115"/>
    <mergeCell ref="A116:A117"/>
    <mergeCell ref="B116:B117"/>
    <mergeCell ref="C116:C117"/>
    <mergeCell ref="D116:D117"/>
    <mergeCell ref="E116:E117"/>
    <mergeCell ref="BJ114:BJ115"/>
    <mergeCell ref="BK114:BK115"/>
    <mergeCell ref="BL114:BL115"/>
    <mergeCell ref="BQ114:BQ115"/>
    <mergeCell ref="AM114:AM115"/>
    <mergeCell ref="AN114:AN115"/>
    <mergeCell ref="AO114:AO115"/>
    <mergeCell ref="BG114:BG115"/>
    <mergeCell ref="BH114:BH115"/>
    <mergeCell ref="BI114:BI115"/>
    <mergeCell ref="AG114:AG115"/>
    <mergeCell ref="AH114:AH115"/>
    <mergeCell ref="AI114:AI115"/>
    <mergeCell ref="AJ114:AJ115"/>
    <mergeCell ref="AK114:AK115"/>
    <mergeCell ref="AL114:AL115"/>
    <mergeCell ref="H114:H115"/>
    <mergeCell ref="Y114:Y115"/>
    <mergeCell ref="Z114:Z115"/>
    <mergeCell ref="AA114:AA115"/>
    <mergeCell ref="AE114:AE115"/>
    <mergeCell ref="AF114:AF115"/>
    <mergeCell ref="BU112:BU113"/>
    <mergeCell ref="BV112:BV113"/>
    <mergeCell ref="BW112:BW113"/>
    <mergeCell ref="A114:A115"/>
    <mergeCell ref="B114:B115"/>
    <mergeCell ref="C114:C115"/>
    <mergeCell ref="D114:D115"/>
    <mergeCell ref="E114:E115"/>
    <mergeCell ref="F114:F115"/>
    <mergeCell ref="G114:G115"/>
    <mergeCell ref="BL112:BL113"/>
    <mergeCell ref="BQ112:BQ113"/>
    <mergeCell ref="BR112:BR113"/>
    <mergeCell ref="BS112:BS113"/>
    <mergeCell ref="AO112:AO113"/>
    <mergeCell ref="BG112:BG113"/>
    <mergeCell ref="BH112:BH113"/>
    <mergeCell ref="BI112:BI113"/>
    <mergeCell ref="BJ112:BJ113"/>
    <mergeCell ref="BK112:BK113"/>
    <mergeCell ref="AI112:AI113"/>
    <mergeCell ref="AJ112:AJ113"/>
    <mergeCell ref="AK112:AK113"/>
    <mergeCell ref="AL112:AL113"/>
    <mergeCell ref="AM112:AM113"/>
    <mergeCell ref="AN112:AN113"/>
    <mergeCell ref="A112:A113"/>
    <mergeCell ref="B112:B113"/>
    <mergeCell ref="C112:C113"/>
    <mergeCell ref="D112:D113"/>
    <mergeCell ref="E112:E113"/>
    <mergeCell ref="F112:F113"/>
    <mergeCell ref="G112:G113"/>
    <mergeCell ref="H112:H113"/>
    <mergeCell ref="Y112:Y113"/>
    <mergeCell ref="BQ110:BQ111"/>
    <mergeCell ref="BR110:BR111"/>
    <mergeCell ref="BS110:BS111"/>
    <mergeCell ref="BU110:BU111"/>
    <mergeCell ref="BV110:BV111"/>
    <mergeCell ref="BH110:BH111"/>
    <mergeCell ref="BI110:BI111"/>
    <mergeCell ref="BJ110:BJ111"/>
    <mergeCell ref="BK110:BK111"/>
    <mergeCell ref="BL110:BL111"/>
    <mergeCell ref="AK110:AK111"/>
    <mergeCell ref="AL110:AL111"/>
    <mergeCell ref="AM110:AM111"/>
    <mergeCell ref="AN110:AN111"/>
    <mergeCell ref="AO110:AO111"/>
    <mergeCell ref="BG110:BG111"/>
    <mergeCell ref="AJ110:AJ111"/>
    <mergeCell ref="F110:F111"/>
    <mergeCell ref="G110:G111"/>
    <mergeCell ref="H110:H111"/>
    <mergeCell ref="Y110:Y111"/>
    <mergeCell ref="Z110:Z111"/>
    <mergeCell ref="AA110:AA111"/>
    <mergeCell ref="BR108:BR109"/>
    <mergeCell ref="BS108:BS109"/>
    <mergeCell ref="BU108:BU109"/>
    <mergeCell ref="BV108:BV109"/>
    <mergeCell ref="BW108:BW109"/>
    <mergeCell ref="Z112:Z113"/>
    <mergeCell ref="AA112:AA113"/>
    <mergeCell ref="AE112:AE113"/>
    <mergeCell ref="AF112:AF113"/>
    <mergeCell ref="AG112:AG113"/>
    <mergeCell ref="AH112:AH113"/>
    <mergeCell ref="BW110:BW111"/>
    <mergeCell ref="A110:A111"/>
    <mergeCell ref="B110:B111"/>
    <mergeCell ref="C110:C111"/>
    <mergeCell ref="D110:D111"/>
    <mergeCell ref="E110:E111"/>
    <mergeCell ref="BJ108:BJ109"/>
    <mergeCell ref="BK108:BK109"/>
    <mergeCell ref="BL108:BL109"/>
    <mergeCell ref="BQ108:BQ109"/>
    <mergeCell ref="AM108:AM109"/>
    <mergeCell ref="AN108:AN109"/>
    <mergeCell ref="AO108:AO109"/>
    <mergeCell ref="BG108:BG109"/>
    <mergeCell ref="BH108:BH109"/>
    <mergeCell ref="BI108:BI109"/>
    <mergeCell ref="AG108:AG109"/>
    <mergeCell ref="AH108:AH109"/>
    <mergeCell ref="AI108:AI109"/>
    <mergeCell ref="AJ108:AJ109"/>
    <mergeCell ref="AK108:AK109"/>
    <mergeCell ref="AL108:AL109"/>
    <mergeCell ref="H108:H109"/>
    <mergeCell ref="Y108:Y109"/>
    <mergeCell ref="Z108:Z109"/>
    <mergeCell ref="AA108:AA109"/>
    <mergeCell ref="AE108:AE109"/>
    <mergeCell ref="AF108:AF109"/>
    <mergeCell ref="AE110:AE111"/>
    <mergeCell ref="AF110:AF111"/>
    <mergeCell ref="AG110:AG111"/>
    <mergeCell ref="AH110:AH111"/>
    <mergeCell ref="AI110:AI111"/>
    <mergeCell ref="BU106:BU107"/>
    <mergeCell ref="BV106:BV107"/>
    <mergeCell ref="BW106:BW107"/>
    <mergeCell ref="A108:A109"/>
    <mergeCell ref="B108:B109"/>
    <mergeCell ref="C108:C109"/>
    <mergeCell ref="D108:D109"/>
    <mergeCell ref="E108:E109"/>
    <mergeCell ref="F108:F109"/>
    <mergeCell ref="G108:G109"/>
    <mergeCell ref="BL106:BL107"/>
    <mergeCell ref="BQ106:BQ107"/>
    <mergeCell ref="BR106:BR107"/>
    <mergeCell ref="BS106:BS107"/>
    <mergeCell ref="AO106:AO107"/>
    <mergeCell ref="BG106:BG107"/>
    <mergeCell ref="BH106:BH107"/>
    <mergeCell ref="BI106:BI107"/>
    <mergeCell ref="BJ106:BJ107"/>
    <mergeCell ref="BK106:BK107"/>
    <mergeCell ref="BW104:BW105"/>
    <mergeCell ref="A106:A107"/>
    <mergeCell ref="B106:B107"/>
    <mergeCell ref="C106:C107"/>
    <mergeCell ref="D106:D107"/>
    <mergeCell ref="E106:E107"/>
    <mergeCell ref="F106:F107"/>
    <mergeCell ref="G106:G107"/>
    <mergeCell ref="H106:H107"/>
    <mergeCell ref="Y106:Y107"/>
    <mergeCell ref="BQ104:BQ105"/>
    <mergeCell ref="BR104:BR105"/>
    <mergeCell ref="BS104:BS105"/>
    <mergeCell ref="BU104:BU105"/>
    <mergeCell ref="BV104:BV105"/>
    <mergeCell ref="BH104:BH105"/>
    <mergeCell ref="BI104:BI105"/>
    <mergeCell ref="BJ104:BJ105"/>
    <mergeCell ref="BK104:BK105"/>
    <mergeCell ref="BL104:BL105"/>
    <mergeCell ref="AM104:AM105"/>
    <mergeCell ref="AN104:AN105"/>
    <mergeCell ref="AO104:AO105"/>
    <mergeCell ref="BG104:BG105"/>
    <mergeCell ref="AE104:AE105"/>
    <mergeCell ref="AF104:AF105"/>
    <mergeCell ref="AG104:AG105"/>
    <mergeCell ref="AH104:AH105"/>
    <mergeCell ref="AI104:AI105"/>
    <mergeCell ref="AJ104:AJ105"/>
    <mergeCell ref="F104:F105"/>
    <mergeCell ref="G104:G105"/>
    <mergeCell ref="H104:H105"/>
    <mergeCell ref="Y104:Y105"/>
    <mergeCell ref="Z104:Z105"/>
    <mergeCell ref="AA104:AA105"/>
    <mergeCell ref="AI106:AI107"/>
    <mergeCell ref="AJ106:AJ107"/>
    <mergeCell ref="AK106:AK107"/>
    <mergeCell ref="AL106:AL107"/>
    <mergeCell ref="AM106:AM107"/>
    <mergeCell ref="AN106:AN107"/>
    <mergeCell ref="Z106:Z107"/>
    <mergeCell ref="AA106:AA107"/>
    <mergeCell ref="AE106:AE107"/>
    <mergeCell ref="AF106:AF107"/>
    <mergeCell ref="AG106:AG107"/>
    <mergeCell ref="AH106:AH107"/>
    <mergeCell ref="BU102:BU103"/>
    <mergeCell ref="BO102:BO103"/>
    <mergeCell ref="BP102:BP103"/>
    <mergeCell ref="BN104:BN105"/>
    <mergeCell ref="BO104:BO105"/>
    <mergeCell ref="BP104:BP105"/>
    <mergeCell ref="BN106:BN107"/>
    <mergeCell ref="BO106:BO107"/>
    <mergeCell ref="BP106:BP107"/>
    <mergeCell ref="BV102:BV103"/>
    <mergeCell ref="BW102:BW103"/>
    <mergeCell ref="A104:A105"/>
    <mergeCell ref="B104:B105"/>
    <mergeCell ref="C104:C105"/>
    <mergeCell ref="D104:D105"/>
    <mergeCell ref="E104:E105"/>
    <mergeCell ref="BJ102:BJ103"/>
    <mergeCell ref="BK102:BK103"/>
    <mergeCell ref="BL102:BL103"/>
    <mergeCell ref="BQ102:BQ103"/>
    <mergeCell ref="AM102:AM103"/>
    <mergeCell ref="AN102:AN103"/>
    <mergeCell ref="AO102:AO103"/>
    <mergeCell ref="BG102:BG103"/>
    <mergeCell ref="BH102:BH103"/>
    <mergeCell ref="BI102:BI103"/>
    <mergeCell ref="AG102:AG103"/>
    <mergeCell ref="AH102:AH103"/>
    <mergeCell ref="AI102:AI103"/>
    <mergeCell ref="AJ102:AJ103"/>
    <mergeCell ref="AK102:AK103"/>
    <mergeCell ref="AL102:AL103"/>
    <mergeCell ref="H102:H103"/>
    <mergeCell ref="Y102:Y103"/>
    <mergeCell ref="Z102:Z103"/>
    <mergeCell ref="AA102:AA103"/>
    <mergeCell ref="AE102:AE103"/>
    <mergeCell ref="AF102:AF103"/>
    <mergeCell ref="AK104:AK105"/>
    <mergeCell ref="AL104:AL105"/>
    <mergeCell ref="A102:A103"/>
    <mergeCell ref="B102:B103"/>
    <mergeCell ref="C102:C103"/>
    <mergeCell ref="D102:D103"/>
    <mergeCell ref="E102:E103"/>
    <mergeCell ref="F102:F103"/>
    <mergeCell ref="G102:G103"/>
    <mergeCell ref="BL100:BL101"/>
    <mergeCell ref="BQ100:BQ101"/>
    <mergeCell ref="BR100:BR101"/>
    <mergeCell ref="BS100:BS101"/>
    <mergeCell ref="AO100:AO101"/>
    <mergeCell ref="BG100:BG101"/>
    <mergeCell ref="BH100:BH101"/>
    <mergeCell ref="BI100:BI101"/>
    <mergeCell ref="BJ100:BJ101"/>
    <mergeCell ref="BK100:BK101"/>
    <mergeCell ref="AI100:AI101"/>
    <mergeCell ref="AJ100:AJ101"/>
    <mergeCell ref="AK100:AK101"/>
    <mergeCell ref="AL100:AL101"/>
    <mergeCell ref="AM100:AM101"/>
    <mergeCell ref="AN100:AN101"/>
    <mergeCell ref="A100:A101"/>
    <mergeCell ref="B100:B101"/>
    <mergeCell ref="C100:C101"/>
    <mergeCell ref="D100:D101"/>
    <mergeCell ref="E100:E101"/>
    <mergeCell ref="F100:F101"/>
    <mergeCell ref="BR102:BR103"/>
    <mergeCell ref="BS102:BS103"/>
    <mergeCell ref="BN102:BN103"/>
    <mergeCell ref="AK98:AK99"/>
    <mergeCell ref="AL98:AL99"/>
    <mergeCell ref="AM98:AM99"/>
    <mergeCell ref="AN98:AN99"/>
    <mergeCell ref="AO98:AO99"/>
    <mergeCell ref="BG98:BG99"/>
    <mergeCell ref="BO98:BO99"/>
    <mergeCell ref="BP98:BP99"/>
    <mergeCell ref="BN100:BN101"/>
    <mergeCell ref="BO100:BO101"/>
    <mergeCell ref="BP100:BP101"/>
    <mergeCell ref="BM98:BM99"/>
    <mergeCell ref="BM100:BM101"/>
    <mergeCell ref="AJ98:AJ99"/>
    <mergeCell ref="BJ98:BJ99"/>
    <mergeCell ref="BK98:BK99"/>
    <mergeCell ref="BL98:BL99"/>
    <mergeCell ref="A98:A99"/>
    <mergeCell ref="B98:B99"/>
    <mergeCell ref="C98:C99"/>
    <mergeCell ref="D98:D99"/>
    <mergeCell ref="E98:E99"/>
    <mergeCell ref="AE98:AE99"/>
    <mergeCell ref="BU100:BU101"/>
    <mergeCell ref="BV100:BV101"/>
    <mergeCell ref="BW100:BW101"/>
    <mergeCell ref="F98:F99"/>
    <mergeCell ref="G98:G99"/>
    <mergeCell ref="H98:H99"/>
    <mergeCell ref="Y98:Y99"/>
    <mergeCell ref="Z98:Z99"/>
    <mergeCell ref="AA98:AA99"/>
    <mergeCell ref="BR96:BR97"/>
    <mergeCell ref="BS96:BS97"/>
    <mergeCell ref="BU96:BU97"/>
    <mergeCell ref="BV96:BV97"/>
    <mergeCell ref="BW96:BW97"/>
    <mergeCell ref="Z100:Z101"/>
    <mergeCell ref="AA100:AA101"/>
    <mergeCell ref="AE100:AE101"/>
    <mergeCell ref="AF100:AF101"/>
    <mergeCell ref="AG100:AG101"/>
    <mergeCell ref="AH100:AH101"/>
    <mergeCell ref="BW98:BW99"/>
    <mergeCell ref="BM96:BM97"/>
    <mergeCell ref="G100:G101"/>
    <mergeCell ref="H100:H101"/>
    <mergeCell ref="Y100:Y101"/>
    <mergeCell ref="BQ98:BQ99"/>
    <mergeCell ref="BR98:BR99"/>
    <mergeCell ref="BS98:BS99"/>
    <mergeCell ref="BU98:BU99"/>
    <mergeCell ref="BV98:BV99"/>
    <mergeCell ref="BH98:BH99"/>
    <mergeCell ref="BI98:BI99"/>
    <mergeCell ref="BJ96:BJ97"/>
    <mergeCell ref="BK96:BK97"/>
    <mergeCell ref="BL96:BL97"/>
    <mergeCell ref="BQ96:BQ97"/>
    <mergeCell ref="AM96:AM97"/>
    <mergeCell ref="AN96:AN97"/>
    <mergeCell ref="AO96:AO97"/>
    <mergeCell ref="BG96:BG97"/>
    <mergeCell ref="BH96:BH97"/>
    <mergeCell ref="BI96:BI97"/>
    <mergeCell ref="AG96:AG97"/>
    <mergeCell ref="AH96:AH97"/>
    <mergeCell ref="AI96:AI97"/>
    <mergeCell ref="AJ96:AJ97"/>
    <mergeCell ref="AK96:AK97"/>
    <mergeCell ref="AL96:AL97"/>
    <mergeCell ref="H96:H97"/>
    <mergeCell ref="Y96:Y97"/>
    <mergeCell ref="Z96:Z97"/>
    <mergeCell ref="AA96:AA97"/>
    <mergeCell ref="AE96:AE97"/>
    <mergeCell ref="AF96:AF97"/>
    <mergeCell ref="AF98:AF99"/>
    <mergeCell ref="AG98:AG99"/>
    <mergeCell ref="AH98:AH99"/>
    <mergeCell ref="AI98:AI99"/>
    <mergeCell ref="BU94:BU95"/>
    <mergeCell ref="BV94:BV95"/>
    <mergeCell ref="BW94:BW95"/>
    <mergeCell ref="A96:A97"/>
    <mergeCell ref="B96:B97"/>
    <mergeCell ref="C96:C97"/>
    <mergeCell ref="D96:D97"/>
    <mergeCell ref="E96:E97"/>
    <mergeCell ref="F96:F97"/>
    <mergeCell ref="G96:G97"/>
    <mergeCell ref="BL94:BL95"/>
    <mergeCell ref="BQ94:BQ95"/>
    <mergeCell ref="BR94:BR95"/>
    <mergeCell ref="BS94:BS95"/>
    <mergeCell ref="AO94:AO95"/>
    <mergeCell ref="BG94:BG95"/>
    <mergeCell ref="BH94:BH95"/>
    <mergeCell ref="BI94:BI95"/>
    <mergeCell ref="BJ94:BJ95"/>
    <mergeCell ref="BK94:BK95"/>
    <mergeCell ref="AI94:AI95"/>
    <mergeCell ref="AJ94:AJ95"/>
    <mergeCell ref="AK94:AK95"/>
    <mergeCell ref="AL94:AL95"/>
    <mergeCell ref="AM94:AM95"/>
    <mergeCell ref="AN94:AN95"/>
    <mergeCell ref="Z94:Z95"/>
    <mergeCell ref="AA94:AA95"/>
    <mergeCell ref="AE94:AE95"/>
    <mergeCell ref="AF94:AF95"/>
    <mergeCell ref="AG94:AG95"/>
    <mergeCell ref="AH94:AH95"/>
    <mergeCell ref="BW92:BW93"/>
    <mergeCell ref="A94:A95"/>
    <mergeCell ref="B94:B95"/>
    <mergeCell ref="C94:C95"/>
    <mergeCell ref="D94:D95"/>
    <mergeCell ref="E94:E95"/>
    <mergeCell ref="F94:F95"/>
    <mergeCell ref="G94:G95"/>
    <mergeCell ref="H94:H95"/>
    <mergeCell ref="Y94:Y95"/>
    <mergeCell ref="BQ92:BQ93"/>
    <mergeCell ref="BR92:BR93"/>
    <mergeCell ref="BS92:BS93"/>
    <mergeCell ref="BU92:BU93"/>
    <mergeCell ref="BV92:BV93"/>
    <mergeCell ref="BH92:BH93"/>
    <mergeCell ref="BI92:BI93"/>
    <mergeCell ref="BJ92:BJ93"/>
    <mergeCell ref="BK92:BK93"/>
    <mergeCell ref="BL92:BL93"/>
    <mergeCell ref="AK92:AK93"/>
    <mergeCell ref="AL92:AL93"/>
    <mergeCell ref="AM92:AM93"/>
    <mergeCell ref="AN92:AN93"/>
    <mergeCell ref="AO92:AO93"/>
    <mergeCell ref="BG92:BG93"/>
    <mergeCell ref="AE92:AE93"/>
    <mergeCell ref="AF92:AF93"/>
    <mergeCell ref="AG92:AG93"/>
    <mergeCell ref="AH92:AH93"/>
    <mergeCell ref="AI92:AI93"/>
    <mergeCell ref="AJ92:AJ93"/>
    <mergeCell ref="F92:F93"/>
    <mergeCell ref="G92:G93"/>
    <mergeCell ref="H92:H93"/>
    <mergeCell ref="Y92:Y93"/>
    <mergeCell ref="Z92:Z93"/>
    <mergeCell ref="AA92:AA93"/>
    <mergeCell ref="BR90:BR91"/>
    <mergeCell ref="BS90:BS91"/>
    <mergeCell ref="BU90:BU91"/>
    <mergeCell ref="BV90:BV91"/>
    <mergeCell ref="BW90:BW91"/>
    <mergeCell ref="A92:A93"/>
    <mergeCell ref="B92:B93"/>
    <mergeCell ref="C92:C93"/>
    <mergeCell ref="D92:D93"/>
    <mergeCell ref="E92:E93"/>
    <mergeCell ref="BJ90:BJ91"/>
    <mergeCell ref="BK90:BK91"/>
    <mergeCell ref="BL90:BL91"/>
    <mergeCell ref="BQ90:BQ91"/>
    <mergeCell ref="AM90:AM91"/>
    <mergeCell ref="AN90:AN91"/>
    <mergeCell ref="AO90:AO91"/>
    <mergeCell ref="BG90:BG91"/>
    <mergeCell ref="BH90:BH91"/>
    <mergeCell ref="BI90:BI91"/>
    <mergeCell ref="AG90:AG91"/>
    <mergeCell ref="AH90:AH91"/>
    <mergeCell ref="AI90:AI91"/>
    <mergeCell ref="AJ90:AJ91"/>
    <mergeCell ref="AK90:AK91"/>
    <mergeCell ref="AL90:AL91"/>
    <mergeCell ref="H90:H91"/>
    <mergeCell ref="Y90:Y91"/>
    <mergeCell ref="Z90:Z91"/>
    <mergeCell ref="AA90:AA91"/>
    <mergeCell ref="AE90:AE91"/>
    <mergeCell ref="AF90:AF91"/>
    <mergeCell ref="BU88:BU89"/>
    <mergeCell ref="BV88:BV89"/>
    <mergeCell ref="BW88:BW89"/>
    <mergeCell ref="A90:A91"/>
    <mergeCell ref="B90:B91"/>
    <mergeCell ref="C90:C91"/>
    <mergeCell ref="D90:D91"/>
    <mergeCell ref="E90:E91"/>
    <mergeCell ref="F90:F91"/>
    <mergeCell ref="G90:G91"/>
    <mergeCell ref="BL88:BL89"/>
    <mergeCell ref="BQ88:BQ89"/>
    <mergeCell ref="BR88:BR89"/>
    <mergeCell ref="BS88:BS89"/>
    <mergeCell ref="AO88:AO89"/>
    <mergeCell ref="BG88:BG89"/>
    <mergeCell ref="BH88:BH89"/>
    <mergeCell ref="BI88:BI89"/>
    <mergeCell ref="BJ88:BJ89"/>
    <mergeCell ref="BK88:BK89"/>
    <mergeCell ref="AI88:AI89"/>
    <mergeCell ref="AJ88:AJ89"/>
    <mergeCell ref="AK88:AK89"/>
    <mergeCell ref="AL88:AL89"/>
    <mergeCell ref="AM88:AM89"/>
    <mergeCell ref="AN88:AN89"/>
    <mergeCell ref="E88:E89"/>
    <mergeCell ref="F88:F89"/>
    <mergeCell ref="G88:G89"/>
    <mergeCell ref="H88:H89"/>
    <mergeCell ref="Y88:Y89"/>
    <mergeCell ref="BQ86:BQ87"/>
    <mergeCell ref="BR86:BR87"/>
    <mergeCell ref="BS86:BS87"/>
    <mergeCell ref="BU86:BU87"/>
    <mergeCell ref="BV86:BV87"/>
    <mergeCell ref="BH86:BH87"/>
    <mergeCell ref="BI86:BI87"/>
    <mergeCell ref="BJ86:BJ87"/>
    <mergeCell ref="BK86:BK87"/>
    <mergeCell ref="BL86:BL87"/>
    <mergeCell ref="AK86:AK87"/>
    <mergeCell ref="AL86:AL87"/>
    <mergeCell ref="AM86:AM87"/>
    <mergeCell ref="AN86:AN87"/>
    <mergeCell ref="AO86:AO87"/>
    <mergeCell ref="BG86:BG87"/>
    <mergeCell ref="AJ86:AJ87"/>
    <mergeCell ref="F86:F87"/>
    <mergeCell ref="G86:G87"/>
    <mergeCell ref="H86:H87"/>
    <mergeCell ref="Y86:Y87"/>
    <mergeCell ref="Z86:Z87"/>
    <mergeCell ref="AA86:AA87"/>
    <mergeCell ref="BW84:BW85"/>
    <mergeCell ref="Z88:Z89"/>
    <mergeCell ref="AA88:AA89"/>
    <mergeCell ref="AE88:AE89"/>
    <mergeCell ref="AF88:AF89"/>
    <mergeCell ref="AG88:AG89"/>
    <mergeCell ref="AH88:AH89"/>
    <mergeCell ref="BW86:BW87"/>
    <mergeCell ref="BN84:BN85"/>
    <mergeCell ref="BO84:BO85"/>
    <mergeCell ref="BP84:BP85"/>
    <mergeCell ref="A86:A87"/>
    <mergeCell ref="B86:B87"/>
    <mergeCell ref="C86:C87"/>
    <mergeCell ref="D86:D87"/>
    <mergeCell ref="E86:E87"/>
    <mergeCell ref="BJ84:BJ85"/>
    <mergeCell ref="BK84:BK85"/>
    <mergeCell ref="BL84:BL85"/>
    <mergeCell ref="BQ84:BQ85"/>
    <mergeCell ref="AM84:AM85"/>
    <mergeCell ref="AN84:AN85"/>
    <mergeCell ref="AO84:AO85"/>
    <mergeCell ref="BG84:BG85"/>
    <mergeCell ref="BH84:BH85"/>
    <mergeCell ref="BI84:BI85"/>
    <mergeCell ref="AG84:AG85"/>
    <mergeCell ref="AH84:AH85"/>
    <mergeCell ref="A88:A89"/>
    <mergeCell ref="B88:B89"/>
    <mergeCell ref="C88:C89"/>
    <mergeCell ref="D88:D89"/>
    <mergeCell ref="AK84:AK85"/>
    <mergeCell ref="AL84:AL85"/>
    <mergeCell ref="H84:H85"/>
    <mergeCell ref="Y84:Y85"/>
    <mergeCell ref="Z84:Z85"/>
    <mergeCell ref="AA84:AA85"/>
    <mergeCell ref="AE84:AE85"/>
    <mergeCell ref="AF84:AF85"/>
    <mergeCell ref="AE86:AE87"/>
    <mergeCell ref="AF86:AF87"/>
    <mergeCell ref="AG86:AG87"/>
    <mergeCell ref="AH86:AH87"/>
    <mergeCell ref="AI86:AI87"/>
    <mergeCell ref="BU82:BU83"/>
    <mergeCell ref="BV82:BV83"/>
    <mergeCell ref="BR84:BR85"/>
    <mergeCell ref="BS84:BS85"/>
    <mergeCell ref="BU84:BU85"/>
    <mergeCell ref="BV84:BV85"/>
    <mergeCell ref="BO86:BO87"/>
    <mergeCell ref="BP86:BP87"/>
    <mergeCell ref="BW82:BW83"/>
    <mergeCell ref="A84:A85"/>
    <mergeCell ref="B84:B85"/>
    <mergeCell ref="C84:C85"/>
    <mergeCell ref="D84:D85"/>
    <mergeCell ref="E84:E85"/>
    <mergeCell ref="F84:F85"/>
    <mergeCell ref="G84:G85"/>
    <mergeCell ref="BL82:BL83"/>
    <mergeCell ref="BQ82:BQ83"/>
    <mergeCell ref="BR82:BR83"/>
    <mergeCell ref="BS82:BS83"/>
    <mergeCell ref="AO82:AO83"/>
    <mergeCell ref="BG82:BG83"/>
    <mergeCell ref="BH82:BH83"/>
    <mergeCell ref="BI82:BI83"/>
    <mergeCell ref="BJ82:BJ83"/>
    <mergeCell ref="BK82:BK83"/>
    <mergeCell ref="AI82:AI83"/>
    <mergeCell ref="AJ82:AJ83"/>
    <mergeCell ref="AK82:AK83"/>
    <mergeCell ref="AL82:AL83"/>
    <mergeCell ref="AM82:AM83"/>
    <mergeCell ref="AN82:AN83"/>
    <mergeCell ref="Z82:Z83"/>
    <mergeCell ref="AA82:AA83"/>
    <mergeCell ref="AE82:AE83"/>
    <mergeCell ref="AF82:AF83"/>
    <mergeCell ref="AG82:AG83"/>
    <mergeCell ref="AH82:AH83"/>
    <mergeCell ref="AI84:AI85"/>
    <mergeCell ref="AJ84:AJ85"/>
    <mergeCell ref="BW80:BW81"/>
    <mergeCell ref="A82:A83"/>
    <mergeCell ref="B82:B83"/>
    <mergeCell ref="C82:C83"/>
    <mergeCell ref="D82:D83"/>
    <mergeCell ref="E82:E83"/>
    <mergeCell ref="F82:F83"/>
    <mergeCell ref="G82:G83"/>
    <mergeCell ref="H82:H83"/>
    <mergeCell ref="Y82:Y83"/>
    <mergeCell ref="BQ80:BQ81"/>
    <mergeCell ref="BR80:BR81"/>
    <mergeCell ref="BS80:BS81"/>
    <mergeCell ref="BU80:BU81"/>
    <mergeCell ref="BV80:BV81"/>
    <mergeCell ref="BH80:BH81"/>
    <mergeCell ref="BI80:BI81"/>
    <mergeCell ref="BJ80:BJ81"/>
    <mergeCell ref="BK80:BK81"/>
    <mergeCell ref="BL80:BL81"/>
    <mergeCell ref="AK80:AK81"/>
    <mergeCell ref="AL80:AL81"/>
    <mergeCell ref="AM80:AM81"/>
    <mergeCell ref="AN80:AN81"/>
    <mergeCell ref="AO80:AO81"/>
    <mergeCell ref="BG80:BG81"/>
    <mergeCell ref="AE80:AE81"/>
    <mergeCell ref="AF80:AF81"/>
    <mergeCell ref="AG80:AG81"/>
    <mergeCell ref="AH80:AH81"/>
    <mergeCell ref="AI80:AI81"/>
    <mergeCell ref="AJ80:AJ81"/>
    <mergeCell ref="F80:F81"/>
    <mergeCell ref="G80:G81"/>
    <mergeCell ref="H80:H81"/>
    <mergeCell ref="Y80:Y81"/>
    <mergeCell ref="Z80:Z81"/>
    <mergeCell ref="AA80:AA81"/>
    <mergeCell ref="BR78:BR79"/>
    <mergeCell ref="BS78:BS79"/>
    <mergeCell ref="BU78:BU79"/>
    <mergeCell ref="BV78:BV79"/>
    <mergeCell ref="BW78:BW79"/>
    <mergeCell ref="A80:A81"/>
    <mergeCell ref="B80:B81"/>
    <mergeCell ref="C80:C81"/>
    <mergeCell ref="D80:D81"/>
    <mergeCell ref="E80:E81"/>
    <mergeCell ref="BJ78:BJ79"/>
    <mergeCell ref="BK78:BK79"/>
    <mergeCell ref="BL78:BL79"/>
    <mergeCell ref="BQ78:BQ79"/>
    <mergeCell ref="AM78:AM79"/>
    <mergeCell ref="AN78:AN79"/>
    <mergeCell ref="AO78:AO79"/>
    <mergeCell ref="BG78:BG79"/>
    <mergeCell ref="BH78:BH79"/>
    <mergeCell ref="BI78:BI79"/>
    <mergeCell ref="AG78:AG79"/>
    <mergeCell ref="AH78:AH79"/>
    <mergeCell ref="AI78:AI79"/>
    <mergeCell ref="AJ78:AJ79"/>
    <mergeCell ref="AK78:AK79"/>
    <mergeCell ref="AL78:AL79"/>
    <mergeCell ref="H78:H79"/>
    <mergeCell ref="Y78:Y79"/>
    <mergeCell ref="Z78:Z79"/>
    <mergeCell ref="AA78:AA79"/>
    <mergeCell ref="AE78:AE79"/>
    <mergeCell ref="AF78:AF79"/>
    <mergeCell ref="BU76:BU77"/>
    <mergeCell ref="BV76:BV77"/>
    <mergeCell ref="BW76:BW77"/>
    <mergeCell ref="A78:A79"/>
    <mergeCell ref="B78:B79"/>
    <mergeCell ref="C78:C79"/>
    <mergeCell ref="D78:D79"/>
    <mergeCell ref="E78:E79"/>
    <mergeCell ref="F78:F79"/>
    <mergeCell ref="G78:G79"/>
    <mergeCell ref="BL76:BL77"/>
    <mergeCell ref="BQ76:BQ77"/>
    <mergeCell ref="BR76:BR77"/>
    <mergeCell ref="BS76:BS77"/>
    <mergeCell ref="AO76:AO77"/>
    <mergeCell ref="BG76:BG77"/>
    <mergeCell ref="BH76:BH77"/>
    <mergeCell ref="BI76:BI77"/>
    <mergeCell ref="BJ76:BJ77"/>
    <mergeCell ref="BK76:BK77"/>
    <mergeCell ref="AI76:AI77"/>
    <mergeCell ref="AJ76:AJ77"/>
    <mergeCell ref="A76:A77"/>
    <mergeCell ref="B76:B77"/>
    <mergeCell ref="C76:C77"/>
    <mergeCell ref="D76:D77"/>
    <mergeCell ref="BU74:BU75"/>
    <mergeCell ref="BV74:BV75"/>
    <mergeCell ref="BH74:BH75"/>
    <mergeCell ref="BI74:BI75"/>
    <mergeCell ref="BJ74:BJ75"/>
    <mergeCell ref="BK74:BK75"/>
    <mergeCell ref="BL74:BL75"/>
    <mergeCell ref="AK74:AK75"/>
    <mergeCell ref="AL74:AL75"/>
    <mergeCell ref="AM74:AM75"/>
    <mergeCell ref="AN74:AN75"/>
    <mergeCell ref="AO74:AO75"/>
    <mergeCell ref="BG74:BG75"/>
    <mergeCell ref="BM74:BM75"/>
    <mergeCell ref="BM76:BM77"/>
    <mergeCell ref="AJ74:AJ75"/>
    <mergeCell ref="AK76:AK77"/>
    <mergeCell ref="AL76:AL77"/>
    <mergeCell ref="AM76:AM77"/>
    <mergeCell ref="AN76:AN77"/>
    <mergeCell ref="BL72:BL73"/>
    <mergeCell ref="BQ72:BQ73"/>
    <mergeCell ref="AM72:AM73"/>
    <mergeCell ref="AN72:AN73"/>
    <mergeCell ref="AO72:AO73"/>
    <mergeCell ref="BG72:BG73"/>
    <mergeCell ref="BH72:BH73"/>
    <mergeCell ref="BI72:BI73"/>
    <mergeCell ref="AG72:AG73"/>
    <mergeCell ref="AH72:AH73"/>
    <mergeCell ref="AI72:AI73"/>
    <mergeCell ref="AI74:AI75"/>
    <mergeCell ref="H76:H77"/>
    <mergeCell ref="Y76:Y77"/>
    <mergeCell ref="BQ74:BQ75"/>
    <mergeCell ref="BR74:BR75"/>
    <mergeCell ref="BS74:BS75"/>
    <mergeCell ref="Z76:Z77"/>
    <mergeCell ref="AA76:AA77"/>
    <mergeCell ref="AE76:AE77"/>
    <mergeCell ref="AF76:AF77"/>
    <mergeCell ref="AG76:AG77"/>
    <mergeCell ref="AH76:AH77"/>
    <mergeCell ref="H74:H75"/>
    <mergeCell ref="Y74:Y75"/>
    <mergeCell ref="BR72:BR73"/>
    <mergeCell ref="BS72:BS73"/>
    <mergeCell ref="E76:E77"/>
    <mergeCell ref="F76:F77"/>
    <mergeCell ref="G76:G77"/>
    <mergeCell ref="H72:H73"/>
    <mergeCell ref="Y72:Y73"/>
    <mergeCell ref="Z72:Z73"/>
    <mergeCell ref="AA72:AA73"/>
    <mergeCell ref="AE72:AE73"/>
    <mergeCell ref="AF72:AF73"/>
    <mergeCell ref="AE74:AE75"/>
    <mergeCell ref="AF74:AF75"/>
    <mergeCell ref="AG74:AG75"/>
    <mergeCell ref="AH74:AH75"/>
    <mergeCell ref="A74:A75"/>
    <mergeCell ref="B74:B75"/>
    <mergeCell ref="C74:C75"/>
    <mergeCell ref="D74:D75"/>
    <mergeCell ref="E74:E75"/>
    <mergeCell ref="F74:F75"/>
    <mergeCell ref="G74:G75"/>
    <mergeCell ref="Z74:Z75"/>
    <mergeCell ref="AA74:AA75"/>
    <mergeCell ref="BV70:BV71"/>
    <mergeCell ref="BW70:BW71"/>
    <mergeCell ref="F68:F69"/>
    <mergeCell ref="G68:G69"/>
    <mergeCell ref="H68:H69"/>
    <mergeCell ref="Y68:Y69"/>
    <mergeCell ref="Z68:Z69"/>
    <mergeCell ref="BU72:BU73"/>
    <mergeCell ref="BV72:BV73"/>
    <mergeCell ref="BW72:BW73"/>
    <mergeCell ref="BM72:BM73"/>
    <mergeCell ref="A72:A73"/>
    <mergeCell ref="B72:B73"/>
    <mergeCell ref="C72:C73"/>
    <mergeCell ref="D72:D73"/>
    <mergeCell ref="E72:E73"/>
    <mergeCell ref="F72:F73"/>
    <mergeCell ref="G72:G73"/>
    <mergeCell ref="BL70:BL71"/>
    <mergeCell ref="BQ70:BQ71"/>
    <mergeCell ref="BR70:BR71"/>
    <mergeCell ref="BS70:BS71"/>
    <mergeCell ref="AO70:AO71"/>
    <mergeCell ref="BG70:BG71"/>
    <mergeCell ref="BH70:BH71"/>
    <mergeCell ref="BI70:BI71"/>
    <mergeCell ref="BJ70:BJ71"/>
    <mergeCell ref="BK70:BK71"/>
    <mergeCell ref="AI70:AI71"/>
    <mergeCell ref="AJ70:AJ71"/>
    <mergeCell ref="AK70:AK71"/>
    <mergeCell ref="AL70:AL71"/>
    <mergeCell ref="AJ72:AJ73"/>
    <mergeCell ref="AK72:AK73"/>
    <mergeCell ref="AL72:AL73"/>
    <mergeCell ref="H66:H67"/>
    <mergeCell ref="Y66:Y67"/>
    <mergeCell ref="Z66:Z67"/>
    <mergeCell ref="AA66:AA67"/>
    <mergeCell ref="AE66:AE67"/>
    <mergeCell ref="AF66:AF67"/>
    <mergeCell ref="AL68:AL69"/>
    <mergeCell ref="AM68:AM69"/>
    <mergeCell ref="AN68:AN69"/>
    <mergeCell ref="BW74:BW75"/>
    <mergeCell ref="BJ72:BJ73"/>
    <mergeCell ref="BK72:BK73"/>
    <mergeCell ref="BW68:BW69"/>
    <mergeCell ref="A70:A71"/>
    <mergeCell ref="B70:B71"/>
    <mergeCell ref="C70:C71"/>
    <mergeCell ref="D70:D71"/>
    <mergeCell ref="E70:E71"/>
    <mergeCell ref="F70:F71"/>
    <mergeCell ref="G70:G71"/>
    <mergeCell ref="H70:H71"/>
    <mergeCell ref="Y70:Y71"/>
    <mergeCell ref="BQ68:BQ69"/>
    <mergeCell ref="BR68:BR69"/>
    <mergeCell ref="BS68:BS69"/>
    <mergeCell ref="BU68:BU69"/>
    <mergeCell ref="BV68:BV69"/>
    <mergeCell ref="BH68:BH69"/>
    <mergeCell ref="BI68:BI69"/>
    <mergeCell ref="A64:A65"/>
    <mergeCell ref="B64:B65"/>
    <mergeCell ref="C64:C65"/>
    <mergeCell ref="D64:D65"/>
    <mergeCell ref="E64:E65"/>
    <mergeCell ref="F64:F65"/>
    <mergeCell ref="BR66:BR67"/>
    <mergeCell ref="BS66:BS67"/>
    <mergeCell ref="BU66:BU67"/>
    <mergeCell ref="AA68:AA69"/>
    <mergeCell ref="AM70:AM71"/>
    <mergeCell ref="AN70:AN71"/>
    <mergeCell ref="Z70:Z71"/>
    <mergeCell ref="AA70:AA71"/>
    <mergeCell ref="AE70:AE71"/>
    <mergeCell ref="AF70:AF71"/>
    <mergeCell ref="AG70:AG71"/>
    <mergeCell ref="AH70:AH71"/>
    <mergeCell ref="BJ68:BJ69"/>
    <mergeCell ref="BK68:BK69"/>
    <mergeCell ref="BL68:BL69"/>
    <mergeCell ref="AK68:AK69"/>
    <mergeCell ref="BU70:BU71"/>
    <mergeCell ref="BV66:BV67"/>
    <mergeCell ref="BW66:BW67"/>
    <mergeCell ref="A68:A69"/>
    <mergeCell ref="B68:B69"/>
    <mergeCell ref="C68:C69"/>
    <mergeCell ref="D68:D69"/>
    <mergeCell ref="E68:E69"/>
    <mergeCell ref="BJ66:BJ67"/>
    <mergeCell ref="BK66:BK67"/>
    <mergeCell ref="BL66:BL67"/>
    <mergeCell ref="BQ66:BQ67"/>
    <mergeCell ref="AM66:AM67"/>
    <mergeCell ref="AN66:AN67"/>
    <mergeCell ref="AO66:AO67"/>
    <mergeCell ref="BG66:BG67"/>
    <mergeCell ref="BH66:BH67"/>
    <mergeCell ref="BI66:BI67"/>
    <mergeCell ref="AG66:AG67"/>
    <mergeCell ref="AH66:AH67"/>
    <mergeCell ref="AI66:AI67"/>
    <mergeCell ref="AJ66:AJ67"/>
    <mergeCell ref="AK66:AK67"/>
    <mergeCell ref="AL66:AL67"/>
    <mergeCell ref="AO68:AO69"/>
    <mergeCell ref="BG68:BG69"/>
    <mergeCell ref="AE68:AE69"/>
    <mergeCell ref="AF68:AF69"/>
    <mergeCell ref="AG68:AG69"/>
    <mergeCell ref="AH68:AH69"/>
    <mergeCell ref="AI68:AI69"/>
    <mergeCell ref="AJ68:AJ69"/>
    <mergeCell ref="AL62:AL63"/>
    <mergeCell ref="AM62:AM63"/>
    <mergeCell ref="AN62:AN63"/>
    <mergeCell ref="AO62:AO63"/>
    <mergeCell ref="BG62:BG63"/>
    <mergeCell ref="AJ62:AJ63"/>
    <mergeCell ref="BU64:BU65"/>
    <mergeCell ref="BV64:BV65"/>
    <mergeCell ref="BW64:BW65"/>
    <mergeCell ref="A66:A67"/>
    <mergeCell ref="B66:B67"/>
    <mergeCell ref="C66:C67"/>
    <mergeCell ref="D66:D67"/>
    <mergeCell ref="E66:E67"/>
    <mergeCell ref="F66:F67"/>
    <mergeCell ref="G66:G67"/>
    <mergeCell ref="BL64:BL65"/>
    <mergeCell ref="BQ64:BQ65"/>
    <mergeCell ref="BR64:BR65"/>
    <mergeCell ref="BS64:BS65"/>
    <mergeCell ref="AO64:AO65"/>
    <mergeCell ref="BG64:BG65"/>
    <mergeCell ref="BH64:BH65"/>
    <mergeCell ref="BI64:BI65"/>
    <mergeCell ref="BJ64:BJ65"/>
    <mergeCell ref="BK64:BK65"/>
    <mergeCell ref="AI64:AI65"/>
    <mergeCell ref="AJ64:AJ65"/>
    <mergeCell ref="AK64:AK65"/>
    <mergeCell ref="AL64:AL65"/>
    <mergeCell ref="AM64:AM65"/>
    <mergeCell ref="AN64:AN65"/>
    <mergeCell ref="F62:F63"/>
    <mergeCell ref="G62:G63"/>
    <mergeCell ref="H62:H63"/>
    <mergeCell ref="Y62:Y63"/>
    <mergeCell ref="Z62:Z63"/>
    <mergeCell ref="AA62:AA63"/>
    <mergeCell ref="BR60:BR61"/>
    <mergeCell ref="BS60:BS61"/>
    <mergeCell ref="BU60:BU61"/>
    <mergeCell ref="BV60:BV61"/>
    <mergeCell ref="BW60:BW61"/>
    <mergeCell ref="Z64:Z65"/>
    <mergeCell ref="AA64:AA65"/>
    <mergeCell ref="AE64:AE65"/>
    <mergeCell ref="AF64:AF65"/>
    <mergeCell ref="AG64:AG65"/>
    <mergeCell ref="AH64:AH65"/>
    <mergeCell ref="BW62:BW63"/>
    <mergeCell ref="G64:G65"/>
    <mergeCell ref="H64:H65"/>
    <mergeCell ref="Y64:Y65"/>
    <mergeCell ref="BQ62:BQ63"/>
    <mergeCell ref="BR62:BR63"/>
    <mergeCell ref="BS62:BS63"/>
    <mergeCell ref="BU62:BU63"/>
    <mergeCell ref="BV62:BV63"/>
    <mergeCell ref="BH62:BH63"/>
    <mergeCell ref="BI62:BI63"/>
    <mergeCell ref="BJ62:BJ63"/>
    <mergeCell ref="BK62:BK63"/>
    <mergeCell ref="BL62:BL63"/>
    <mergeCell ref="AK62:AK63"/>
    <mergeCell ref="A62:A63"/>
    <mergeCell ref="B62:B63"/>
    <mergeCell ref="C62:C63"/>
    <mergeCell ref="D62:D63"/>
    <mergeCell ref="E62:E63"/>
    <mergeCell ref="BJ60:BJ61"/>
    <mergeCell ref="BK60:BK61"/>
    <mergeCell ref="BL60:BL61"/>
    <mergeCell ref="BQ60:BQ61"/>
    <mergeCell ref="AM60:AM61"/>
    <mergeCell ref="AN60:AN61"/>
    <mergeCell ref="AO60:AO61"/>
    <mergeCell ref="BG60:BG61"/>
    <mergeCell ref="BH60:BH61"/>
    <mergeCell ref="BI60:BI61"/>
    <mergeCell ref="AG60:AG61"/>
    <mergeCell ref="AH60:AH61"/>
    <mergeCell ref="AI60:AI61"/>
    <mergeCell ref="AJ60:AJ61"/>
    <mergeCell ref="AK60:AK61"/>
    <mergeCell ref="AL60:AL61"/>
    <mergeCell ref="H60:H61"/>
    <mergeCell ref="Y60:Y61"/>
    <mergeCell ref="Z60:Z61"/>
    <mergeCell ref="AA60:AA61"/>
    <mergeCell ref="AE60:AE61"/>
    <mergeCell ref="AF60:AF61"/>
    <mergeCell ref="AE62:AE63"/>
    <mergeCell ref="AF62:AF63"/>
    <mergeCell ref="AG62:AG63"/>
    <mergeCell ref="AH62:AH63"/>
    <mergeCell ref="AI62:AI63"/>
    <mergeCell ref="BU58:BU59"/>
    <mergeCell ref="BV58:BV59"/>
    <mergeCell ref="BW58:BW59"/>
    <mergeCell ref="A60:A61"/>
    <mergeCell ref="B60:B61"/>
    <mergeCell ref="C60:C61"/>
    <mergeCell ref="D60:D61"/>
    <mergeCell ref="E60:E61"/>
    <mergeCell ref="F60:F61"/>
    <mergeCell ref="G60:G61"/>
    <mergeCell ref="BL58:BL59"/>
    <mergeCell ref="BQ58:BQ59"/>
    <mergeCell ref="BR58:BR59"/>
    <mergeCell ref="BS58:BS59"/>
    <mergeCell ref="AO58:AO59"/>
    <mergeCell ref="BG58:BG59"/>
    <mergeCell ref="BH58:BH59"/>
    <mergeCell ref="BI58:BI59"/>
    <mergeCell ref="BJ58:BJ59"/>
    <mergeCell ref="BK58:BK59"/>
    <mergeCell ref="AM58:AM59"/>
    <mergeCell ref="AN58:AN59"/>
    <mergeCell ref="Z58:Z59"/>
    <mergeCell ref="AA58:AA59"/>
    <mergeCell ref="AE58:AE59"/>
    <mergeCell ref="AF58:AF59"/>
    <mergeCell ref="AG58:AG59"/>
    <mergeCell ref="AH58:AH59"/>
    <mergeCell ref="BN60:BN61"/>
    <mergeCell ref="BO60:BO61"/>
    <mergeCell ref="BP60:BP61"/>
    <mergeCell ref="BW56:BW57"/>
    <mergeCell ref="A58:A59"/>
    <mergeCell ref="B58:B59"/>
    <mergeCell ref="C58:C59"/>
    <mergeCell ref="D58:D59"/>
    <mergeCell ref="E58:E59"/>
    <mergeCell ref="F58:F59"/>
    <mergeCell ref="G58:G59"/>
    <mergeCell ref="H58:H59"/>
    <mergeCell ref="Y58:Y59"/>
    <mergeCell ref="BQ56:BQ57"/>
    <mergeCell ref="BR56:BR57"/>
    <mergeCell ref="BS56:BS57"/>
    <mergeCell ref="BU56:BU57"/>
    <mergeCell ref="BV56:BV57"/>
    <mergeCell ref="BH56:BH57"/>
    <mergeCell ref="BI56:BI57"/>
    <mergeCell ref="BJ56:BJ57"/>
    <mergeCell ref="BK56:BK57"/>
    <mergeCell ref="BL56:BL57"/>
    <mergeCell ref="BO58:BO59"/>
    <mergeCell ref="BP58:BP59"/>
    <mergeCell ref="F56:F57"/>
    <mergeCell ref="G56:G57"/>
    <mergeCell ref="H56:H57"/>
    <mergeCell ref="Y56:Y57"/>
    <mergeCell ref="Z56:Z57"/>
    <mergeCell ref="AA56:AA57"/>
    <mergeCell ref="AI58:AI59"/>
    <mergeCell ref="AJ58:AJ59"/>
    <mergeCell ref="AK58:AK59"/>
    <mergeCell ref="AL58:AL59"/>
    <mergeCell ref="H54:H55"/>
    <mergeCell ref="Y54:Y55"/>
    <mergeCell ref="Z54:Z55"/>
    <mergeCell ref="AA54:AA55"/>
    <mergeCell ref="AE54:AE55"/>
    <mergeCell ref="AF54:AF55"/>
    <mergeCell ref="AK56:AK57"/>
    <mergeCell ref="AL56:AL57"/>
    <mergeCell ref="AM56:AM57"/>
    <mergeCell ref="AN56:AN57"/>
    <mergeCell ref="AO56:AO57"/>
    <mergeCell ref="BG56:BG57"/>
    <mergeCell ref="AE56:AE57"/>
    <mergeCell ref="AF56:AF57"/>
    <mergeCell ref="AG56:AG57"/>
    <mergeCell ref="AH56:AH57"/>
    <mergeCell ref="AI56:AI57"/>
    <mergeCell ref="AJ56:AJ57"/>
    <mergeCell ref="A52:A53"/>
    <mergeCell ref="B52:B53"/>
    <mergeCell ref="C52:C53"/>
    <mergeCell ref="D52:D53"/>
    <mergeCell ref="E52:E53"/>
    <mergeCell ref="F52:F53"/>
    <mergeCell ref="BR54:BR55"/>
    <mergeCell ref="BS54:BS55"/>
    <mergeCell ref="BU54:BU55"/>
    <mergeCell ref="BV54:BV55"/>
    <mergeCell ref="BW54:BW55"/>
    <mergeCell ref="A56:A57"/>
    <mergeCell ref="B56:B57"/>
    <mergeCell ref="C56:C57"/>
    <mergeCell ref="D56:D57"/>
    <mergeCell ref="E56:E57"/>
    <mergeCell ref="BJ54:BJ55"/>
    <mergeCell ref="BK54:BK55"/>
    <mergeCell ref="BL54:BL55"/>
    <mergeCell ref="BQ54:BQ55"/>
    <mergeCell ref="AM54:AM55"/>
    <mergeCell ref="AN54:AN55"/>
    <mergeCell ref="AO54:AO55"/>
    <mergeCell ref="BG54:BG55"/>
    <mergeCell ref="BH54:BH55"/>
    <mergeCell ref="BI54:BI55"/>
    <mergeCell ref="AG54:AG55"/>
    <mergeCell ref="AH54:AH55"/>
    <mergeCell ref="AI54:AI55"/>
    <mergeCell ref="AJ54:AJ55"/>
    <mergeCell ref="AK54:AK55"/>
    <mergeCell ref="AL54:AL55"/>
    <mergeCell ref="AL50:AL51"/>
    <mergeCell ref="AM50:AM51"/>
    <mergeCell ref="AN50:AN51"/>
    <mergeCell ref="AO50:AO51"/>
    <mergeCell ref="BG50:BG51"/>
    <mergeCell ref="AJ50:AJ51"/>
    <mergeCell ref="BU52:BU53"/>
    <mergeCell ref="BV52:BV53"/>
    <mergeCell ref="BW52:BW53"/>
    <mergeCell ref="A54:A55"/>
    <mergeCell ref="B54:B55"/>
    <mergeCell ref="C54:C55"/>
    <mergeCell ref="D54:D55"/>
    <mergeCell ref="E54:E55"/>
    <mergeCell ref="F54:F55"/>
    <mergeCell ref="G54:G55"/>
    <mergeCell ref="BL52:BL53"/>
    <mergeCell ref="BQ52:BQ53"/>
    <mergeCell ref="BR52:BR53"/>
    <mergeCell ref="BS52:BS53"/>
    <mergeCell ref="AO52:AO53"/>
    <mergeCell ref="BG52:BG53"/>
    <mergeCell ref="BH52:BH53"/>
    <mergeCell ref="BI52:BI53"/>
    <mergeCell ref="BJ52:BJ53"/>
    <mergeCell ref="BK52:BK53"/>
    <mergeCell ref="AI52:AI53"/>
    <mergeCell ref="AJ52:AJ53"/>
    <mergeCell ref="AK52:AK53"/>
    <mergeCell ref="AL52:AL53"/>
    <mergeCell ref="AM52:AM53"/>
    <mergeCell ref="AN52:AN53"/>
    <mergeCell ref="F50:F51"/>
    <mergeCell ref="G50:G51"/>
    <mergeCell ref="H50:H51"/>
    <mergeCell ref="Y50:Y51"/>
    <mergeCell ref="Z50:Z51"/>
    <mergeCell ref="AA50:AA51"/>
    <mergeCell ref="BR48:BR49"/>
    <mergeCell ref="BS48:BS49"/>
    <mergeCell ref="BU48:BU49"/>
    <mergeCell ref="BV48:BV49"/>
    <mergeCell ref="BW48:BW49"/>
    <mergeCell ref="Z52:Z53"/>
    <mergeCell ref="AA52:AA53"/>
    <mergeCell ref="AE52:AE53"/>
    <mergeCell ref="AF52:AF53"/>
    <mergeCell ref="AG52:AG53"/>
    <mergeCell ref="AH52:AH53"/>
    <mergeCell ref="BW50:BW51"/>
    <mergeCell ref="G52:G53"/>
    <mergeCell ref="H52:H53"/>
    <mergeCell ref="Y52:Y53"/>
    <mergeCell ref="BQ50:BQ51"/>
    <mergeCell ref="BR50:BR51"/>
    <mergeCell ref="BS50:BS51"/>
    <mergeCell ref="BU50:BU51"/>
    <mergeCell ref="BV50:BV51"/>
    <mergeCell ref="BH50:BH51"/>
    <mergeCell ref="BI50:BI51"/>
    <mergeCell ref="BJ50:BJ51"/>
    <mergeCell ref="BK50:BK51"/>
    <mergeCell ref="BL50:BL51"/>
    <mergeCell ref="AK50:AK51"/>
    <mergeCell ref="A50:A51"/>
    <mergeCell ref="B50:B51"/>
    <mergeCell ref="C50:C51"/>
    <mergeCell ref="D50:D51"/>
    <mergeCell ref="E50:E51"/>
    <mergeCell ref="BJ48:BJ49"/>
    <mergeCell ref="BK48:BK49"/>
    <mergeCell ref="BL48:BL49"/>
    <mergeCell ref="BQ48:BQ49"/>
    <mergeCell ref="AM48:AM49"/>
    <mergeCell ref="AN48:AN49"/>
    <mergeCell ref="AO48:AO49"/>
    <mergeCell ref="BG48:BG49"/>
    <mergeCell ref="BH48:BH49"/>
    <mergeCell ref="BI48:BI49"/>
    <mergeCell ref="AG48:AG49"/>
    <mergeCell ref="AH48:AH49"/>
    <mergeCell ref="AI48:AI49"/>
    <mergeCell ref="AJ48:AJ49"/>
    <mergeCell ref="AK48:AK49"/>
    <mergeCell ref="AL48:AL49"/>
    <mergeCell ref="H48:H49"/>
    <mergeCell ref="Y48:Y49"/>
    <mergeCell ref="Z48:Z49"/>
    <mergeCell ref="AA48:AA49"/>
    <mergeCell ref="AE48:AE49"/>
    <mergeCell ref="AF48:AF49"/>
    <mergeCell ref="AE50:AE51"/>
    <mergeCell ref="AF50:AF51"/>
    <mergeCell ref="AG50:AG51"/>
    <mergeCell ref="AH50:AH51"/>
    <mergeCell ref="AI50:AI51"/>
    <mergeCell ref="BU46:BU47"/>
    <mergeCell ref="BV46:BV47"/>
    <mergeCell ref="BW46:BW47"/>
    <mergeCell ref="A48:A49"/>
    <mergeCell ref="B48:B49"/>
    <mergeCell ref="C48:C49"/>
    <mergeCell ref="D48:D49"/>
    <mergeCell ref="E48:E49"/>
    <mergeCell ref="F48:F49"/>
    <mergeCell ref="G48:G49"/>
    <mergeCell ref="BL46:BL47"/>
    <mergeCell ref="BQ46:BQ47"/>
    <mergeCell ref="BR46:BR47"/>
    <mergeCell ref="BS46:BS47"/>
    <mergeCell ref="AO46:AO47"/>
    <mergeCell ref="BG46:BG47"/>
    <mergeCell ref="BH46:BH47"/>
    <mergeCell ref="BI46:BI47"/>
    <mergeCell ref="BJ46:BJ47"/>
    <mergeCell ref="BK46:BK47"/>
    <mergeCell ref="AI46:AI47"/>
    <mergeCell ref="AJ46:AJ47"/>
    <mergeCell ref="AK46:AK47"/>
    <mergeCell ref="AL46:AL47"/>
    <mergeCell ref="AM46:AM47"/>
    <mergeCell ref="AN46:AN47"/>
    <mergeCell ref="Z46:Z47"/>
    <mergeCell ref="AA46:AA47"/>
    <mergeCell ref="AE46:AE47"/>
    <mergeCell ref="AF46:AF47"/>
    <mergeCell ref="AG46:AG47"/>
    <mergeCell ref="AH46:AH47"/>
    <mergeCell ref="BW44:BW45"/>
    <mergeCell ref="A46:A47"/>
    <mergeCell ref="B46:B47"/>
    <mergeCell ref="C46:C47"/>
    <mergeCell ref="D46:D47"/>
    <mergeCell ref="E46:E47"/>
    <mergeCell ref="F46:F47"/>
    <mergeCell ref="G46:G47"/>
    <mergeCell ref="H46:H47"/>
    <mergeCell ref="Y46:Y47"/>
    <mergeCell ref="BQ44:BQ45"/>
    <mergeCell ref="BR44:BR45"/>
    <mergeCell ref="BS44:BS45"/>
    <mergeCell ref="BU44:BU45"/>
    <mergeCell ref="BV44:BV45"/>
    <mergeCell ref="BH44:BH45"/>
    <mergeCell ref="BI44:BI45"/>
    <mergeCell ref="BJ44:BJ45"/>
    <mergeCell ref="BK44:BK45"/>
    <mergeCell ref="BL44:BL45"/>
    <mergeCell ref="AK44:AK45"/>
    <mergeCell ref="AL44:AL45"/>
    <mergeCell ref="AM44:AM45"/>
    <mergeCell ref="AN44:AN45"/>
    <mergeCell ref="AO44:AO45"/>
    <mergeCell ref="BG44:BG45"/>
    <mergeCell ref="AE44:AE45"/>
    <mergeCell ref="AF44:AF45"/>
    <mergeCell ref="AG44:AG45"/>
    <mergeCell ref="AH44:AH45"/>
    <mergeCell ref="AI44:AI45"/>
    <mergeCell ref="AJ44:AJ45"/>
    <mergeCell ref="F44:F45"/>
    <mergeCell ref="G44:G45"/>
    <mergeCell ref="H44:H45"/>
    <mergeCell ref="Y44:Y45"/>
    <mergeCell ref="Z44:Z45"/>
    <mergeCell ref="AA44:AA45"/>
    <mergeCell ref="BR42:BR43"/>
    <mergeCell ref="BS42:BS43"/>
    <mergeCell ref="BU42:BU43"/>
    <mergeCell ref="BV42:BV43"/>
    <mergeCell ref="BW42:BW43"/>
    <mergeCell ref="A44:A45"/>
    <mergeCell ref="B44:B45"/>
    <mergeCell ref="C44:C45"/>
    <mergeCell ref="D44:D45"/>
    <mergeCell ref="E44:E45"/>
    <mergeCell ref="BJ42:BJ43"/>
    <mergeCell ref="BK42:BK43"/>
    <mergeCell ref="BL42:BL43"/>
    <mergeCell ref="BQ42:BQ43"/>
    <mergeCell ref="AM42:AM43"/>
    <mergeCell ref="AN42:AN43"/>
    <mergeCell ref="AO42:AO43"/>
    <mergeCell ref="BG42:BG43"/>
    <mergeCell ref="BH42:BH43"/>
    <mergeCell ref="BI42:BI43"/>
    <mergeCell ref="AG42:AG43"/>
    <mergeCell ref="AH42:AH43"/>
    <mergeCell ref="AI42:AI43"/>
    <mergeCell ref="AJ42:AJ43"/>
    <mergeCell ref="AK42:AK43"/>
    <mergeCell ref="AL42:AL43"/>
    <mergeCell ref="H42:H43"/>
    <mergeCell ref="Y42:Y43"/>
    <mergeCell ref="Z42:Z43"/>
    <mergeCell ref="AA42:AA43"/>
    <mergeCell ref="AE42:AE43"/>
    <mergeCell ref="AF42:AF43"/>
    <mergeCell ref="BU40:BU41"/>
    <mergeCell ref="BV40:BV41"/>
    <mergeCell ref="BW40:BW41"/>
    <mergeCell ref="A42:A43"/>
    <mergeCell ref="B42:B43"/>
    <mergeCell ref="C42:C43"/>
    <mergeCell ref="D42:D43"/>
    <mergeCell ref="E42:E43"/>
    <mergeCell ref="F42:F43"/>
    <mergeCell ref="G42:G43"/>
    <mergeCell ref="BL40:BL41"/>
    <mergeCell ref="BQ40:BQ41"/>
    <mergeCell ref="BR40:BR41"/>
    <mergeCell ref="BS40:BS41"/>
    <mergeCell ref="AO40:AO41"/>
    <mergeCell ref="BG40:BG41"/>
    <mergeCell ref="BH40:BH41"/>
    <mergeCell ref="BI40:BI41"/>
    <mergeCell ref="BJ40:BJ41"/>
    <mergeCell ref="BK40:BK41"/>
    <mergeCell ref="AI40:AI41"/>
    <mergeCell ref="AJ40:AJ41"/>
    <mergeCell ref="AK40:AK41"/>
    <mergeCell ref="AL40:AL41"/>
    <mergeCell ref="AM40:AM41"/>
    <mergeCell ref="AN40:AN41"/>
    <mergeCell ref="A40:A41"/>
    <mergeCell ref="B40:B41"/>
    <mergeCell ref="C40:C41"/>
    <mergeCell ref="D40:D41"/>
    <mergeCell ref="E40:E41"/>
    <mergeCell ref="F40:F41"/>
    <mergeCell ref="G40:G41"/>
    <mergeCell ref="H40:H41"/>
    <mergeCell ref="Y40:Y41"/>
    <mergeCell ref="BQ38:BQ39"/>
    <mergeCell ref="BR38:BR39"/>
    <mergeCell ref="BS38:BS39"/>
    <mergeCell ref="BU38:BU39"/>
    <mergeCell ref="BV38:BV39"/>
    <mergeCell ref="BH38:BH39"/>
    <mergeCell ref="BI38:BI39"/>
    <mergeCell ref="BJ38:BJ39"/>
    <mergeCell ref="BK38:BK39"/>
    <mergeCell ref="BL38:BL39"/>
    <mergeCell ref="AK38:AK39"/>
    <mergeCell ref="AL38:AL39"/>
    <mergeCell ref="AM38:AM39"/>
    <mergeCell ref="AN38:AN39"/>
    <mergeCell ref="AO38:AO39"/>
    <mergeCell ref="BG38:BG39"/>
    <mergeCell ref="BP40:BP41"/>
    <mergeCell ref="AJ38:AJ39"/>
    <mergeCell ref="F38:F39"/>
    <mergeCell ref="G38:G39"/>
    <mergeCell ref="H38:H39"/>
    <mergeCell ref="Y38:Y39"/>
    <mergeCell ref="Z38:Z39"/>
    <mergeCell ref="AA38:AA39"/>
    <mergeCell ref="BR36:BR37"/>
    <mergeCell ref="BS36:BS37"/>
    <mergeCell ref="BU36:BU37"/>
    <mergeCell ref="BV36:BV37"/>
    <mergeCell ref="BW36:BW37"/>
    <mergeCell ref="Z40:Z41"/>
    <mergeCell ref="AA40:AA41"/>
    <mergeCell ref="AE40:AE41"/>
    <mergeCell ref="AF40:AF41"/>
    <mergeCell ref="AG40:AG41"/>
    <mergeCell ref="AH40:AH41"/>
    <mergeCell ref="BW38:BW39"/>
    <mergeCell ref="A38:A39"/>
    <mergeCell ref="B38:B39"/>
    <mergeCell ref="C38:C39"/>
    <mergeCell ref="D38:D39"/>
    <mergeCell ref="E38:E39"/>
    <mergeCell ref="BJ36:BJ37"/>
    <mergeCell ref="BK36:BK37"/>
    <mergeCell ref="BL36:BL37"/>
    <mergeCell ref="BQ36:BQ37"/>
    <mergeCell ref="AM36:AM37"/>
    <mergeCell ref="AN36:AN37"/>
    <mergeCell ref="AO36:AO37"/>
    <mergeCell ref="BG36:BG37"/>
    <mergeCell ref="BH36:BH37"/>
    <mergeCell ref="BI36:BI37"/>
    <mergeCell ref="AG36:AG37"/>
    <mergeCell ref="AH36:AH37"/>
    <mergeCell ref="AI36:AI37"/>
    <mergeCell ref="AJ36:AJ37"/>
    <mergeCell ref="AK36:AK37"/>
    <mergeCell ref="AL36:AL37"/>
    <mergeCell ref="H36:H37"/>
    <mergeCell ref="Y36:Y37"/>
    <mergeCell ref="Z36:Z37"/>
    <mergeCell ref="AA36:AA37"/>
    <mergeCell ref="AE36:AE37"/>
    <mergeCell ref="AF36:AF37"/>
    <mergeCell ref="AE38:AE39"/>
    <mergeCell ref="AF38:AF39"/>
    <mergeCell ref="AG38:AG39"/>
    <mergeCell ref="AH38:AH39"/>
    <mergeCell ref="AI38:AI39"/>
    <mergeCell ref="BU34:BU35"/>
    <mergeCell ref="BV34:BV35"/>
    <mergeCell ref="BW34:BW35"/>
    <mergeCell ref="A36:A37"/>
    <mergeCell ref="B36:B37"/>
    <mergeCell ref="C36:C37"/>
    <mergeCell ref="D36:D37"/>
    <mergeCell ref="E36:E37"/>
    <mergeCell ref="F36:F37"/>
    <mergeCell ref="G36:G37"/>
    <mergeCell ref="BL34:BL35"/>
    <mergeCell ref="BQ34:BQ35"/>
    <mergeCell ref="BR34:BR35"/>
    <mergeCell ref="BS34:BS35"/>
    <mergeCell ref="AO34:AO35"/>
    <mergeCell ref="BG34:BG35"/>
    <mergeCell ref="BH34:BH35"/>
    <mergeCell ref="BI34:BI35"/>
    <mergeCell ref="BJ34:BJ35"/>
    <mergeCell ref="BK34:BK35"/>
    <mergeCell ref="AI34:AI35"/>
    <mergeCell ref="AJ34:AJ35"/>
    <mergeCell ref="AK34:AK35"/>
    <mergeCell ref="AL34:AL35"/>
    <mergeCell ref="AM34:AM35"/>
    <mergeCell ref="AN34:AN35"/>
    <mergeCell ref="Z34:Z35"/>
    <mergeCell ref="AA34:AA35"/>
    <mergeCell ref="AE34:AE35"/>
    <mergeCell ref="AF34:AF35"/>
    <mergeCell ref="AG34:AG35"/>
    <mergeCell ref="AH34:AH35"/>
    <mergeCell ref="BW32:BW33"/>
    <mergeCell ref="A34:A35"/>
    <mergeCell ref="B34:B35"/>
    <mergeCell ref="C34:C35"/>
    <mergeCell ref="D34:D35"/>
    <mergeCell ref="E34:E35"/>
    <mergeCell ref="F34:F35"/>
    <mergeCell ref="G34:G35"/>
    <mergeCell ref="H34:H35"/>
    <mergeCell ref="Y34:Y35"/>
    <mergeCell ref="BQ32:BQ33"/>
    <mergeCell ref="BR32:BR33"/>
    <mergeCell ref="BS32:BS33"/>
    <mergeCell ref="BT32:BT33"/>
    <mergeCell ref="BU32:BU33"/>
    <mergeCell ref="BV32:BV33"/>
    <mergeCell ref="BI32:BI33"/>
    <mergeCell ref="BJ32:BJ33"/>
    <mergeCell ref="BK32:BK33"/>
    <mergeCell ref="BL32:BL33"/>
    <mergeCell ref="AL32:AL33"/>
    <mergeCell ref="AM32:AM33"/>
    <mergeCell ref="AN32:AN33"/>
    <mergeCell ref="AO32:AO33"/>
    <mergeCell ref="BG32:BG33"/>
    <mergeCell ref="BH32:BH33"/>
    <mergeCell ref="AF32:AF33"/>
    <mergeCell ref="AG32:AG33"/>
    <mergeCell ref="AH32:AH33"/>
    <mergeCell ref="AI32:AI33"/>
    <mergeCell ref="AJ32:AJ33"/>
    <mergeCell ref="AK32:AK33"/>
    <mergeCell ref="G32:G33"/>
    <mergeCell ref="H32:H33"/>
    <mergeCell ref="Y32:Y33"/>
    <mergeCell ref="Z32:Z33"/>
    <mergeCell ref="AA32:AA33"/>
    <mergeCell ref="AE32:AE33"/>
    <mergeCell ref="BT30:BT31"/>
    <mergeCell ref="BU30:BU31"/>
    <mergeCell ref="BV30:BV31"/>
    <mergeCell ref="BW30:BW31"/>
    <mergeCell ref="A32:A33"/>
    <mergeCell ref="B32:B33"/>
    <mergeCell ref="C32:C33"/>
    <mergeCell ref="D32:D33"/>
    <mergeCell ref="E32:E33"/>
    <mergeCell ref="F32:F33"/>
    <mergeCell ref="BL30:BL31"/>
    <mergeCell ref="BQ30:BQ31"/>
    <mergeCell ref="BR30:BR31"/>
    <mergeCell ref="BS30:BS31"/>
    <mergeCell ref="AO30:AO31"/>
    <mergeCell ref="BG30:BG31"/>
    <mergeCell ref="BH30:BH31"/>
    <mergeCell ref="BI30:BI31"/>
    <mergeCell ref="BJ30:BJ31"/>
    <mergeCell ref="BK30:BK31"/>
    <mergeCell ref="AI30:AI31"/>
    <mergeCell ref="AJ30:AJ31"/>
    <mergeCell ref="AK30:AK31"/>
    <mergeCell ref="AL30:AL31"/>
    <mergeCell ref="AM30:AM31"/>
    <mergeCell ref="AN30:AN31"/>
    <mergeCell ref="Z30:Z31"/>
    <mergeCell ref="AA30:AA31"/>
    <mergeCell ref="AE30:AE31"/>
    <mergeCell ref="AF30:AF31"/>
    <mergeCell ref="AG30:AG31"/>
    <mergeCell ref="AH30:AH31"/>
    <mergeCell ref="BW28:BW29"/>
    <mergeCell ref="A30:A31"/>
    <mergeCell ref="B30:B31"/>
    <mergeCell ref="C30:C31"/>
    <mergeCell ref="D30:D31"/>
    <mergeCell ref="E30:E31"/>
    <mergeCell ref="F30:F31"/>
    <mergeCell ref="G30:G31"/>
    <mergeCell ref="H30:H31"/>
    <mergeCell ref="Y30:Y31"/>
    <mergeCell ref="BQ28:BQ29"/>
    <mergeCell ref="BR28:BR29"/>
    <mergeCell ref="BS28:BS29"/>
    <mergeCell ref="BT28:BT29"/>
    <mergeCell ref="BU28:BU29"/>
    <mergeCell ref="BV28:BV29"/>
    <mergeCell ref="BI28:BI29"/>
    <mergeCell ref="BJ28:BJ29"/>
    <mergeCell ref="BK28:BK29"/>
    <mergeCell ref="BL28:BL29"/>
    <mergeCell ref="AL28:AL29"/>
    <mergeCell ref="AM28:AM29"/>
    <mergeCell ref="AN28:AN29"/>
    <mergeCell ref="AO28:AO29"/>
    <mergeCell ref="BG28:BG29"/>
    <mergeCell ref="BH28:BH29"/>
    <mergeCell ref="AF28:AF29"/>
    <mergeCell ref="AG28:AG29"/>
    <mergeCell ref="AH28:AH29"/>
    <mergeCell ref="AI28:AI29"/>
    <mergeCell ref="AJ28:AJ29"/>
    <mergeCell ref="AK28:AK29"/>
    <mergeCell ref="G28:G29"/>
    <mergeCell ref="H28:H29"/>
    <mergeCell ref="Y28:Y29"/>
    <mergeCell ref="Z28:Z29"/>
    <mergeCell ref="AA28:AA29"/>
    <mergeCell ref="AE28:AE29"/>
    <mergeCell ref="BT26:BT27"/>
    <mergeCell ref="BU26:BU27"/>
    <mergeCell ref="BV26:BV27"/>
    <mergeCell ref="BW26:BW27"/>
    <mergeCell ref="A28:A29"/>
    <mergeCell ref="B28:B29"/>
    <mergeCell ref="C28:C29"/>
    <mergeCell ref="D28:D29"/>
    <mergeCell ref="E28:E29"/>
    <mergeCell ref="F28:F29"/>
    <mergeCell ref="BL26:BL27"/>
    <mergeCell ref="BQ26:BQ27"/>
    <mergeCell ref="BR26:BR27"/>
    <mergeCell ref="BS26:BS27"/>
    <mergeCell ref="AO26:AO27"/>
    <mergeCell ref="BG26:BG27"/>
    <mergeCell ref="BH26:BH27"/>
    <mergeCell ref="BI26:BI27"/>
    <mergeCell ref="BJ26:BJ27"/>
    <mergeCell ref="BK26:BK27"/>
    <mergeCell ref="AI26:AI27"/>
    <mergeCell ref="AJ26:AJ27"/>
    <mergeCell ref="AK26:AK27"/>
    <mergeCell ref="AL26:AL27"/>
    <mergeCell ref="AM26:AM27"/>
    <mergeCell ref="AN26:AN27"/>
    <mergeCell ref="Z26:Z27"/>
    <mergeCell ref="AA26:AA27"/>
    <mergeCell ref="AE26:AE27"/>
    <mergeCell ref="AF26:AF27"/>
    <mergeCell ref="AG26:AG27"/>
    <mergeCell ref="AH26:AH27"/>
    <mergeCell ref="BW24:BW25"/>
    <mergeCell ref="A26:A27"/>
    <mergeCell ref="B26:B27"/>
    <mergeCell ref="C26:C27"/>
    <mergeCell ref="D26:D27"/>
    <mergeCell ref="E26:E27"/>
    <mergeCell ref="F26:F27"/>
    <mergeCell ref="G26:G27"/>
    <mergeCell ref="H26:H27"/>
    <mergeCell ref="Y26:Y27"/>
    <mergeCell ref="BQ24:BQ25"/>
    <mergeCell ref="BR24:BR25"/>
    <mergeCell ref="BS24:BS25"/>
    <mergeCell ref="BT24:BT25"/>
    <mergeCell ref="BU24:BU25"/>
    <mergeCell ref="BV24:BV25"/>
    <mergeCell ref="BI24:BI25"/>
    <mergeCell ref="BJ24:BJ25"/>
    <mergeCell ref="BK24:BK25"/>
    <mergeCell ref="BL24:BL25"/>
    <mergeCell ref="AL24:AL25"/>
    <mergeCell ref="AM24:AM25"/>
    <mergeCell ref="AN24:AN25"/>
    <mergeCell ref="AO24:AO25"/>
    <mergeCell ref="BG24:BG25"/>
    <mergeCell ref="BH24:BH25"/>
    <mergeCell ref="AF24:AF25"/>
    <mergeCell ref="AG24:AG25"/>
    <mergeCell ref="AH24:AH25"/>
    <mergeCell ref="AI24:AI25"/>
    <mergeCell ref="AJ24:AJ25"/>
    <mergeCell ref="AK24:AK25"/>
    <mergeCell ref="G24:G25"/>
    <mergeCell ref="H24:H25"/>
    <mergeCell ref="Y24:Y25"/>
    <mergeCell ref="Z24:Z25"/>
    <mergeCell ref="AA24:AA25"/>
    <mergeCell ref="AE24:AE25"/>
    <mergeCell ref="BT22:BT23"/>
    <mergeCell ref="BU22:BU23"/>
    <mergeCell ref="BV22:BV23"/>
    <mergeCell ref="BW22:BW23"/>
    <mergeCell ref="A24:A25"/>
    <mergeCell ref="B24:B25"/>
    <mergeCell ref="C24:C25"/>
    <mergeCell ref="D24:D25"/>
    <mergeCell ref="E24:E25"/>
    <mergeCell ref="F24:F25"/>
    <mergeCell ref="BL22:BL23"/>
    <mergeCell ref="BQ22:BQ23"/>
    <mergeCell ref="BR22:BR23"/>
    <mergeCell ref="BS22:BS23"/>
    <mergeCell ref="AO22:AO23"/>
    <mergeCell ref="BG22:BG23"/>
    <mergeCell ref="BH22:BH23"/>
    <mergeCell ref="BI22:BI23"/>
    <mergeCell ref="BJ22:BJ23"/>
    <mergeCell ref="BK22:BK23"/>
    <mergeCell ref="AI22:AI23"/>
    <mergeCell ref="AJ22:AJ23"/>
    <mergeCell ref="AK22:AK23"/>
    <mergeCell ref="AL22:AL23"/>
    <mergeCell ref="AM22:AM23"/>
    <mergeCell ref="AN22:AN23"/>
    <mergeCell ref="Z22:Z23"/>
    <mergeCell ref="AA22:AA23"/>
    <mergeCell ref="AE22:AE23"/>
    <mergeCell ref="AF22:AF23"/>
    <mergeCell ref="AG22:AG23"/>
    <mergeCell ref="AH22:AH23"/>
    <mergeCell ref="BW20:BW21"/>
    <mergeCell ref="A22:A23"/>
    <mergeCell ref="B22:B23"/>
    <mergeCell ref="C22:C23"/>
    <mergeCell ref="D22:D23"/>
    <mergeCell ref="E22:E23"/>
    <mergeCell ref="F22:F23"/>
    <mergeCell ref="G22:G23"/>
    <mergeCell ref="H22:H23"/>
    <mergeCell ref="Y22:Y23"/>
    <mergeCell ref="BQ20:BQ21"/>
    <mergeCell ref="BR20:BR21"/>
    <mergeCell ref="BS20:BS21"/>
    <mergeCell ref="BT20:BT21"/>
    <mergeCell ref="BU20:BU21"/>
    <mergeCell ref="BV20:BV21"/>
    <mergeCell ref="BI20:BI21"/>
    <mergeCell ref="BJ20:BJ21"/>
    <mergeCell ref="BK20:BK21"/>
    <mergeCell ref="BL20:BL21"/>
    <mergeCell ref="AL20:AL21"/>
    <mergeCell ref="AM20:AM21"/>
    <mergeCell ref="AN20:AN21"/>
    <mergeCell ref="AO20:AO21"/>
    <mergeCell ref="BG20:BG21"/>
    <mergeCell ref="BH20:BH21"/>
    <mergeCell ref="AF20:AF21"/>
    <mergeCell ref="AG20:AG21"/>
    <mergeCell ref="AH20:AH21"/>
    <mergeCell ref="AI20:AI21"/>
    <mergeCell ref="AJ20:AJ21"/>
    <mergeCell ref="AK20:AK21"/>
    <mergeCell ref="G20:G21"/>
    <mergeCell ref="H20:H21"/>
    <mergeCell ref="Y20:Y21"/>
    <mergeCell ref="Z20:Z21"/>
    <mergeCell ref="AA20:AA21"/>
    <mergeCell ref="AE20:AE21"/>
    <mergeCell ref="BT18:BT19"/>
    <mergeCell ref="BU18:BU19"/>
    <mergeCell ref="BV18:BV19"/>
    <mergeCell ref="BW18:BW19"/>
    <mergeCell ref="A20:A21"/>
    <mergeCell ref="B20:B21"/>
    <mergeCell ref="C20:C21"/>
    <mergeCell ref="D20:D21"/>
    <mergeCell ref="E20:E21"/>
    <mergeCell ref="F20:F21"/>
    <mergeCell ref="BL18:BL19"/>
    <mergeCell ref="BQ18:BQ19"/>
    <mergeCell ref="BR18:BR19"/>
    <mergeCell ref="BS18:BS19"/>
    <mergeCell ref="AO18:AO19"/>
    <mergeCell ref="BG18:BG19"/>
    <mergeCell ref="BH18:BH19"/>
    <mergeCell ref="BI18:BI19"/>
    <mergeCell ref="BJ18:BJ19"/>
    <mergeCell ref="BK18:BK19"/>
    <mergeCell ref="AI18:AI19"/>
    <mergeCell ref="AJ18:AJ19"/>
    <mergeCell ref="AK18:AK19"/>
    <mergeCell ref="AL18:AL19"/>
    <mergeCell ref="AM18:AM19"/>
    <mergeCell ref="AN18:AN19"/>
    <mergeCell ref="Z18:Z19"/>
    <mergeCell ref="AA18:AA19"/>
    <mergeCell ref="AE18:AE19"/>
    <mergeCell ref="AF18:AF19"/>
    <mergeCell ref="AG18:AG19"/>
    <mergeCell ref="AH18:AH19"/>
    <mergeCell ref="A18:A19"/>
    <mergeCell ref="B18:B19"/>
    <mergeCell ref="C18:C19"/>
    <mergeCell ref="D18:D19"/>
    <mergeCell ref="E18:E19"/>
    <mergeCell ref="F18:F19"/>
    <mergeCell ref="G18:G19"/>
    <mergeCell ref="H18:H19"/>
    <mergeCell ref="Y18:Y19"/>
    <mergeCell ref="BW16:BW17"/>
    <mergeCell ref="BQ16:BQ17"/>
    <mergeCell ref="BR16:BR17"/>
    <mergeCell ref="BS16:BS17"/>
    <mergeCell ref="BT16:BT17"/>
    <mergeCell ref="BU16:BU17"/>
    <mergeCell ref="BV16:BV17"/>
    <mergeCell ref="BI16:BI17"/>
    <mergeCell ref="BJ16:BJ17"/>
    <mergeCell ref="BK16:BK17"/>
    <mergeCell ref="BL16:BL17"/>
    <mergeCell ref="AL16:AL17"/>
    <mergeCell ref="AM16:AM17"/>
    <mergeCell ref="AN16:AN17"/>
    <mergeCell ref="AO16:AO17"/>
    <mergeCell ref="BG16:BG17"/>
    <mergeCell ref="BH16:BH17"/>
    <mergeCell ref="AF16:AF17"/>
    <mergeCell ref="AG16:AG17"/>
    <mergeCell ref="AH16:AH17"/>
    <mergeCell ref="AI16:AI17"/>
    <mergeCell ref="AJ16:AJ17"/>
    <mergeCell ref="AK16:AK17"/>
    <mergeCell ref="G16:G17"/>
    <mergeCell ref="H16:H17"/>
    <mergeCell ref="Y16:Y17"/>
    <mergeCell ref="Z16:Z17"/>
    <mergeCell ref="AA16:AA17"/>
    <mergeCell ref="AE16:AE17"/>
    <mergeCell ref="BT14:BT15"/>
    <mergeCell ref="BU14:BU15"/>
    <mergeCell ref="BV14:BV15"/>
    <mergeCell ref="BW14:BW15"/>
    <mergeCell ref="A16:A17"/>
    <mergeCell ref="B16:B17"/>
    <mergeCell ref="C16:C17"/>
    <mergeCell ref="D16:D17"/>
    <mergeCell ref="E16:E17"/>
    <mergeCell ref="F16:F17"/>
    <mergeCell ref="BL14:BL15"/>
    <mergeCell ref="BQ14:BQ15"/>
    <mergeCell ref="BR14:BR15"/>
    <mergeCell ref="BS14:BS15"/>
    <mergeCell ref="AO14:AO15"/>
    <mergeCell ref="BG14:BG15"/>
    <mergeCell ref="BH14:BH15"/>
    <mergeCell ref="BI14:BI15"/>
    <mergeCell ref="BJ14:BJ15"/>
    <mergeCell ref="BK14:BK15"/>
    <mergeCell ref="AI14:AI15"/>
    <mergeCell ref="AJ14:AJ15"/>
    <mergeCell ref="AK14:AK15"/>
    <mergeCell ref="AL14:AL15"/>
    <mergeCell ref="AM14:AM15"/>
    <mergeCell ref="AN14:AN15"/>
    <mergeCell ref="A14:A15"/>
    <mergeCell ref="B14:B15"/>
    <mergeCell ref="C14:C15"/>
    <mergeCell ref="D14:D15"/>
    <mergeCell ref="E14:E15"/>
    <mergeCell ref="F14:F15"/>
    <mergeCell ref="G14:G15"/>
    <mergeCell ref="H14:H15"/>
    <mergeCell ref="Y14:Y15"/>
    <mergeCell ref="BQ12:BQ13"/>
    <mergeCell ref="BR12:BR13"/>
    <mergeCell ref="BS12:BS13"/>
    <mergeCell ref="BT12:BT13"/>
    <mergeCell ref="BU12:BU13"/>
    <mergeCell ref="BV12:BV13"/>
    <mergeCell ref="BI12:BI13"/>
    <mergeCell ref="BJ12:BJ13"/>
    <mergeCell ref="BK12:BK13"/>
    <mergeCell ref="BL12:BL13"/>
    <mergeCell ref="AL12:AL13"/>
    <mergeCell ref="AM12:AM13"/>
    <mergeCell ref="AN12:AN13"/>
    <mergeCell ref="AO12:AO13"/>
    <mergeCell ref="BG12:BG13"/>
    <mergeCell ref="BH12:BH13"/>
    <mergeCell ref="AJ12:AJ13"/>
    <mergeCell ref="AK12:AK13"/>
    <mergeCell ref="G12:G13"/>
    <mergeCell ref="H12:H13"/>
    <mergeCell ref="Y12:Y13"/>
    <mergeCell ref="Z12:Z13"/>
    <mergeCell ref="AA12:AA13"/>
    <mergeCell ref="AE12:AE13"/>
    <mergeCell ref="AD13:AD14"/>
    <mergeCell ref="BT10:BT11"/>
    <mergeCell ref="BU10:BU11"/>
    <mergeCell ref="BV10:BV11"/>
    <mergeCell ref="BW10:BW11"/>
    <mergeCell ref="Z14:Z15"/>
    <mergeCell ref="AA14:AA15"/>
    <mergeCell ref="AE14:AE15"/>
    <mergeCell ref="AF14:AF15"/>
    <mergeCell ref="AG14:AG15"/>
    <mergeCell ref="AH14:AH15"/>
    <mergeCell ref="BW12:BW13"/>
    <mergeCell ref="A12:A13"/>
    <mergeCell ref="B12:B13"/>
    <mergeCell ref="C12:C13"/>
    <mergeCell ref="D12:D13"/>
    <mergeCell ref="E12:E13"/>
    <mergeCell ref="F12:F13"/>
    <mergeCell ref="BL10:BL11"/>
    <mergeCell ref="BQ10:BQ11"/>
    <mergeCell ref="BR10:BR11"/>
    <mergeCell ref="BS10:BS11"/>
    <mergeCell ref="AO10:AO11"/>
    <mergeCell ref="BG10:BG11"/>
    <mergeCell ref="BH10:BH11"/>
    <mergeCell ref="BI10:BI11"/>
    <mergeCell ref="BJ10:BJ11"/>
    <mergeCell ref="BK10:BK11"/>
    <mergeCell ref="AI10:AI11"/>
    <mergeCell ref="AJ10:AJ11"/>
    <mergeCell ref="AK10:AK11"/>
    <mergeCell ref="AL10:AL11"/>
    <mergeCell ref="AM10:AM11"/>
    <mergeCell ref="AN10:AN11"/>
    <mergeCell ref="Z10:Z11"/>
    <mergeCell ref="AA10:AA11"/>
    <mergeCell ref="AE10:AE11"/>
    <mergeCell ref="AF10:AF11"/>
    <mergeCell ref="AG10:AG11"/>
    <mergeCell ref="AH10:AH11"/>
    <mergeCell ref="AF12:AF13"/>
    <mergeCell ref="AG12:AG13"/>
    <mergeCell ref="AH12:AH13"/>
    <mergeCell ref="AI12:AI13"/>
    <mergeCell ref="BW8:BW9"/>
    <mergeCell ref="A10:A11"/>
    <mergeCell ref="B10:B11"/>
    <mergeCell ref="C10:C11"/>
    <mergeCell ref="D10:D11"/>
    <mergeCell ref="E10:E11"/>
    <mergeCell ref="F10:F11"/>
    <mergeCell ref="G10:G11"/>
    <mergeCell ref="H10:H11"/>
    <mergeCell ref="Y10:Y11"/>
    <mergeCell ref="BQ8:BQ9"/>
    <mergeCell ref="BR8:BR9"/>
    <mergeCell ref="BS8:BS9"/>
    <mergeCell ref="BT8:BT9"/>
    <mergeCell ref="BU8:BU9"/>
    <mergeCell ref="BV8:BV9"/>
    <mergeCell ref="BI8:BI9"/>
    <mergeCell ref="BJ8:BJ9"/>
    <mergeCell ref="BK8:BK9"/>
    <mergeCell ref="BL8:BL9"/>
    <mergeCell ref="AL8:AL9"/>
    <mergeCell ref="AM8:AM9"/>
    <mergeCell ref="AN8:AN9"/>
    <mergeCell ref="AO8:AO9"/>
    <mergeCell ref="BG8:BG9"/>
    <mergeCell ref="BH8:BH9"/>
    <mergeCell ref="AF8:AF9"/>
    <mergeCell ref="AG8:AG9"/>
    <mergeCell ref="AH8:AH9"/>
    <mergeCell ref="AI8:AI9"/>
    <mergeCell ref="AJ8:AJ9"/>
    <mergeCell ref="AK8:AK9"/>
    <mergeCell ref="G8:G9"/>
    <mergeCell ref="H8:H9"/>
    <mergeCell ref="Y8:Y9"/>
    <mergeCell ref="Z8:Z9"/>
    <mergeCell ref="AA8:AA9"/>
    <mergeCell ref="AE8:AE9"/>
    <mergeCell ref="A8:A9"/>
    <mergeCell ref="B8:B9"/>
    <mergeCell ref="C8:C9"/>
    <mergeCell ref="D8:D9"/>
    <mergeCell ref="E8:E9"/>
    <mergeCell ref="F8:F9"/>
    <mergeCell ref="BJ6:BJ7"/>
    <mergeCell ref="BQ6:BU6"/>
    <mergeCell ref="BV6:BV7"/>
    <mergeCell ref="BW6:BW7"/>
    <mergeCell ref="AM6:AM7"/>
    <mergeCell ref="AN6:AN7"/>
    <mergeCell ref="AO6:AO7"/>
    <mergeCell ref="BG6:BG7"/>
    <mergeCell ref="BH6:BH7"/>
    <mergeCell ref="BI6:BI7"/>
    <mergeCell ref="AG6:AG7"/>
    <mergeCell ref="AH6:AH7"/>
    <mergeCell ref="AI6:AI7"/>
    <mergeCell ref="AJ6:AJ7"/>
    <mergeCell ref="AK6:AK7"/>
    <mergeCell ref="AL6:AL7"/>
    <mergeCell ref="H6:H7"/>
    <mergeCell ref="Y6:Y7"/>
    <mergeCell ref="Z6:Z7"/>
    <mergeCell ref="AA6:AA7"/>
    <mergeCell ref="AE6:AE7"/>
    <mergeCell ref="AF6:AF7"/>
    <mergeCell ref="BK6:BM6"/>
    <mergeCell ref="BN6:BP6"/>
    <mergeCell ref="A6:A7"/>
    <mergeCell ref="B6:B7"/>
    <mergeCell ref="C6:C7"/>
    <mergeCell ref="D6:D7"/>
    <mergeCell ref="E6:E7"/>
    <mergeCell ref="F6:F7"/>
    <mergeCell ref="G6:G7"/>
    <mergeCell ref="A3:D3"/>
    <mergeCell ref="E3:G3"/>
    <mergeCell ref="I3:X3"/>
    <mergeCell ref="Y3:AF3"/>
    <mergeCell ref="A4:B5"/>
    <mergeCell ref="C4:C5"/>
    <mergeCell ref="D4:G5"/>
    <mergeCell ref="H4:H5"/>
    <mergeCell ref="Y4:Y5"/>
    <mergeCell ref="Z4:Z5"/>
    <mergeCell ref="S1:X2"/>
    <mergeCell ref="AD1:AD2"/>
    <mergeCell ref="AE1:AF1"/>
    <mergeCell ref="AL1:AM5"/>
    <mergeCell ref="BG1:BW2"/>
    <mergeCell ref="A2:D2"/>
    <mergeCell ref="E2:G2"/>
    <mergeCell ref="AB2:AC2"/>
    <mergeCell ref="AE2:AF2"/>
    <mergeCell ref="AI2:AJ3"/>
    <mergeCell ref="A1:D1"/>
    <mergeCell ref="E1:G1"/>
    <mergeCell ref="I1:L2"/>
    <mergeCell ref="M1:N2"/>
    <mergeCell ref="O1:P2"/>
    <mergeCell ref="Q1:R2"/>
    <mergeCell ref="AA4:AA5"/>
    <mergeCell ref="AE4:AE5"/>
    <mergeCell ref="AF4:AF5"/>
    <mergeCell ref="BV4:BV5"/>
    <mergeCell ref="BU4:BU5"/>
  </mergeCells>
  <phoneticPr fontId="15" type="noConversion"/>
  <conditionalFormatting sqref="I6:X7">
    <cfRule type="expression" dxfId="0" priority="1">
      <formula>WEEKDAY(I6)=1</formula>
    </cfRule>
  </conditionalFormatting>
  <pageMargins left="0.70866141732283472" right="0.70866141732283472" top="0.74803149606299213" bottom="0.74803149606299213" header="0.31496062992125984" footer="0.31496062992125984"/>
  <pageSetup paperSize="9" scale="42" orientation="landscape" r:id="rId1"/>
  <headerFooter>
    <oddHeader>&amp;R&amp;P / &amp;N</oddHeader>
    <oddFooter>&amp;L&amp;F&amp;C(주)예성건축&amp;R&amp;A</oddFooter>
  </headerFooter>
  <rowBreaks count="1" manualBreakCount="1">
    <brk id="81" max="16383" man="1"/>
  </rowBreaks>
  <colBreaks count="1" manualBreakCount="1">
    <brk id="57"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7169" r:id="rId4" name="Spinner 1">
              <controlPr defaultSize="0" autoPict="0">
                <anchor moveWithCells="1" sizeWithCells="1">
                  <from>
                    <xdr:col>11</xdr:col>
                    <xdr:colOff>177800</xdr:colOff>
                    <xdr:row>0</xdr:row>
                    <xdr:rowOff>25400</xdr:rowOff>
                  </from>
                  <to>
                    <xdr:col>12</xdr:col>
                    <xdr:colOff>114300</xdr:colOff>
                    <xdr:row>1</xdr:row>
                    <xdr:rowOff>177800</xdr:rowOff>
                  </to>
                </anchor>
              </controlPr>
            </control>
          </mc:Choice>
        </mc:AlternateContent>
        <mc:AlternateContent xmlns:mc="http://schemas.openxmlformats.org/markup-compatibility/2006">
          <mc:Choice Requires="x14">
            <control shapeId="7170" r:id="rId5" name="Spinner 2">
              <controlPr defaultSize="0" autoPict="0">
                <anchor moveWithCells="1" sizeWithCells="1">
                  <from>
                    <xdr:col>15</xdr:col>
                    <xdr:colOff>177800</xdr:colOff>
                    <xdr:row>0</xdr:row>
                    <xdr:rowOff>25400</xdr:rowOff>
                  </from>
                  <to>
                    <xdr:col>16</xdr:col>
                    <xdr:colOff>114300</xdr:colOff>
                    <xdr:row>1</xdr:row>
                    <xdr:rowOff>177800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Z1000"/>
  <sheetViews>
    <sheetView workbookViewId="0">
      <pane ySplit="4" topLeftCell="A5" activePane="bottomLeft" state="frozen"/>
      <selection pane="bottomLeft" activeCell="B6" sqref="B6"/>
    </sheetView>
  </sheetViews>
  <sheetFormatPr baseColWidth="10" defaultColWidth="14.5" defaultRowHeight="15" customHeight="1"/>
  <cols>
    <col min="1" max="1" width="11.83203125" customWidth="1"/>
    <col min="2" max="2" width="12.5" customWidth="1"/>
    <col min="3" max="3" width="23.5" customWidth="1"/>
    <col min="4" max="4" width="11.83203125" customWidth="1"/>
    <col min="12" max="12" width="13.5" customWidth="1"/>
    <col min="13" max="26" width="8.5" customWidth="1"/>
  </cols>
  <sheetData>
    <row r="1" spans="1:26" ht="43.5" customHeight="1">
      <c r="A1" s="2" t="s">
        <v>5</v>
      </c>
      <c r="B1" s="2"/>
      <c r="C1" s="2"/>
      <c r="D1" s="3"/>
      <c r="E1" s="3"/>
      <c r="F1" s="3"/>
      <c r="G1" s="3"/>
      <c r="H1" s="3"/>
      <c r="I1" s="3"/>
      <c r="J1" s="3"/>
      <c r="K1" s="4"/>
    </row>
    <row r="2" spans="1:26" ht="17.25" customHeight="1">
      <c r="A2" s="5" t="s">
        <v>6</v>
      </c>
      <c r="B2" s="5"/>
      <c r="C2" s="295" t="s">
        <v>7</v>
      </c>
      <c r="D2" s="296"/>
      <c r="E2" s="3"/>
      <c r="F2" s="3"/>
      <c r="G2" s="297" t="s">
        <v>8</v>
      </c>
      <c r="H2" s="298"/>
      <c r="I2" s="298"/>
      <c r="J2" s="298"/>
      <c r="K2" s="299"/>
      <c r="L2" s="6" t="s">
        <v>9</v>
      </c>
    </row>
    <row r="3" spans="1:26" ht="27" customHeight="1">
      <c r="A3" s="300" t="s">
        <v>0</v>
      </c>
      <c r="B3" s="7"/>
      <c r="C3" s="301" t="s">
        <v>10</v>
      </c>
      <c r="D3" s="302"/>
      <c r="E3" s="8" t="e">
        <f>#REF!</f>
        <v>#REF!</v>
      </c>
      <c r="F3" s="7" t="e">
        <f>#REF!</f>
        <v>#REF!</v>
      </c>
      <c r="G3" s="8" t="e">
        <f>#REF!</f>
        <v>#REF!</v>
      </c>
      <c r="H3" s="8" t="e">
        <f>#REF!</f>
        <v>#REF!</v>
      </c>
      <c r="I3" s="8" t="e">
        <f>#REF!</f>
        <v>#REF!</v>
      </c>
      <c r="J3" s="7" t="e">
        <f>#REF!</f>
        <v>#REF!</v>
      </c>
      <c r="K3" s="303" t="s">
        <v>11</v>
      </c>
      <c r="L3" s="292" t="s">
        <v>12</v>
      </c>
      <c r="M3" s="9"/>
      <c r="N3" s="9"/>
      <c r="O3" s="9"/>
      <c r="P3" s="9"/>
      <c r="Q3" s="9"/>
      <c r="R3" s="9"/>
      <c r="S3" s="9"/>
      <c r="T3" s="9"/>
      <c r="U3" s="9"/>
      <c r="V3" s="9"/>
      <c r="W3" s="9"/>
      <c r="X3" s="9"/>
      <c r="Y3" s="9"/>
      <c r="Z3" s="9"/>
    </row>
    <row r="4" spans="1:26" ht="24.75" customHeight="1">
      <c r="A4" s="280"/>
      <c r="B4" s="10" t="s">
        <v>13</v>
      </c>
      <c r="C4" s="10" t="s">
        <v>14</v>
      </c>
      <c r="D4" s="10" t="s">
        <v>15</v>
      </c>
      <c r="E4" s="10">
        <v>1</v>
      </c>
      <c r="F4" s="10">
        <v>2</v>
      </c>
      <c r="G4" s="10">
        <v>3</v>
      </c>
      <c r="H4" s="10">
        <v>4</v>
      </c>
      <c r="I4" s="10">
        <v>5</v>
      </c>
      <c r="J4" s="10">
        <v>6</v>
      </c>
      <c r="K4" s="282"/>
      <c r="L4" s="284"/>
      <c r="M4" s="9"/>
      <c r="N4" s="9"/>
      <c r="O4" s="9"/>
      <c r="P4" s="9"/>
      <c r="Q4" s="9"/>
      <c r="R4" s="9"/>
      <c r="S4" s="9"/>
      <c r="T4" s="9"/>
      <c r="U4" s="9"/>
      <c r="V4" s="9"/>
      <c r="W4" s="9"/>
      <c r="X4" s="9"/>
      <c r="Y4" s="9"/>
      <c r="Z4" s="9"/>
    </row>
    <row r="5" spans="1:26" ht="24.75" customHeight="1">
      <c r="A5" s="11" t="e">
        <f>#REF!</f>
        <v>#REF!</v>
      </c>
      <c r="B5" s="11" t="s">
        <v>16</v>
      </c>
      <c r="C5" s="12" t="s">
        <v>17</v>
      </c>
      <c r="D5" s="13" t="e">
        <f t="shared" ref="D5:D52" si="0">A5</f>
        <v>#REF!</v>
      </c>
      <c r="E5" s="14" t="e">
        <f>#REF!</f>
        <v>#REF!</v>
      </c>
      <c r="F5" s="14" t="e">
        <f>#REF!</f>
        <v>#REF!</v>
      </c>
      <c r="G5" s="15" t="e">
        <f>#REF!</f>
        <v>#REF!</v>
      </c>
      <c r="H5" s="14" t="e">
        <f>#REF!</f>
        <v>#REF!</v>
      </c>
      <c r="I5" s="14" t="e">
        <f>#REF!</f>
        <v>#REF!</v>
      </c>
      <c r="J5" s="14" t="e">
        <f>#REF!</f>
        <v>#REF!</v>
      </c>
      <c r="K5" s="14" t="e">
        <f t="shared" ref="K5:K52" si="1">E5+F5+G5+H5+I5+J5</f>
        <v>#REF!</v>
      </c>
      <c r="L5" s="293" t="e">
        <f>K5+K6</f>
        <v>#REF!</v>
      </c>
      <c r="M5" s="16"/>
      <c r="N5" s="16"/>
      <c r="O5" s="16"/>
      <c r="P5" s="16"/>
      <c r="Q5" s="16"/>
      <c r="R5" s="16"/>
      <c r="S5" s="16"/>
      <c r="T5" s="16"/>
      <c r="U5" s="16"/>
      <c r="V5" s="16"/>
      <c r="W5" s="16"/>
      <c r="X5" s="16"/>
      <c r="Y5" s="16"/>
      <c r="Z5" s="16"/>
    </row>
    <row r="6" spans="1:26" ht="25.5" customHeight="1">
      <c r="A6" s="11" t="e">
        <f>#REF!</f>
        <v>#REF!</v>
      </c>
      <c r="B6" s="11" t="s">
        <v>16</v>
      </c>
      <c r="C6" s="12" t="s">
        <v>18</v>
      </c>
      <c r="D6" s="11" t="e">
        <f t="shared" si="0"/>
        <v>#REF!</v>
      </c>
      <c r="E6" s="14" t="e">
        <f>#REF!</f>
        <v>#REF!</v>
      </c>
      <c r="F6" s="14" t="e">
        <f>#REF!</f>
        <v>#REF!</v>
      </c>
      <c r="G6" s="14" t="e">
        <f>#REF!</f>
        <v>#REF!</v>
      </c>
      <c r="H6" s="14" t="e">
        <f>#REF!</f>
        <v>#REF!</v>
      </c>
      <c r="I6" s="14" t="e">
        <f>#REF!</f>
        <v>#REF!</v>
      </c>
      <c r="J6" s="14" t="e">
        <f>#REF!</f>
        <v>#REF!</v>
      </c>
      <c r="K6" s="14" t="e">
        <f t="shared" si="1"/>
        <v>#REF!</v>
      </c>
      <c r="L6" s="291"/>
      <c r="M6" s="16"/>
      <c r="N6" s="16"/>
      <c r="O6" s="16"/>
      <c r="P6" s="16"/>
      <c r="Q6" s="16"/>
      <c r="R6" s="16"/>
      <c r="S6" s="16"/>
      <c r="T6" s="16"/>
      <c r="U6" s="16"/>
      <c r="V6" s="16"/>
      <c r="W6" s="16"/>
      <c r="X6" s="16"/>
      <c r="Y6" s="16"/>
      <c r="Z6" s="16"/>
    </row>
    <row r="7" spans="1:26" ht="25.5" customHeight="1">
      <c r="A7" s="11" t="e">
        <f>#REF!</f>
        <v>#REF!</v>
      </c>
      <c r="B7" s="11"/>
      <c r="C7" s="12" t="s">
        <v>19</v>
      </c>
      <c r="D7" s="11" t="e">
        <f t="shared" si="0"/>
        <v>#REF!</v>
      </c>
      <c r="E7" s="14" t="e">
        <f>#REF!</f>
        <v>#REF!</v>
      </c>
      <c r="F7" s="14" t="e">
        <f>#REF!</f>
        <v>#REF!</v>
      </c>
      <c r="G7" s="14" t="e">
        <f>#REF!</f>
        <v>#REF!</v>
      </c>
      <c r="H7" s="14" t="e">
        <f>#REF!</f>
        <v>#REF!</v>
      </c>
      <c r="I7" s="14" t="e">
        <f>#REF!</f>
        <v>#REF!</v>
      </c>
      <c r="J7" s="14" t="e">
        <f>#REF!</f>
        <v>#REF!</v>
      </c>
      <c r="K7" s="14" t="e">
        <f t="shared" si="1"/>
        <v>#REF!</v>
      </c>
      <c r="L7" s="287" t="e">
        <f>K7+K8+K9+K10</f>
        <v>#REF!</v>
      </c>
      <c r="M7" s="16"/>
      <c r="N7" s="16"/>
      <c r="O7" s="16"/>
      <c r="P7" s="16"/>
      <c r="Q7" s="16"/>
      <c r="R7" s="16"/>
      <c r="S7" s="16"/>
      <c r="T7" s="16"/>
      <c r="U7" s="16"/>
      <c r="V7" s="16"/>
      <c r="W7" s="16"/>
      <c r="X7" s="16"/>
      <c r="Y7" s="16"/>
      <c r="Z7" s="16"/>
    </row>
    <row r="8" spans="1:26" ht="25.5" customHeight="1">
      <c r="A8" s="11" t="e">
        <f>#REF!</f>
        <v>#REF!</v>
      </c>
      <c r="B8" s="11" t="s">
        <v>16</v>
      </c>
      <c r="C8" s="12" t="s">
        <v>20</v>
      </c>
      <c r="D8" s="11" t="e">
        <f t="shared" si="0"/>
        <v>#REF!</v>
      </c>
      <c r="E8" s="14" t="e">
        <f>#REF!</f>
        <v>#REF!</v>
      </c>
      <c r="F8" s="14" t="e">
        <f>#REF!</f>
        <v>#REF!</v>
      </c>
      <c r="G8" s="14" t="e">
        <f>#REF!</f>
        <v>#REF!</v>
      </c>
      <c r="H8" s="14" t="e">
        <f>#REF!</f>
        <v>#REF!</v>
      </c>
      <c r="I8" s="14" t="e">
        <f>#REF!</f>
        <v>#REF!</v>
      </c>
      <c r="J8" s="14" t="e">
        <f>#REF!</f>
        <v>#REF!</v>
      </c>
      <c r="K8" s="14" t="e">
        <f t="shared" si="1"/>
        <v>#REF!</v>
      </c>
      <c r="L8" s="288"/>
      <c r="M8" s="16"/>
      <c r="N8" s="16"/>
      <c r="O8" s="16"/>
      <c r="P8" s="16"/>
      <c r="Q8" s="16"/>
      <c r="R8" s="16"/>
      <c r="S8" s="16"/>
      <c r="T8" s="16"/>
      <c r="U8" s="16"/>
      <c r="V8" s="16"/>
      <c r="W8" s="16"/>
      <c r="X8" s="16"/>
      <c r="Y8" s="16"/>
      <c r="Z8" s="16"/>
    </row>
    <row r="9" spans="1:26" ht="26.25" customHeight="1">
      <c r="A9" s="11" t="e">
        <f>#REF!</f>
        <v>#REF!</v>
      </c>
      <c r="B9" s="11" t="s">
        <v>16</v>
      </c>
      <c r="C9" s="12" t="s">
        <v>20</v>
      </c>
      <c r="D9" s="11" t="e">
        <f t="shared" si="0"/>
        <v>#REF!</v>
      </c>
      <c r="E9" s="14" t="e">
        <f>#REF!</f>
        <v>#REF!</v>
      </c>
      <c r="F9" s="14" t="e">
        <f>#REF!</f>
        <v>#REF!</v>
      </c>
      <c r="G9" s="14" t="e">
        <f>#REF!</f>
        <v>#REF!</v>
      </c>
      <c r="H9" s="14" t="e">
        <f>#REF!</f>
        <v>#REF!</v>
      </c>
      <c r="I9" s="14" t="e">
        <f>#REF!</f>
        <v>#REF!</v>
      </c>
      <c r="J9" s="14" t="e">
        <f>#REF!</f>
        <v>#REF!</v>
      </c>
      <c r="K9" s="14" t="e">
        <f t="shared" si="1"/>
        <v>#REF!</v>
      </c>
      <c r="L9" s="288"/>
      <c r="M9" s="16"/>
      <c r="N9" s="16"/>
      <c r="O9" s="16"/>
      <c r="P9" s="16"/>
      <c r="Q9" s="16"/>
      <c r="R9" s="16"/>
      <c r="S9" s="16"/>
      <c r="T9" s="16"/>
      <c r="U9" s="16"/>
      <c r="V9" s="16"/>
      <c r="W9" s="16"/>
      <c r="X9" s="16"/>
      <c r="Y9" s="16"/>
      <c r="Z9" s="16"/>
    </row>
    <row r="10" spans="1:26" ht="26.25" customHeight="1">
      <c r="A10" s="11" t="e">
        <f>#REF!</f>
        <v>#REF!</v>
      </c>
      <c r="B10" s="11" t="s">
        <v>21</v>
      </c>
      <c r="C10" s="12" t="s">
        <v>22</v>
      </c>
      <c r="D10" s="11" t="e">
        <f t="shared" si="0"/>
        <v>#REF!</v>
      </c>
      <c r="E10" s="14" t="e">
        <f>#REF!</f>
        <v>#REF!</v>
      </c>
      <c r="F10" s="14" t="e">
        <f>#REF!</f>
        <v>#REF!</v>
      </c>
      <c r="G10" s="14" t="e">
        <f>#REF!</f>
        <v>#REF!</v>
      </c>
      <c r="H10" s="14" t="e">
        <f>#REF!</f>
        <v>#REF!</v>
      </c>
      <c r="I10" s="14" t="e">
        <f>#REF!</f>
        <v>#REF!</v>
      </c>
      <c r="J10" s="14" t="e">
        <f>#REF!</f>
        <v>#REF!</v>
      </c>
      <c r="K10" s="14" t="e">
        <f t="shared" si="1"/>
        <v>#REF!</v>
      </c>
      <c r="L10" s="289"/>
      <c r="M10" s="16"/>
      <c r="N10" s="16"/>
      <c r="O10" s="16"/>
      <c r="P10" s="16"/>
      <c r="Q10" s="16"/>
      <c r="R10" s="16"/>
      <c r="S10" s="16"/>
      <c r="T10" s="16"/>
      <c r="U10" s="16"/>
      <c r="V10" s="16"/>
      <c r="W10" s="16"/>
      <c r="X10" s="16"/>
      <c r="Y10" s="16"/>
      <c r="Z10" s="16"/>
    </row>
    <row r="11" spans="1:26" ht="27" customHeight="1">
      <c r="A11" s="11" t="e">
        <f>#REF!</f>
        <v>#REF!</v>
      </c>
      <c r="B11" s="11" t="s">
        <v>21</v>
      </c>
      <c r="C11" s="12" t="s">
        <v>22</v>
      </c>
      <c r="D11" s="11" t="e">
        <f t="shared" si="0"/>
        <v>#REF!</v>
      </c>
      <c r="E11" s="14" t="e">
        <f>#REF!</f>
        <v>#REF!</v>
      </c>
      <c r="F11" s="14" t="e">
        <f>#REF!</f>
        <v>#REF!</v>
      </c>
      <c r="G11" s="14" t="e">
        <f>#REF!</f>
        <v>#REF!</v>
      </c>
      <c r="H11" s="14" t="e">
        <f>#REF!</f>
        <v>#REF!</v>
      </c>
      <c r="I11" s="14" t="e">
        <f>#REF!</f>
        <v>#REF!</v>
      </c>
      <c r="J11" s="14" t="e">
        <f>#REF!</f>
        <v>#REF!</v>
      </c>
      <c r="K11" s="14" t="e">
        <f t="shared" si="1"/>
        <v>#REF!</v>
      </c>
      <c r="L11" s="287" t="e">
        <f>K11+K12</f>
        <v>#REF!</v>
      </c>
      <c r="M11" s="16"/>
      <c r="N11" s="16"/>
      <c r="O11" s="16"/>
      <c r="P11" s="16"/>
      <c r="Q11" s="16"/>
      <c r="R11" s="16"/>
      <c r="S11" s="16"/>
      <c r="T11" s="16"/>
      <c r="U11" s="16"/>
      <c r="V11" s="16"/>
      <c r="W11" s="16"/>
      <c r="X11" s="16"/>
      <c r="Y11" s="16"/>
      <c r="Z11" s="16"/>
    </row>
    <row r="12" spans="1:26" ht="25.5" customHeight="1">
      <c r="A12" s="11" t="e">
        <f>#REF!</f>
        <v>#REF!</v>
      </c>
      <c r="B12" s="11" t="s">
        <v>21</v>
      </c>
      <c r="C12" s="12" t="s">
        <v>23</v>
      </c>
      <c r="D12" s="11" t="e">
        <f t="shared" si="0"/>
        <v>#REF!</v>
      </c>
      <c r="E12" s="14" t="e">
        <f>#REF!</f>
        <v>#REF!</v>
      </c>
      <c r="F12" s="14" t="e">
        <f>#REF!</f>
        <v>#REF!</v>
      </c>
      <c r="G12" s="14" t="e">
        <f>#REF!</f>
        <v>#REF!</v>
      </c>
      <c r="H12" s="14" t="e">
        <f>#REF!</f>
        <v>#REF!</v>
      </c>
      <c r="I12" s="14" t="e">
        <f>#REF!</f>
        <v>#REF!</v>
      </c>
      <c r="J12" s="14" t="e">
        <f>#REF!</f>
        <v>#REF!</v>
      </c>
      <c r="K12" s="14" t="e">
        <f t="shared" si="1"/>
        <v>#REF!</v>
      </c>
      <c r="L12" s="289"/>
      <c r="M12" s="16"/>
      <c r="N12" s="16"/>
      <c r="O12" s="16"/>
      <c r="P12" s="16"/>
      <c r="Q12" s="16"/>
      <c r="R12" s="16"/>
      <c r="S12" s="16"/>
      <c r="T12" s="16"/>
      <c r="U12" s="16"/>
      <c r="V12" s="16"/>
      <c r="W12" s="16"/>
      <c r="X12" s="16"/>
      <c r="Y12" s="16"/>
      <c r="Z12" s="16"/>
    </row>
    <row r="13" spans="1:26" ht="25.5" customHeight="1">
      <c r="A13" s="11" t="e">
        <f>#REF!</f>
        <v>#REF!</v>
      </c>
      <c r="B13" s="11" t="s">
        <v>21</v>
      </c>
      <c r="C13" s="12" t="s">
        <v>24</v>
      </c>
      <c r="D13" s="11" t="e">
        <f t="shared" si="0"/>
        <v>#REF!</v>
      </c>
      <c r="E13" s="14" t="e">
        <f>#REF!</f>
        <v>#REF!</v>
      </c>
      <c r="F13" s="14" t="e">
        <f>#REF!</f>
        <v>#REF!</v>
      </c>
      <c r="G13" s="14" t="e">
        <f>#REF!</f>
        <v>#REF!</v>
      </c>
      <c r="H13" s="14" t="e">
        <f>#REF!</f>
        <v>#REF!</v>
      </c>
      <c r="I13" s="14" t="e">
        <f>#REF!</f>
        <v>#REF!</v>
      </c>
      <c r="J13" s="14" t="e">
        <f>#REF!</f>
        <v>#REF!</v>
      </c>
      <c r="K13" s="14" t="e">
        <f t="shared" si="1"/>
        <v>#REF!</v>
      </c>
      <c r="L13" s="287" t="e">
        <f>K13+K14</f>
        <v>#REF!</v>
      </c>
      <c r="M13" s="16"/>
      <c r="N13" s="16"/>
      <c r="O13" s="16"/>
      <c r="P13" s="16"/>
      <c r="Q13" s="16"/>
      <c r="R13" s="16"/>
      <c r="S13" s="16"/>
      <c r="T13" s="16"/>
      <c r="U13" s="16"/>
      <c r="V13" s="16"/>
      <c r="W13" s="16"/>
      <c r="X13" s="16"/>
      <c r="Y13" s="16"/>
      <c r="Z13" s="16"/>
    </row>
    <row r="14" spans="1:26" ht="26.25" customHeight="1">
      <c r="A14" s="11" t="e">
        <f>#REF!</f>
        <v>#REF!</v>
      </c>
      <c r="B14" s="11" t="s">
        <v>25</v>
      </c>
      <c r="C14" s="12" t="s">
        <v>26</v>
      </c>
      <c r="D14" s="11" t="e">
        <f t="shared" si="0"/>
        <v>#REF!</v>
      </c>
      <c r="E14" s="14" t="e">
        <f>#REF!</f>
        <v>#REF!</v>
      </c>
      <c r="F14" s="14" t="e">
        <f>#REF!</f>
        <v>#REF!</v>
      </c>
      <c r="G14" s="14" t="e">
        <f>#REF!</f>
        <v>#REF!</v>
      </c>
      <c r="H14" s="14" t="e">
        <f>#REF!</f>
        <v>#REF!</v>
      </c>
      <c r="I14" s="14" t="e">
        <f>#REF!</f>
        <v>#REF!</v>
      </c>
      <c r="J14" s="14" t="e">
        <f>#REF!</f>
        <v>#REF!</v>
      </c>
      <c r="K14" s="14" t="e">
        <f t="shared" si="1"/>
        <v>#REF!</v>
      </c>
      <c r="L14" s="289"/>
      <c r="M14" s="16"/>
      <c r="N14" s="16"/>
      <c r="O14" s="16"/>
      <c r="P14" s="16"/>
      <c r="Q14" s="16"/>
      <c r="R14" s="16"/>
      <c r="S14" s="16"/>
      <c r="T14" s="16"/>
      <c r="U14" s="16"/>
      <c r="V14" s="16"/>
      <c r="W14" s="16"/>
      <c r="X14" s="16"/>
      <c r="Y14" s="16"/>
      <c r="Z14" s="16"/>
    </row>
    <row r="15" spans="1:26" ht="26.25" customHeight="1">
      <c r="A15" s="11" t="e">
        <f>#REF!</f>
        <v>#REF!</v>
      </c>
      <c r="B15" s="11" t="s">
        <v>25</v>
      </c>
      <c r="C15" s="12" t="s">
        <v>26</v>
      </c>
      <c r="D15" s="11" t="e">
        <f t="shared" si="0"/>
        <v>#REF!</v>
      </c>
      <c r="E15" s="14" t="e">
        <f>#REF!</f>
        <v>#REF!</v>
      </c>
      <c r="F15" s="14" t="e">
        <f>#REF!</f>
        <v>#REF!</v>
      </c>
      <c r="G15" s="14" t="e">
        <f>#REF!</f>
        <v>#REF!</v>
      </c>
      <c r="H15" s="14" t="e">
        <f>#REF!</f>
        <v>#REF!</v>
      </c>
      <c r="I15" s="14" t="e">
        <f>#REF!</f>
        <v>#REF!</v>
      </c>
      <c r="J15" s="14" t="e">
        <f>#REF!</f>
        <v>#REF!</v>
      </c>
      <c r="K15" s="14" t="e">
        <f t="shared" si="1"/>
        <v>#REF!</v>
      </c>
      <c r="L15" s="287" t="e">
        <f>K15+K16</f>
        <v>#REF!</v>
      </c>
      <c r="M15" s="16"/>
      <c r="N15" s="16"/>
      <c r="O15" s="16"/>
      <c r="P15" s="16"/>
      <c r="Q15" s="16"/>
      <c r="R15" s="16"/>
      <c r="S15" s="16"/>
      <c r="T15" s="16"/>
      <c r="U15" s="16"/>
      <c r="V15" s="16"/>
      <c r="W15" s="16"/>
      <c r="X15" s="16"/>
      <c r="Y15" s="16"/>
      <c r="Z15" s="16"/>
    </row>
    <row r="16" spans="1:26" ht="25.5" customHeight="1">
      <c r="A16" s="11" t="e">
        <f>#REF!</f>
        <v>#REF!</v>
      </c>
      <c r="B16" s="11" t="s">
        <v>27</v>
      </c>
      <c r="C16" s="17" t="s">
        <v>28</v>
      </c>
      <c r="D16" s="11" t="e">
        <f t="shared" si="0"/>
        <v>#REF!</v>
      </c>
      <c r="E16" s="14" t="e">
        <f>#REF!</f>
        <v>#REF!</v>
      </c>
      <c r="F16" s="14" t="e">
        <f>#REF!</f>
        <v>#REF!</v>
      </c>
      <c r="G16" s="14" t="e">
        <f>#REF!</f>
        <v>#REF!</v>
      </c>
      <c r="H16" s="14" t="e">
        <f>#REF!</f>
        <v>#REF!</v>
      </c>
      <c r="I16" s="14" t="e">
        <f>#REF!</f>
        <v>#REF!</v>
      </c>
      <c r="J16" s="14" t="e">
        <f>#REF!</f>
        <v>#REF!</v>
      </c>
      <c r="K16" s="14" t="e">
        <f t="shared" si="1"/>
        <v>#REF!</v>
      </c>
      <c r="L16" s="289"/>
      <c r="M16" s="16"/>
      <c r="N16" s="16"/>
      <c r="O16" s="16"/>
      <c r="P16" s="16"/>
      <c r="Q16" s="16"/>
      <c r="R16" s="16"/>
      <c r="S16" s="16"/>
      <c r="T16" s="16"/>
      <c r="U16" s="16"/>
      <c r="V16" s="16"/>
      <c r="W16" s="16"/>
      <c r="X16" s="16"/>
      <c r="Y16" s="16"/>
      <c r="Z16" s="16"/>
    </row>
    <row r="17" spans="1:26" ht="26.25" customHeight="1">
      <c r="A17" s="11" t="e">
        <f>#REF!</f>
        <v>#REF!</v>
      </c>
      <c r="B17" s="11" t="s">
        <v>27</v>
      </c>
      <c r="C17" s="17" t="s">
        <v>28</v>
      </c>
      <c r="D17" s="11" t="e">
        <f t="shared" si="0"/>
        <v>#REF!</v>
      </c>
      <c r="E17" s="14" t="e">
        <f>#REF!</f>
        <v>#REF!</v>
      </c>
      <c r="F17" s="14" t="e">
        <f>#REF!</f>
        <v>#REF!</v>
      </c>
      <c r="G17" s="14" t="e">
        <f>#REF!</f>
        <v>#REF!</v>
      </c>
      <c r="H17" s="14" t="e">
        <f>#REF!</f>
        <v>#REF!</v>
      </c>
      <c r="I17" s="14" t="e">
        <f>#REF!</f>
        <v>#REF!</v>
      </c>
      <c r="J17" s="14" t="e">
        <f>#REF!</f>
        <v>#REF!</v>
      </c>
      <c r="K17" s="18" t="e">
        <f t="shared" si="1"/>
        <v>#REF!</v>
      </c>
      <c r="L17" s="19"/>
      <c r="M17" s="16"/>
      <c r="N17" s="16"/>
      <c r="O17" s="16"/>
      <c r="P17" s="16"/>
      <c r="Q17" s="16"/>
      <c r="R17" s="16"/>
      <c r="S17" s="16"/>
      <c r="T17" s="16"/>
      <c r="U17" s="16"/>
      <c r="V17" s="16"/>
      <c r="W17" s="16"/>
      <c r="X17" s="16"/>
      <c r="Y17" s="16"/>
      <c r="Z17" s="16"/>
    </row>
    <row r="18" spans="1:26" ht="26.25" customHeight="1">
      <c r="A18" s="11" t="e">
        <f>#REF!</f>
        <v>#REF!</v>
      </c>
      <c r="B18" s="11"/>
      <c r="C18" s="12"/>
      <c r="D18" s="11" t="e">
        <f t="shared" si="0"/>
        <v>#REF!</v>
      </c>
      <c r="E18" s="14" t="e">
        <f>#REF!</f>
        <v>#REF!</v>
      </c>
      <c r="F18" s="14" t="e">
        <f>#REF!</f>
        <v>#REF!</v>
      </c>
      <c r="G18" s="14" t="e">
        <f>#REF!</f>
        <v>#REF!</v>
      </c>
      <c r="H18" s="14" t="e">
        <f>#REF!</f>
        <v>#REF!</v>
      </c>
      <c r="I18" s="14" t="e">
        <f>#REF!</f>
        <v>#REF!</v>
      </c>
      <c r="J18" s="14" t="e">
        <f>#REF!</f>
        <v>#REF!</v>
      </c>
      <c r="K18" s="18" t="e">
        <f t="shared" si="1"/>
        <v>#REF!</v>
      </c>
      <c r="L18" s="20"/>
      <c r="M18" s="16"/>
      <c r="N18" s="16"/>
      <c r="O18" s="16"/>
      <c r="P18" s="16"/>
      <c r="Q18" s="16"/>
      <c r="R18" s="16"/>
      <c r="S18" s="16"/>
      <c r="T18" s="16"/>
      <c r="U18" s="16"/>
      <c r="V18" s="16"/>
      <c r="W18" s="16"/>
      <c r="X18" s="16"/>
      <c r="Y18" s="16"/>
      <c r="Z18" s="16"/>
    </row>
    <row r="19" spans="1:26" ht="26.25" customHeight="1">
      <c r="A19" s="11" t="e">
        <f>#REF!</f>
        <v>#REF!</v>
      </c>
      <c r="B19" s="11"/>
      <c r="C19" s="12"/>
      <c r="D19" s="11" t="e">
        <f t="shared" si="0"/>
        <v>#REF!</v>
      </c>
      <c r="E19" s="14" t="e">
        <f>#REF!</f>
        <v>#REF!</v>
      </c>
      <c r="F19" s="14" t="e">
        <f>#REF!</f>
        <v>#REF!</v>
      </c>
      <c r="G19" s="14" t="e">
        <f>#REF!</f>
        <v>#REF!</v>
      </c>
      <c r="H19" s="14" t="e">
        <f>#REF!</f>
        <v>#REF!</v>
      </c>
      <c r="I19" s="14" t="e">
        <f>#REF!</f>
        <v>#REF!</v>
      </c>
      <c r="J19" s="14" t="e">
        <f>#REF!</f>
        <v>#REF!</v>
      </c>
      <c r="K19" s="14" t="e">
        <f t="shared" si="1"/>
        <v>#REF!</v>
      </c>
      <c r="L19" s="290" t="e">
        <f>K19+K20</f>
        <v>#REF!</v>
      </c>
      <c r="M19" s="16"/>
      <c r="N19" s="16"/>
      <c r="O19" s="16"/>
      <c r="P19" s="16"/>
      <c r="Q19" s="16"/>
      <c r="R19" s="16"/>
      <c r="S19" s="16"/>
      <c r="T19" s="16"/>
      <c r="U19" s="16"/>
      <c r="V19" s="16"/>
      <c r="W19" s="16"/>
      <c r="X19" s="16"/>
      <c r="Y19" s="16"/>
      <c r="Z19" s="16"/>
    </row>
    <row r="20" spans="1:26" ht="24.75" customHeight="1">
      <c r="A20" s="11" t="e">
        <f>#REF!</f>
        <v>#REF!</v>
      </c>
      <c r="B20" s="11" t="s">
        <v>25</v>
      </c>
      <c r="C20" s="12" t="s">
        <v>29</v>
      </c>
      <c r="D20" s="11" t="e">
        <f t="shared" si="0"/>
        <v>#REF!</v>
      </c>
      <c r="E20" s="14" t="e">
        <f>#REF!</f>
        <v>#REF!</v>
      </c>
      <c r="F20" s="14" t="e">
        <f>#REF!</f>
        <v>#REF!</v>
      </c>
      <c r="G20" s="14" t="e">
        <f>#REF!</f>
        <v>#REF!</v>
      </c>
      <c r="H20" s="14" t="e">
        <f>#REF!</f>
        <v>#REF!</v>
      </c>
      <c r="I20" s="14" t="e">
        <f>#REF!</f>
        <v>#REF!</v>
      </c>
      <c r="J20" s="14" t="e">
        <f>#REF!</f>
        <v>#REF!</v>
      </c>
      <c r="K20" s="14" t="e">
        <f t="shared" si="1"/>
        <v>#REF!</v>
      </c>
      <c r="L20" s="291"/>
      <c r="M20" s="16"/>
      <c r="N20" s="16"/>
      <c r="O20" s="16"/>
      <c r="P20" s="16"/>
      <c r="Q20" s="16"/>
      <c r="R20" s="16"/>
      <c r="S20" s="16"/>
      <c r="T20" s="16"/>
      <c r="U20" s="16"/>
      <c r="V20" s="16"/>
      <c r="W20" s="16"/>
      <c r="X20" s="16"/>
      <c r="Y20" s="16"/>
      <c r="Z20" s="16"/>
    </row>
    <row r="21" spans="1:26" ht="26.25" customHeight="1">
      <c r="A21" s="11" t="e">
        <f>#REF!</f>
        <v>#REF!</v>
      </c>
      <c r="B21" s="11" t="s">
        <v>21</v>
      </c>
      <c r="C21" s="12" t="s">
        <v>30</v>
      </c>
      <c r="D21" s="11" t="e">
        <f t="shared" si="0"/>
        <v>#REF!</v>
      </c>
      <c r="E21" s="14" t="e">
        <f>#REF!</f>
        <v>#REF!</v>
      </c>
      <c r="F21" s="14" t="e">
        <f>#REF!</f>
        <v>#REF!</v>
      </c>
      <c r="G21" s="14" t="e">
        <f>#REF!</f>
        <v>#REF!</v>
      </c>
      <c r="H21" s="14" t="e">
        <f>#REF!</f>
        <v>#REF!</v>
      </c>
      <c r="I21" s="14" t="e">
        <f>#REF!</f>
        <v>#REF!</v>
      </c>
      <c r="J21" s="14" t="e">
        <f>#REF!</f>
        <v>#REF!</v>
      </c>
      <c r="K21" s="18" t="e">
        <f t="shared" si="1"/>
        <v>#REF!</v>
      </c>
      <c r="L21" s="20"/>
      <c r="M21" s="16"/>
      <c r="N21" s="16"/>
      <c r="O21" s="16"/>
      <c r="P21" s="16"/>
      <c r="Q21" s="16"/>
      <c r="R21" s="16"/>
      <c r="S21" s="16"/>
      <c r="T21" s="16"/>
      <c r="U21" s="16"/>
      <c r="V21" s="16"/>
      <c r="W21" s="16"/>
      <c r="X21" s="16"/>
      <c r="Y21" s="16"/>
      <c r="Z21" s="16"/>
    </row>
    <row r="22" spans="1:26" ht="26.25" customHeight="1">
      <c r="A22" s="11" t="e">
        <f>#REF!</f>
        <v>#REF!</v>
      </c>
      <c r="B22" s="11"/>
      <c r="C22" s="12"/>
      <c r="D22" s="11" t="e">
        <f t="shared" si="0"/>
        <v>#REF!</v>
      </c>
      <c r="E22" s="14" t="e">
        <f>#REF!</f>
        <v>#REF!</v>
      </c>
      <c r="F22" s="14" t="e">
        <f>#REF!</f>
        <v>#REF!</v>
      </c>
      <c r="G22" s="14" t="e">
        <f>#REF!</f>
        <v>#REF!</v>
      </c>
      <c r="H22" s="14" t="e">
        <f>#REF!</f>
        <v>#REF!</v>
      </c>
      <c r="I22" s="14" t="e">
        <f>#REF!</f>
        <v>#REF!</v>
      </c>
      <c r="J22" s="14" t="e">
        <f>#REF!</f>
        <v>#REF!</v>
      </c>
      <c r="K22" s="18" t="e">
        <f t="shared" si="1"/>
        <v>#REF!</v>
      </c>
      <c r="L22" s="20"/>
      <c r="M22" s="16"/>
      <c r="N22" s="16"/>
      <c r="O22" s="16"/>
      <c r="P22" s="16"/>
      <c r="Q22" s="16"/>
      <c r="R22" s="16"/>
      <c r="S22" s="16"/>
      <c r="T22" s="16"/>
      <c r="U22" s="16"/>
      <c r="V22" s="16"/>
      <c r="W22" s="16"/>
      <c r="X22" s="16"/>
      <c r="Y22" s="16"/>
      <c r="Z22" s="16"/>
    </row>
    <row r="23" spans="1:26" ht="26.25" customHeight="1">
      <c r="A23" s="11" t="e">
        <f>#REF!</f>
        <v>#REF!</v>
      </c>
      <c r="B23" s="11" t="s">
        <v>25</v>
      </c>
      <c r="C23" s="12" t="s">
        <v>26</v>
      </c>
      <c r="D23" s="11" t="e">
        <f t="shared" si="0"/>
        <v>#REF!</v>
      </c>
      <c r="E23" s="14" t="e">
        <f>#REF!</f>
        <v>#REF!</v>
      </c>
      <c r="F23" s="14" t="e">
        <f>#REF!</f>
        <v>#REF!</v>
      </c>
      <c r="G23" s="14" t="e">
        <f>#REF!</f>
        <v>#REF!</v>
      </c>
      <c r="H23" s="14" t="e">
        <f>#REF!</f>
        <v>#REF!</v>
      </c>
      <c r="I23" s="14" t="e">
        <f>#REF!</f>
        <v>#REF!</v>
      </c>
      <c r="J23" s="14" t="e">
        <f>#REF!</f>
        <v>#REF!</v>
      </c>
      <c r="K23" s="18" t="e">
        <f t="shared" si="1"/>
        <v>#REF!</v>
      </c>
      <c r="L23" s="20"/>
      <c r="M23" s="16"/>
      <c r="N23" s="16"/>
      <c r="O23" s="16"/>
      <c r="P23" s="16"/>
      <c r="Q23" s="16"/>
      <c r="R23" s="16"/>
      <c r="S23" s="16"/>
      <c r="T23" s="16"/>
      <c r="U23" s="16"/>
      <c r="V23" s="16"/>
      <c r="W23" s="16"/>
      <c r="X23" s="16"/>
      <c r="Y23" s="16"/>
      <c r="Z23" s="16"/>
    </row>
    <row r="24" spans="1:26" ht="27" customHeight="1">
      <c r="A24" s="11" t="e">
        <f>#REF!</f>
        <v>#REF!</v>
      </c>
      <c r="B24" s="11"/>
      <c r="C24" s="12"/>
      <c r="D24" s="11" t="e">
        <f t="shared" si="0"/>
        <v>#REF!</v>
      </c>
      <c r="E24" s="14" t="e">
        <f>#REF!</f>
        <v>#REF!</v>
      </c>
      <c r="F24" s="14" t="e">
        <f>#REF!</f>
        <v>#REF!</v>
      </c>
      <c r="G24" s="14" t="e">
        <f>#REF!</f>
        <v>#REF!</v>
      </c>
      <c r="H24" s="14" t="e">
        <f>#REF!</f>
        <v>#REF!</v>
      </c>
      <c r="I24" s="14" t="e">
        <f>#REF!</f>
        <v>#REF!</v>
      </c>
      <c r="J24" s="14" t="e">
        <f>#REF!</f>
        <v>#REF!</v>
      </c>
      <c r="K24" s="18" t="e">
        <f t="shared" si="1"/>
        <v>#REF!</v>
      </c>
      <c r="L24" s="20"/>
      <c r="M24" s="16"/>
      <c r="N24" s="16"/>
      <c r="O24" s="16"/>
      <c r="P24" s="16"/>
      <c r="Q24" s="16"/>
      <c r="R24" s="16"/>
      <c r="S24" s="16"/>
      <c r="T24" s="16"/>
      <c r="U24" s="16"/>
      <c r="V24" s="16"/>
      <c r="W24" s="16"/>
      <c r="X24" s="16"/>
      <c r="Y24" s="16"/>
      <c r="Z24" s="16"/>
    </row>
    <row r="25" spans="1:26" ht="26.25" customHeight="1">
      <c r="A25" s="11" t="e">
        <f>#REF!</f>
        <v>#REF!</v>
      </c>
      <c r="B25" s="11"/>
      <c r="C25" s="12"/>
      <c r="D25" s="11" t="e">
        <f t="shared" si="0"/>
        <v>#REF!</v>
      </c>
      <c r="E25" s="14" t="e">
        <f>#REF!</f>
        <v>#REF!</v>
      </c>
      <c r="F25" s="14" t="e">
        <f>#REF!</f>
        <v>#REF!</v>
      </c>
      <c r="G25" s="14" t="e">
        <f>#REF!</f>
        <v>#REF!</v>
      </c>
      <c r="H25" s="14" t="e">
        <f>#REF!</f>
        <v>#REF!</v>
      </c>
      <c r="I25" s="14" t="e">
        <f>#REF!</f>
        <v>#REF!</v>
      </c>
      <c r="J25" s="14" t="e">
        <f>#REF!</f>
        <v>#REF!</v>
      </c>
      <c r="K25" s="18" t="e">
        <f t="shared" si="1"/>
        <v>#REF!</v>
      </c>
      <c r="L25" s="20"/>
      <c r="M25" s="16"/>
      <c r="N25" s="16"/>
      <c r="O25" s="16"/>
      <c r="P25" s="16"/>
      <c r="Q25" s="16"/>
      <c r="R25" s="16"/>
      <c r="S25" s="16"/>
      <c r="T25" s="16"/>
      <c r="U25" s="16"/>
      <c r="V25" s="16"/>
      <c r="W25" s="16"/>
      <c r="X25" s="16"/>
      <c r="Y25" s="16"/>
      <c r="Z25" s="16"/>
    </row>
    <row r="26" spans="1:26" ht="27" customHeight="1">
      <c r="A26" s="11" t="e">
        <f>#REF!</f>
        <v>#REF!</v>
      </c>
      <c r="B26" s="11"/>
      <c r="C26" s="12"/>
      <c r="D26" s="11" t="e">
        <f t="shared" si="0"/>
        <v>#REF!</v>
      </c>
      <c r="E26" s="14" t="e">
        <f>#REF!</f>
        <v>#REF!</v>
      </c>
      <c r="F26" s="14" t="e">
        <f>#REF!</f>
        <v>#REF!</v>
      </c>
      <c r="G26" s="14" t="e">
        <f>#REF!</f>
        <v>#REF!</v>
      </c>
      <c r="H26" s="14" t="e">
        <f>#REF!</f>
        <v>#REF!</v>
      </c>
      <c r="I26" s="14" t="e">
        <f>#REF!</f>
        <v>#REF!</v>
      </c>
      <c r="J26" s="14" t="e">
        <f>#REF!</f>
        <v>#REF!</v>
      </c>
      <c r="K26" s="18" t="e">
        <f t="shared" si="1"/>
        <v>#REF!</v>
      </c>
      <c r="L26" s="20"/>
      <c r="M26" s="16"/>
      <c r="N26" s="16"/>
      <c r="O26" s="16"/>
      <c r="P26" s="16"/>
      <c r="Q26" s="16"/>
      <c r="R26" s="16"/>
      <c r="S26" s="16"/>
      <c r="T26" s="16"/>
      <c r="U26" s="16"/>
      <c r="V26" s="16"/>
      <c r="W26" s="16"/>
      <c r="X26" s="16"/>
      <c r="Y26" s="16"/>
      <c r="Z26" s="16"/>
    </row>
    <row r="27" spans="1:26" ht="25.5" customHeight="1">
      <c r="A27" s="21" t="e">
        <f>#REF!</f>
        <v>#REF!</v>
      </c>
      <c r="B27" s="11"/>
      <c r="C27" s="12"/>
      <c r="D27" s="11" t="e">
        <f t="shared" si="0"/>
        <v>#REF!</v>
      </c>
      <c r="E27" s="14" t="e">
        <f>#REF!</f>
        <v>#REF!</v>
      </c>
      <c r="F27" s="14" t="e">
        <f>#REF!</f>
        <v>#REF!</v>
      </c>
      <c r="G27" s="14" t="e">
        <f>#REF!</f>
        <v>#REF!</v>
      </c>
      <c r="H27" s="14" t="e">
        <f>#REF!</f>
        <v>#REF!</v>
      </c>
      <c r="I27" s="14" t="e">
        <f>#REF!</f>
        <v>#REF!</v>
      </c>
      <c r="J27" s="14" t="e">
        <f>#REF!</f>
        <v>#REF!</v>
      </c>
      <c r="K27" s="18" t="e">
        <f t="shared" si="1"/>
        <v>#REF!</v>
      </c>
      <c r="L27" s="20"/>
      <c r="M27" s="16"/>
      <c r="N27" s="16"/>
      <c r="O27" s="16"/>
      <c r="P27" s="16"/>
      <c r="Q27" s="16"/>
      <c r="R27" s="16"/>
      <c r="S27" s="16"/>
      <c r="T27" s="16"/>
      <c r="U27" s="16"/>
      <c r="V27" s="16"/>
      <c r="W27" s="16"/>
      <c r="X27" s="16"/>
      <c r="Y27" s="16"/>
      <c r="Z27" s="16"/>
    </row>
    <row r="28" spans="1:26" ht="27" customHeight="1">
      <c r="A28" s="21" t="e">
        <f>#REF!</f>
        <v>#REF!</v>
      </c>
      <c r="B28" s="11"/>
      <c r="C28" s="12"/>
      <c r="D28" s="22" t="e">
        <f t="shared" si="0"/>
        <v>#REF!</v>
      </c>
      <c r="E28" s="14" t="e">
        <f>#REF!</f>
        <v>#REF!</v>
      </c>
      <c r="F28" s="14" t="e">
        <f>#REF!</f>
        <v>#REF!</v>
      </c>
      <c r="G28" s="14" t="e">
        <f>#REF!</f>
        <v>#REF!</v>
      </c>
      <c r="H28" s="14" t="e">
        <f>#REF!</f>
        <v>#REF!</v>
      </c>
      <c r="I28" s="14" t="e">
        <f>#REF!</f>
        <v>#REF!</v>
      </c>
      <c r="J28" s="14" t="e">
        <f>#REF!</f>
        <v>#REF!</v>
      </c>
      <c r="K28" s="18" t="e">
        <f t="shared" si="1"/>
        <v>#REF!</v>
      </c>
      <c r="L28" s="20"/>
      <c r="M28" s="16"/>
      <c r="N28" s="16"/>
      <c r="O28" s="16"/>
      <c r="P28" s="16"/>
      <c r="Q28" s="16"/>
      <c r="R28" s="16"/>
      <c r="S28" s="16"/>
      <c r="T28" s="16"/>
      <c r="U28" s="16"/>
      <c r="V28" s="16"/>
      <c r="W28" s="16"/>
      <c r="X28" s="16"/>
      <c r="Y28" s="16"/>
      <c r="Z28" s="16"/>
    </row>
    <row r="29" spans="1:26" ht="25.5" customHeight="1">
      <c r="A29" s="21" t="e">
        <f>#REF!</f>
        <v>#REF!</v>
      </c>
      <c r="B29" s="11"/>
      <c r="C29" s="12"/>
      <c r="D29" s="22" t="e">
        <f t="shared" si="0"/>
        <v>#REF!</v>
      </c>
      <c r="E29" s="14" t="e">
        <f>#REF!</f>
        <v>#REF!</v>
      </c>
      <c r="F29" s="14" t="e">
        <f>#REF!</f>
        <v>#REF!</v>
      </c>
      <c r="G29" s="14" t="e">
        <f>#REF!</f>
        <v>#REF!</v>
      </c>
      <c r="H29" s="14" t="e">
        <f>#REF!</f>
        <v>#REF!</v>
      </c>
      <c r="I29" s="14" t="e">
        <f>#REF!</f>
        <v>#REF!</v>
      </c>
      <c r="J29" s="14" t="e">
        <f>#REF!</f>
        <v>#REF!</v>
      </c>
      <c r="K29" s="18" t="e">
        <f t="shared" si="1"/>
        <v>#REF!</v>
      </c>
      <c r="L29" s="20"/>
      <c r="M29" s="16"/>
      <c r="N29" s="16"/>
      <c r="O29" s="16"/>
      <c r="P29" s="16"/>
      <c r="Q29" s="16"/>
      <c r="R29" s="16"/>
      <c r="S29" s="16"/>
      <c r="T29" s="16"/>
      <c r="U29" s="16"/>
      <c r="V29" s="16"/>
      <c r="W29" s="16"/>
      <c r="X29" s="16"/>
      <c r="Y29" s="16"/>
      <c r="Z29" s="16"/>
    </row>
    <row r="30" spans="1:26" ht="26.25" customHeight="1">
      <c r="A30" s="21" t="e">
        <f>#REF!</f>
        <v>#REF!</v>
      </c>
      <c r="B30" s="11" t="s">
        <v>21</v>
      </c>
      <c r="C30" s="12" t="s">
        <v>31</v>
      </c>
      <c r="D30" s="22" t="e">
        <f t="shared" si="0"/>
        <v>#REF!</v>
      </c>
      <c r="E30" s="14" t="e">
        <f>#REF!</f>
        <v>#REF!</v>
      </c>
      <c r="F30" s="14" t="e">
        <f>#REF!</f>
        <v>#REF!</v>
      </c>
      <c r="G30" s="14" t="e">
        <f>#REF!</f>
        <v>#REF!</v>
      </c>
      <c r="H30" s="14" t="e">
        <f>#REF!</f>
        <v>#REF!</v>
      </c>
      <c r="I30" s="14" t="e">
        <f>#REF!</f>
        <v>#REF!</v>
      </c>
      <c r="J30" s="14" t="e">
        <f>#REF!</f>
        <v>#REF!</v>
      </c>
      <c r="K30" s="18" t="e">
        <f t="shared" si="1"/>
        <v>#REF!</v>
      </c>
      <c r="L30" s="20"/>
      <c r="M30" s="16"/>
      <c r="N30" s="16"/>
      <c r="O30" s="16"/>
      <c r="P30" s="16"/>
      <c r="Q30" s="16"/>
      <c r="R30" s="16"/>
      <c r="S30" s="16"/>
      <c r="T30" s="16"/>
      <c r="U30" s="16"/>
      <c r="V30" s="16"/>
      <c r="W30" s="16"/>
      <c r="X30" s="16"/>
      <c r="Y30" s="16"/>
      <c r="Z30" s="16"/>
    </row>
    <row r="31" spans="1:26" ht="26.25" customHeight="1">
      <c r="A31" s="21" t="e">
        <f>#REF!</f>
        <v>#REF!</v>
      </c>
      <c r="B31" s="11" t="s">
        <v>32</v>
      </c>
      <c r="C31" s="17" t="s">
        <v>33</v>
      </c>
      <c r="D31" s="22" t="e">
        <f t="shared" si="0"/>
        <v>#REF!</v>
      </c>
      <c r="E31" s="14" t="e">
        <f>#REF!</f>
        <v>#REF!</v>
      </c>
      <c r="F31" s="14" t="e">
        <f>#REF!</f>
        <v>#REF!</v>
      </c>
      <c r="G31" s="14" t="e">
        <f>#REF!</f>
        <v>#REF!</v>
      </c>
      <c r="H31" s="14" t="e">
        <f>#REF!</f>
        <v>#REF!</v>
      </c>
      <c r="I31" s="14" t="e">
        <f>#REF!</f>
        <v>#REF!</v>
      </c>
      <c r="J31" s="14" t="e">
        <f>#REF!</f>
        <v>#REF!</v>
      </c>
      <c r="K31" s="18" t="e">
        <f t="shared" si="1"/>
        <v>#REF!</v>
      </c>
      <c r="L31" s="20"/>
      <c r="M31" s="16"/>
      <c r="N31" s="16"/>
      <c r="O31" s="16"/>
      <c r="P31" s="16"/>
      <c r="Q31" s="16"/>
      <c r="R31" s="16"/>
      <c r="S31" s="16"/>
      <c r="T31" s="16"/>
      <c r="U31" s="16"/>
      <c r="V31" s="16"/>
      <c r="W31" s="16"/>
      <c r="X31" s="16"/>
      <c r="Y31" s="16"/>
      <c r="Z31" s="16"/>
    </row>
    <row r="32" spans="1:26" ht="25.5" customHeight="1">
      <c r="A32" s="21" t="e">
        <f>#REF!</f>
        <v>#REF!</v>
      </c>
      <c r="B32" s="11" t="s">
        <v>25</v>
      </c>
      <c r="C32" s="12" t="s">
        <v>26</v>
      </c>
      <c r="D32" s="22" t="e">
        <f t="shared" si="0"/>
        <v>#REF!</v>
      </c>
      <c r="E32" s="14" t="e">
        <f>#REF!</f>
        <v>#REF!</v>
      </c>
      <c r="F32" s="14" t="e">
        <f>#REF!</f>
        <v>#REF!</v>
      </c>
      <c r="G32" s="14" t="e">
        <f>#REF!</f>
        <v>#REF!</v>
      </c>
      <c r="H32" s="14" t="e">
        <f>#REF!</f>
        <v>#REF!</v>
      </c>
      <c r="I32" s="14" t="e">
        <f>#REF!</f>
        <v>#REF!</v>
      </c>
      <c r="J32" s="14" t="e">
        <f>#REF!</f>
        <v>#REF!</v>
      </c>
      <c r="K32" s="18" t="e">
        <f t="shared" si="1"/>
        <v>#REF!</v>
      </c>
      <c r="L32" s="20"/>
      <c r="M32" s="16"/>
      <c r="N32" s="16"/>
      <c r="O32" s="16"/>
      <c r="P32" s="16"/>
      <c r="Q32" s="16"/>
      <c r="R32" s="16"/>
      <c r="S32" s="16"/>
      <c r="T32" s="16"/>
      <c r="U32" s="16"/>
      <c r="V32" s="16"/>
      <c r="W32" s="16"/>
      <c r="X32" s="16"/>
      <c r="Y32" s="16"/>
      <c r="Z32" s="16"/>
    </row>
    <row r="33" spans="1:26" ht="25.5" customHeight="1">
      <c r="A33" s="21" t="e">
        <f>#REF!</f>
        <v>#REF!</v>
      </c>
      <c r="B33" s="11"/>
      <c r="C33" s="17"/>
      <c r="D33" s="22" t="e">
        <f t="shared" si="0"/>
        <v>#REF!</v>
      </c>
      <c r="E33" s="14" t="e">
        <f>#REF!</f>
        <v>#REF!</v>
      </c>
      <c r="F33" s="14" t="e">
        <f>#REF!</f>
        <v>#REF!</v>
      </c>
      <c r="G33" s="14" t="e">
        <f>#REF!</f>
        <v>#REF!</v>
      </c>
      <c r="H33" s="14" t="e">
        <f>#REF!</f>
        <v>#REF!</v>
      </c>
      <c r="I33" s="14" t="e">
        <f>#REF!</f>
        <v>#REF!</v>
      </c>
      <c r="J33" s="14" t="e">
        <f>#REF!</f>
        <v>#REF!</v>
      </c>
      <c r="K33" s="18" t="e">
        <f t="shared" si="1"/>
        <v>#REF!</v>
      </c>
      <c r="L33" s="20"/>
      <c r="M33" s="16"/>
      <c r="N33" s="16"/>
      <c r="O33" s="16"/>
      <c r="P33" s="16"/>
      <c r="Q33" s="16"/>
      <c r="R33" s="16"/>
      <c r="S33" s="16"/>
      <c r="T33" s="16"/>
      <c r="U33" s="16"/>
      <c r="V33" s="16"/>
      <c r="W33" s="16"/>
      <c r="X33" s="16"/>
      <c r="Y33" s="16"/>
      <c r="Z33" s="16"/>
    </row>
    <row r="34" spans="1:26" ht="25.5" customHeight="1">
      <c r="A34" s="21" t="e">
        <f>#REF!</f>
        <v>#REF!</v>
      </c>
      <c r="B34" s="11" t="s">
        <v>25</v>
      </c>
      <c r="C34" s="12" t="s">
        <v>29</v>
      </c>
      <c r="D34" s="22" t="e">
        <f t="shared" si="0"/>
        <v>#REF!</v>
      </c>
      <c r="E34" s="14" t="e">
        <f>#REF!</f>
        <v>#REF!</v>
      </c>
      <c r="F34" s="14" t="e">
        <f>#REF!</f>
        <v>#REF!</v>
      </c>
      <c r="G34" s="14" t="e">
        <f>#REF!</f>
        <v>#REF!</v>
      </c>
      <c r="H34" s="14" t="e">
        <f>#REF!</f>
        <v>#REF!</v>
      </c>
      <c r="I34" s="14" t="e">
        <f>#REF!</f>
        <v>#REF!</v>
      </c>
      <c r="J34" s="14" t="e">
        <f>#REF!</f>
        <v>#REF!</v>
      </c>
      <c r="K34" s="18" t="e">
        <f t="shared" si="1"/>
        <v>#REF!</v>
      </c>
      <c r="L34" s="20"/>
      <c r="M34" s="16"/>
      <c r="N34" s="16"/>
      <c r="O34" s="16"/>
      <c r="P34" s="16"/>
      <c r="Q34" s="16"/>
      <c r="R34" s="16"/>
      <c r="S34" s="16"/>
      <c r="T34" s="16"/>
      <c r="U34" s="16"/>
      <c r="V34" s="16"/>
      <c r="W34" s="16"/>
      <c r="X34" s="16"/>
      <c r="Y34" s="16"/>
      <c r="Z34" s="16"/>
    </row>
    <row r="35" spans="1:26" ht="25.5" customHeight="1">
      <c r="A35" s="21" t="e">
        <f>#REF!</f>
        <v>#REF!</v>
      </c>
      <c r="B35" s="11" t="s">
        <v>34</v>
      </c>
      <c r="C35" s="12" t="s">
        <v>35</v>
      </c>
      <c r="D35" s="22" t="e">
        <f t="shared" si="0"/>
        <v>#REF!</v>
      </c>
      <c r="E35" s="14" t="e">
        <f>#REF!</f>
        <v>#REF!</v>
      </c>
      <c r="F35" s="14" t="e">
        <f>#REF!</f>
        <v>#REF!</v>
      </c>
      <c r="G35" s="14" t="e">
        <f>#REF!</f>
        <v>#REF!</v>
      </c>
      <c r="H35" s="14" t="e">
        <f>#REF!</f>
        <v>#REF!</v>
      </c>
      <c r="I35" s="14" t="e">
        <f>#REF!</f>
        <v>#REF!</v>
      </c>
      <c r="J35" s="14" t="e">
        <f>#REF!</f>
        <v>#REF!</v>
      </c>
      <c r="K35" s="18" t="e">
        <f t="shared" si="1"/>
        <v>#REF!</v>
      </c>
      <c r="L35" s="20"/>
      <c r="M35" s="16"/>
      <c r="N35" s="16"/>
      <c r="O35" s="16"/>
      <c r="P35" s="16"/>
      <c r="Q35" s="16"/>
      <c r="R35" s="16"/>
      <c r="S35" s="16"/>
      <c r="T35" s="16"/>
      <c r="U35" s="16"/>
      <c r="V35" s="16"/>
      <c r="W35" s="16"/>
      <c r="X35" s="16"/>
      <c r="Y35" s="16"/>
      <c r="Z35" s="16"/>
    </row>
    <row r="36" spans="1:26" ht="25.5" customHeight="1">
      <c r="A36" s="21" t="e">
        <f>#REF!</f>
        <v>#REF!</v>
      </c>
      <c r="B36" s="11" t="s">
        <v>21</v>
      </c>
      <c r="C36" s="12" t="s">
        <v>36</v>
      </c>
      <c r="D36" s="22" t="e">
        <f t="shared" si="0"/>
        <v>#REF!</v>
      </c>
      <c r="E36" s="14" t="e">
        <f>#REF!</f>
        <v>#REF!</v>
      </c>
      <c r="F36" s="14" t="e">
        <f>#REF!</f>
        <v>#REF!</v>
      </c>
      <c r="G36" s="14" t="e">
        <f>#REF!</f>
        <v>#REF!</v>
      </c>
      <c r="H36" s="14" t="e">
        <f>#REF!</f>
        <v>#REF!</v>
      </c>
      <c r="I36" s="14" t="e">
        <f>#REF!</f>
        <v>#REF!</v>
      </c>
      <c r="J36" s="14" t="e">
        <f>#REF!</f>
        <v>#REF!</v>
      </c>
      <c r="K36" s="18" t="e">
        <f t="shared" si="1"/>
        <v>#REF!</v>
      </c>
      <c r="L36" s="20"/>
      <c r="M36" s="16"/>
      <c r="N36" s="16"/>
      <c r="O36" s="16"/>
      <c r="P36" s="16"/>
      <c r="Q36" s="16"/>
      <c r="R36" s="16"/>
      <c r="S36" s="16"/>
      <c r="T36" s="16"/>
      <c r="U36" s="16"/>
      <c r="V36" s="16"/>
      <c r="W36" s="16"/>
      <c r="X36" s="16"/>
      <c r="Y36" s="16"/>
      <c r="Z36" s="16"/>
    </row>
    <row r="37" spans="1:26" ht="25.5" customHeight="1">
      <c r="A37" s="21" t="e">
        <f>#REF!</f>
        <v>#REF!</v>
      </c>
      <c r="B37" s="11" t="s">
        <v>37</v>
      </c>
      <c r="C37" s="17" t="s">
        <v>2</v>
      </c>
      <c r="D37" s="22" t="e">
        <f t="shared" si="0"/>
        <v>#REF!</v>
      </c>
      <c r="E37" s="14" t="e">
        <f>#REF!</f>
        <v>#REF!</v>
      </c>
      <c r="F37" s="14" t="e">
        <f>#REF!</f>
        <v>#REF!</v>
      </c>
      <c r="G37" s="14" t="e">
        <f>#REF!</f>
        <v>#REF!</v>
      </c>
      <c r="H37" s="14" t="e">
        <f>#REF!</f>
        <v>#REF!</v>
      </c>
      <c r="I37" s="14" t="e">
        <f>#REF!</f>
        <v>#REF!</v>
      </c>
      <c r="J37" s="14" t="e">
        <f>#REF!</f>
        <v>#REF!</v>
      </c>
      <c r="K37" s="18" t="e">
        <f t="shared" si="1"/>
        <v>#REF!</v>
      </c>
      <c r="L37" s="20"/>
      <c r="M37" s="16"/>
      <c r="N37" s="16"/>
      <c r="O37" s="16"/>
      <c r="P37" s="16"/>
      <c r="Q37" s="16"/>
      <c r="R37" s="16"/>
      <c r="S37" s="16"/>
      <c r="T37" s="16"/>
      <c r="U37" s="16"/>
      <c r="V37" s="16"/>
      <c r="W37" s="16"/>
      <c r="X37" s="16"/>
      <c r="Y37" s="16"/>
      <c r="Z37" s="16"/>
    </row>
    <row r="38" spans="1:26" ht="25.5" customHeight="1">
      <c r="A38" s="21" t="e">
        <f>#REF!</f>
        <v>#REF!</v>
      </c>
      <c r="B38" s="11" t="s">
        <v>38</v>
      </c>
      <c r="C38" s="17"/>
      <c r="D38" s="22" t="e">
        <f t="shared" si="0"/>
        <v>#REF!</v>
      </c>
      <c r="E38" s="14" t="e">
        <f>#REF!</f>
        <v>#REF!</v>
      </c>
      <c r="F38" s="14" t="e">
        <f>#REF!</f>
        <v>#REF!</v>
      </c>
      <c r="G38" s="14" t="e">
        <f>#REF!</f>
        <v>#REF!</v>
      </c>
      <c r="H38" s="14" t="e">
        <f>#REF!</f>
        <v>#REF!</v>
      </c>
      <c r="I38" s="14" t="e">
        <f>#REF!</f>
        <v>#REF!</v>
      </c>
      <c r="J38" s="14" t="e">
        <f>#REF!</f>
        <v>#REF!</v>
      </c>
      <c r="K38" s="18" t="e">
        <f t="shared" si="1"/>
        <v>#REF!</v>
      </c>
      <c r="L38" s="20"/>
      <c r="M38" s="16"/>
      <c r="N38" s="16"/>
      <c r="O38" s="16"/>
      <c r="P38" s="16"/>
      <c r="Q38" s="16"/>
      <c r="R38" s="16"/>
      <c r="S38" s="16"/>
      <c r="T38" s="16"/>
      <c r="U38" s="16"/>
      <c r="V38" s="16"/>
      <c r="W38" s="16"/>
      <c r="X38" s="16"/>
      <c r="Y38" s="16"/>
      <c r="Z38" s="16"/>
    </row>
    <row r="39" spans="1:26" ht="25.5" customHeight="1">
      <c r="A39" s="21" t="e">
        <f>#REF!</f>
        <v>#REF!</v>
      </c>
      <c r="B39" s="11"/>
      <c r="C39" s="17"/>
      <c r="D39" s="22" t="e">
        <f t="shared" si="0"/>
        <v>#REF!</v>
      </c>
      <c r="E39" s="14" t="e">
        <f>#REF!</f>
        <v>#REF!</v>
      </c>
      <c r="F39" s="14" t="e">
        <f>#REF!</f>
        <v>#REF!</v>
      </c>
      <c r="G39" s="14" t="e">
        <f>#REF!</f>
        <v>#REF!</v>
      </c>
      <c r="H39" s="14" t="e">
        <f>#REF!</f>
        <v>#REF!</v>
      </c>
      <c r="I39" s="14" t="e">
        <f>#REF!</f>
        <v>#REF!</v>
      </c>
      <c r="J39" s="14" t="e">
        <f>#REF!</f>
        <v>#REF!</v>
      </c>
      <c r="K39" s="18" t="e">
        <f t="shared" si="1"/>
        <v>#REF!</v>
      </c>
      <c r="L39" s="20"/>
      <c r="M39" s="16"/>
      <c r="N39" s="16"/>
      <c r="O39" s="16"/>
      <c r="P39" s="16"/>
      <c r="Q39" s="16"/>
      <c r="R39" s="16"/>
      <c r="S39" s="16"/>
      <c r="T39" s="16"/>
      <c r="U39" s="16"/>
      <c r="V39" s="16"/>
      <c r="W39" s="16"/>
      <c r="X39" s="16"/>
      <c r="Y39" s="16"/>
      <c r="Z39" s="16"/>
    </row>
    <row r="40" spans="1:26" ht="25.5" customHeight="1">
      <c r="A40" s="21" t="e">
        <f>#REF!</f>
        <v>#REF!</v>
      </c>
      <c r="B40" s="11"/>
      <c r="C40" s="17"/>
      <c r="D40" s="22" t="e">
        <f t="shared" si="0"/>
        <v>#REF!</v>
      </c>
      <c r="E40" s="14" t="e">
        <f>#REF!</f>
        <v>#REF!</v>
      </c>
      <c r="F40" s="14" t="e">
        <f>#REF!</f>
        <v>#REF!</v>
      </c>
      <c r="G40" s="14" t="e">
        <f>#REF!</f>
        <v>#REF!</v>
      </c>
      <c r="H40" s="14" t="e">
        <f>#REF!</f>
        <v>#REF!</v>
      </c>
      <c r="I40" s="14" t="e">
        <f>#REF!</f>
        <v>#REF!</v>
      </c>
      <c r="J40" s="14" t="e">
        <f>#REF!</f>
        <v>#REF!</v>
      </c>
      <c r="K40" s="18" t="e">
        <f t="shared" si="1"/>
        <v>#REF!</v>
      </c>
      <c r="L40" s="20"/>
      <c r="M40" s="16"/>
      <c r="N40" s="16"/>
      <c r="O40" s="16"/>
      <c r="P40" s="16"/>
      <c r="Q40" s="16"/>
      <c r="R40" s="16"/>
      <c r="S40" s="16"/>
      <c r="T40" s="16"/>
      <c r="U40" s="16"/>
      <c r="V40" s="16"/>
      <c r="W40" s="16"/>
      <c r="X40" s="16"/>
      <c r="Y40" s="16"/>
      <c r="Z40" s="16"/>
    </row>
    <row r="41" spans="1:26" ht="25.5" customHeight="1">
      <c r="A41" s="21" t="e">
        <f>#REF!</f>
        <v>#REF!</v>
      </c>
      <c r="B41" s="11" t="s">
        <v>39</v>
      </c>
      <c r="C41" s="23"/>
      <c r="D41" s="22" t="e">
        <f t="shared" si="0"/>
        <v>#REF!</v>
      </c>
      <c r="E41" s="14" t="e">
        <f>#REF!</f>
        <v>#REF!</v>
      </c>
      <c r="F41" s="14" t="e">
        <f>#REF!</f>
        <v>#REF!</v>
      </c>
      <c r="G41" s="14" t="e">
        <f>#REF!</f>
        <v>#REF!</v>
      </c>
      <c r="H41" s="14" t="e">
        <f>#REF!</f>
        <v>#REF!</v>
      </c>
      <c r="I41" s="14" t="e">
        <f>#REF!</f>
        <v>#REF!</v>
      </c>
      <c r="J41" s="14" t="e">
        <f>#REF!</f>
        <v>#REF!</v>
      </c>
      <c r="K41" s="18" t="e">
        <f t="shared" si="1"/>
        <v>#REF!</v>
      </c>
      <c r="L41" s="20"/>
      <c r="M41" s="16"/>
      <c r="N41" s="16"/>
      <c r="O41" s="16"/>
      <c r="P41" s="16"/>
      <c r="Q41" s="16"/>
      <c r="R41" s="16"/>
      <c r="S41" s="16"/>
      <c r="T41" s="16"/>
      <c r="U41" s="16"/>
      <c r="V41" s="16"/>
      <c r="W41" s="16"/>
      <c r="X41" s="16"/>
      <c r="Y41" s="16"/>
      <c r="Z41" s="16"/>
    </row>
    <row r="42" spans="1:26" ht="25.5" customHeight="1">
      <c r="A42" s="21" t="e">
        <f>#REF!</f>
        <v>#REF!</v>
      </c>
      <c r="B42" s="11" t="s">
        <v>39</v>
      </c>
      <c r="C42" s="17"/>
      <c r="D42" s="22" t="e">
        <f t="shared" si="0"/>
        <v>#REF!</v>
      </c>
      <c r="E42" s="14" t="e">
        <f>#REF!</f>
        <v>#REF!</v>
      </c>
      <c r="F42" s="14" t="e">
        <f>#REF!</f>
        <v>#REF!</v>
      </c>
      <c r="G42" s="14" t="e">
        <f>#REF!</f>
        <v>#REF!</v>
      </c>
      <c r="H42" s="14" t="e">
        <f>#REF!</f>
        <v>#REF!</v>
      </c>
      <c r="I42" s="14" t="e">
        <f>#REF!</f>
        <v>#REF!</v>
      </c>
      <c r="J42" s="14" t="e">
        <f>#REF!</f>
        <v>#REF!</v>
      </c>
      <c r="K42" s="18" t="e">
        <f t="shared" si="1"/>
        <v>#REF!</v>
      </c>
      <c r="L42" s="20"/>
      <c r="M42" s="16"/>
      <c r="N42" s="16"/>
      <c r="O42" s="16"/>
      <c r="P42" s="16"/>
      <c r="Q42" s="16"/>
      <c r="R42" s="16"/>
      <c r="S42" s="16"/>
      <c r="T42" s="16"/>
      <c r="U42" s="16"/>
      <c r="V42" s="16"/>
      <c r="W42" s="16"/>
      <c r="X42" s="16"/>
      <c r="Y42" s="16"/>
      <c r="Z42" s="16"/>
    </row>
    <row r="43" spans="1:26" ht="25.5" customHeight="1">
      <c r="A43" s="21" t="e">
        <f>#REF!</f>
        <v>#REF!</v>
      </c>
      <c r="B43" s="11" t="s">
        <v>3</v>
      </c>
      <c r="C43" s="17"/>
      <c r="D43" s="22" t="e">
        <f t="shared" si="0"/>
        <v>#REF!</v>
      </c>
      <c r="E43" s="14" t="e">
        <f>#REF!</f>
        <v>#REF!</v>
      </c>
      <c r="F43" s="14" t="e">
        <f>#REF!</f>
        <v>#REF!</v>
      </c>
      <c r="G43" s="14" t="e">
        <f>#REF!</f>
        <v>#REF!</v>
      </c>
      <c r="H43" s="14" t="e">
        <f>#REF!</f>
        <v>#REF!</v>
      </c>
      <c r="I43" s="14" t="e">
        <f>#REF!</f>
        <v>#REF!</v>
      </c>
      <c r="J43" s="14" t="e">
        <f>#REF!</f>
        <v>#REF!</v>
      </c>
      <c r="K43" s="18" t="e">
        <f t="shared" si="1"/>
        <v>#REF!</v>
      </c>
      <c r="L43" s="20"/>
      <c r="M43" s="16"/>
      <c r="N43" s="16"/>
      <c r="O43" s="16"/>
      <c r="P43" s="16"/>
      <c r="Q43" s="16"/>
      <c r="R43" s="16"/>
      <c r="S43" s="16"/>
      <c r="T43" s="16"/>
      <c r="U43" s="16"/>
      <c r="V43" s="16"/>
      <c r="W43" s="16"/>
      <c r="X43" s="16"/>
      <c r="Y43" s="16"/>
      <c r="Z43" s="16"/>
    </row>
    <row r="44" spans="1:26" ht="25.5" customHeight="1">
      <c r="A44" s="21" t="e">
        <f>#REF!</f>
        <v>#REF!</v>
      </c>
      <c r="B44" s="11"/>
      <c r="C44" s="17"/>
      <c r="D44" s="22" t="e">
        <f t="shared" si="0"/>
        <v>#REF!</v>
      </c>
      <c r="E44" s="14" t="e">
        <f>#REF!</f>
        <v>#REF!</v>
      </c>
      <c r="F44" s="14" t="e">
        <f>#REF!</f>
        <v>#REF!</v>
      </c>
      <c r="G44" s="14" t="e">
        <f>#REF!</f>
        <v>#REF!</v>
      </c>
      <c r="H44" s="14" t="e">
        <f>#REF!</f>
        <v>#REF!</v>
      </c>
      <c r="I44" s="14" t="e">
        <f>#REF!</f>
        <v>#REF!</v>
      </c>
      <c r="J44" s="14" t="e">
        <f>#REF!</f>
        <v>#REF!</v>
      </c>
      <c r="K44" s="18" t="e">
        <f t="shared" si="1"/>
        <v>#REF!</v>
      </c>
      <c r="L44" s="20"/>
      <c r="M44" s="16"/>
      <c r="N44" s="16"/>
      <c r="O44" s="16"/>
      <c r="P44" s="16"/>
      <c r="Q44" s="16"/>
      <c r="R44" s="16"/>
      <c r="S44" s="16"/>
      <c r="T44" s="16"/>
      <c r="U44" s="16"/>
      <c r="V44" s="16"/>
      <c r="W44" s="16"/>
      <c r="X44" s="16"/>
      <c r="Y44" s="16"/>
      <c r="Z44" s="16"/>
    </row>
    <row r="45" spans="1:26" ht="25.5" customHeight="1">
      <c r="A45" s="21" t="e">
        <f>#REF!</f>
        <v>#REF!</v>
      </c>
      <c r="B45" s="11" t="s">
        <v>40</v>
      </c>
      <c r="C45" s="17"/>
      <c r="D45" s="22" t="e">
        <f t="shared" si="0"/>
        <v>#REF!</v>
      </c>
      <c r="E45" s="14" t="e">
        <f>#REF!</f>
        <v>#REF!</v>
      </c>
      <c r="F45" s="14" t="e">
        <f>#REF!</f>
        <v>#REF!</v>
      </c>
      <c r="G45" s="14" t="e">
        <f>#REF!</f>
        <v>#REF!</v>
      </c>
      <c r="H45" s="14" t="e">
        <f>#REF!</f>
        <v>#REF!</v>
      </c>
      <c r="I45" s="14" t="e">
        <f>#REF!</f>
        <v>#REF!</v>
      </c>
      <c r="J45" s="14" t="e">
        <f>#REF!</f>
        <v>#REF!</v>
      </c>
      <c r="K45" s="18" t="e">
        <f t="shared" si="1"/>
        <v>#REF!</v>
      </c>
      <c r="L45" s="20"/>
      <c r="M45" s="16"/>
      <c r="N45" s="16"/>
      <c r="O45" s="16"/>
      <c r="P45" s="16"/>
      <c r="Q45" s="16"/>
      <c r="R45" s="16"/>
      <c r="S45" s="16"/>
      <c r="T45" s="16"/>
      <c r="U45" s="16"/>
      <c r="V45" s="16"/>
      <c r="W45" s="16"/>
      <c r="X45" s="16"/>
      <c r="Y45" s="16"/>
      <c r="Z45" s="16"/>
    </row>
    <row r="46" spans="1:26" ht="25.5" customHeight="1">
      <c r="A46" s="21" t="e">
        <f>#REF!</f>
        <v>#REF!</v>
      </c>
      <c r="B46" s="11" t="s">
        <v>4</v>
      </c>
      <c r="C46" s="17"/>
      <c r="D46" s="22" t="e">
        <f t="shared" si="0"/>
        <v>#REF!</v>
      </c>
      <c r="E46" s="14" t="e">
        <f>#REF!</f>
        <v>#REF!</v>
      </c>
      <c r="F46" s="14" t="e">
        <f>#REF!</f>
        <v>#REF!</v>
      </c>
      <c r="G46" s="14" t="e">
        <f>#REF!</f>
        <v>#REF!</v>
      </c>
      <c r="H46" s="14" t="e">
        <f>#REF!</f>
        <v>#REF!</v>
      </c>
      <c r="I46" s="14" t="e">
        <f>#REF!</f>
        <v>#REF!</v>
      </c>
      <c r="J46" s="14" t="e">
        <f>#REF!</f>
        <v>#REF!</v>
      </c>
      <c r="K46" s="18" t="e">
        <f t="shared" si="1"/>
        <v>#REF!</v>
      </c>
      <c r="L46" s="20"/>
      <c r="M46" s="16"/>
      <c r="N46" s="16"/>
      <c r="O46" s="16"/>
      <c r="P46" s="16"/>
      <c r="Q46" s="16"/>
      <c r="R46" s="16"/>
      <c r="S46" s="16"/>
      <c r="T46" s="16"/>
      <c r="U46" s="16"/>
      <c r="V46" s="16"/>
      <c r="W46" s="16"/>
      <c r="X46" s="16"/>
      <c r="Y46" s="16"/>
      <c r="Z46" s="16"/>
    </row>
    <row r="47" spans="1:26" ht="25.5" customHeight="1">
      <c r="A47" s="21" t="e">
        <f>#REF!</f>
        <v>#REF!</v>
      </c>
      <c r="B47" s="11"/>
      <c r="C47" s="17"/>
      <c r="D47" s="22" t="e">
        <f t="shared" si="0"/>
        <v>#REF!</v>
      </c>
      <c r="E47" s="14" t="e">
        <f>#REF!</f>
        <v>#REF!</v>
      </c>
      <c r="F47" s="14" t="e">
        <f>#REF!</f>
        <v>#REF!</v>
      </c>
      <c r="G47" s="14" t="e">
        <f>#REF!</f>
        <v>#REF!</v>
      </c>
      <c r="H47" s="14" t="e">
        <f>#REF!</f>
        <v>#REF!</v>
      </c>
      <c r="I47" s="14" t="e">
        <f>#REF!</f>
        <v>#REF!</v>
      </c>
      <c r="J47" s="14" t="e">
        <f>#REF!</f>
        <v>#REF!</v>
      </c>
      <c r="K47" s="18" t="e">
        <f t="shared" si="1"/>
        <v>#REF!</v>
      </c>
      <c r="L47" s="20"/>
      <c r="M47" s="16"/>
      <c r="N47" s="16"/>
      <c r="O47" s="16"/>
      <c r="P47" s="16"/>
      <c r="Q47" s="16"/>
      <c r="R47" s="16"/>
      <c r="S47" s="16"/>
      <c r="T47" s="16"/>
      <c r="U47" s="16"/>
      <c r="V47" s="16"/>
      <c r="W47" s="16"/>
      <c r="X47" s="16"/>
      <c r="Y47" s="16"/>
      <c r="Z47" s="16"/>
    </row>
    <row r="48" spans="1:26" ht="25.5" customHeight="1">
      <c r="A48" s="21" t="e">
        <f>#REF!</f>
        <v>#REF!</v>
      </c>
      <c r="B48" s="11" t="s">
        <v>1</v>
      </c>
      <c r="C48" s="17"/>
      <c r="D48" s="22" t="e">
        <f t="shared" si="0"/>
        <v>#REF!</v>
      </c>
      <c r="E48" s="14" t="e">
        <f>#REF!</f>
        <v>#REF!</v>
      </c>
      <c r="F48" s="14" t="e">
        <f>#REF!</f>
        <v>#REF!</v>
      </c>
      <c r="G48" s="14" t="e">
        <f>#REF!</f>
        <v>#REF!</v>
      </c>
      <c r="H48" s="14" t="e">
        <f>#REF!</f>
        <v>#REF!</v>
      </c>
      <c r="I48" s="14" t="e">
        <f>#REF!</f>
        <v>#REF!</v>
      </c>
      <c r="J48" s="14" t="e">
        <f>#REF!</f>
        <v>#REF!</v>
      </c>
      <c r="K48" s="18" t="e">
        <f t="shared" si="1"/>
        <v>#REF!</v>
      </c>
      <c r="L48" s="20"/>
      <c r="M48" s="16"/>
      <c r="N48" s="16"/>
      <c r="O48" s="16"/>
      <c r="P48" s="16"/>
      <c r="Q48" s="16"/>
      <c r="R48" s="16"/>
      <c r="S48" s="16"/>
      <c r="T48" s="16"/>
      <c r="U48" s="16"/>
      <c r="V48" s="16"/>
      <c r="W48" s="16"/>
      <c r="X48" s="16"/>
      <c r="Y48" s="16"/>
      <c r="Z48" s="16"/>
    </row>
    <row r="49" spans="1:26" ht="25.5" customHeight="1">
      <c r="A49" s="21" t="e">
        <f>#REF!</f>
        <v>#REF!</v>
      </c>
      <c r="B49" s="11"/>
      <c r="C49" s="17"/>
      <c r="D49" s="22" t="e">
        <f t="shared" si="0"/>
        <v>#REF!</v>
      </c>
      <c r="E49" s="14" t="e">
        <f>#REF!</f>
        <v>#REF!</v>
      </c>
      <c r="F49" s="14" t="e">
        <f>#REF!</f>
        <v>#REF!</v>
      </c>
      <c r="G49" s="14" t="e">
        <f>#REF!</f>
        <v>#REF!</v>
      </c>
      <c r="H49" s="14" t="e">
        <f>#REF!</f>
        <v>#REF!</v>
      </c>
      <c r="I49" s="14" t="e">
        <f>#REF!</f>
        <v>#REF!</v>
      </c>
      <c r="J49" s="14" t="e">
        <f>#REF!</f>
        <v>#REF!</v>
      </c>
      <c r="K49" s="18" t="e">
        <f t="shared" si="1"/>
        <v>#REF!</v>
      </c>
      <c r="L49" s="20"/>
      <c r="M49" s="16"/>
      <c r="N49" s="16"/>
      <c r="O49" s="16"/>
      <c r="P49" s="16"/>
      <c r="Q49" s="16"/>
      <c r="R49" s="16"/>
      <c r="S49" s="16"/>
      <c r="T49" s="16"/>
      <c r="U49" s="16"/>
      <c r="V49" s="16"/>
      <c r="W49" s="16"/>
      <c r="X49" s="16"/>
      <c r="Y49" s="16"/>
      <c r="Z49" s="16"/>
    </row>
    <row r="50" spans="1:26" ht="25.5" customHeight="1">
      <c r="A50" s="21" t="e">
        <f>#REF!</f>
        <v>#REF!</v>
      </c>
      <c r="B50" s="11"/>
      <c r="C50" s="17"/>
      <c r="D50" s="22" t="e">
        <f t="shared" si="0"/>
        <v>#REF!</v>
      </c>
      <c r="E50" s="14" t="e">
        <f>#REF!</f>
        <v>#REF!</v>
      </c>
      <c r="F50" s="14" t="e">
        <f>#REF!</f>
        <v>#REF!</v>
      </c>
      <c r="G50" s="14" t="e">
        <f>#REF!</f>
        <v>#REF!</v>
      </c>
      <c r="H50" s="14" t="e">
        <f>#REF!</f>
        <v>#REF!</v>
      </c>
      <c r="I50" s="14" t="e">
        <f>#REF!</f>
        <v>#REF!</v>
      </c>
      <c r="J50" s="14" t="e">
        <f>#REF!</f>
        <v>#REF!</v>
      </c>
      <c r="K50" s="18" t="e">
        <f t="shared" si="1"/>
        <v>#REF!</v>
      </c>
      <c r="L50" s="20"/>
      <c r="M50" s="16"/>
      <c r="N50" s="16"/>
      <c r="O50" s="16"/>
      <c r="P50" s="16"/>
      <c r="Q50" s="16"/>
      <c r="R50" s="16"/>
      <c r="S50" s="16"/>
      <c r="T50" s="16"/>
      <c r="U50" s="16"/>
      <c r="V50" s="16"/>
      <c r="W50" s="16"/>
      <c r="X50" s="16"/>
      <c r="Y50" s="16"/>
      <c r="Z50" s="16"/>
    </row>
    <row r="51" spans="1:26" ht="25.5" customHeight="1">
      <c r="A51" s="21" t="e">
        <f>#REF!</f>
        <v>#REF!</v>
      </c>
      <c r="B51" s="11"/>
      <c r="C51" s="17"/>
      <c r="D51" s="22" t="e">
        <f t="shared" si="0"/>
        <v>#REF!</v>
      </c>
      <c r="E51" s="14" t="e">
        <f>#REF!</f>
        <v>#REF!</v>
      </c>
      <c r="F51" s="14" t="e">
        <f>#REF!</f>
        <v>#REF!</v>
      </c>
      <c r="G51" s="14" t="e">
        <f>#REF!</f>
        <v>#REF!</v>
      </c>
      <c r="H51" s="14" t="e">
        <f>#REF!</f>
        <v>#REF!</v>
      </c>
      <c r="I51" s="14" t="e">
        <f>#REF!</f>
        <v>#REF!</v>
      </c>
      <c r="J51" s="14" t="e">
        <f>#REF!</f>
        <v>#REF!</v>
      </c>
      <c r="K51" s="18" t="e">
        <f t="shared" si="1"/>
        <v>#REF!</v>
      </c>
      <c r="L51" s="20"/>
      <c r="M51" s="16"/>
      <c r="N51" s="16"/>
      <c r="O51" s="16"/>
      <c r="P51" s="16"/>
      <c r="Q51" s="16"/>
      <c r="R51" s="16"/>
      <c r="S51" s="16"/>
      <c r="T51" s="16"/>
      <c r="U51" s="16"/>
      <c r="V51" s="16"/>
      <c r="W51" s="16"/>
      <c r="X51" s="16"/>
      <c r="Y51" s="16"/>
      <c r="Z51" s="16"/>
    </row>
    <row r="52" spans="1:26" ht="25.5" customHeight="1">
      <c r="A52" s="21" t="e">
        <f>#REF!</f>
        <v>#REF!</v>
      </c>
      <c r="B52" s="11" t="s">
        <v>41</v>
      </c>
      <c r="C52" s="17"/>
      <c r="D52" s="22" t="e">
        <f t="shared" si="0"/>
        <v>#REF!</v>
      </c>
      <c r="E52" s="14" t="e">
        <f>#REF!</f>
        <v>#REF!</v>
      </c>
      <c r="F52" s="14" t="e">
        <f>#REF!</f>
        <v>#REF!</v>
      </c>
      <c r="G52" s="14" t="e">
        <f>#REF!</f>
        <v>#REF!</v>
      </c>
      <c r="H52" s="14" t="e">
        <f>#REF!</f>
        <v>#REF!</v>
      </c>
      <c r="I52" s="14" t="e">
        <f>#REF!</f>
        <v>#REF!</v>
      </c>
      <c r="J52" s="14" t="e">
        <f>#REF!</f>
        <v>#REF!</v>
      </c>
      <c r="K52" s="18" t="e">
        <f t="shared" si="1"/>
        <v>#REF!</v>
      </c>
      <c r="L52" s="20"/>
      <c r="M52" s="16"/>
      <c r="N52" s="16"/>
      <c r="O52" s="16"/>
      <c r="P52" s="16"/>
      <c r="Q52" s="16"/>
      <c r="R52" s="16"/>
      <c r="S52" s="16"/>
      <c r="T52" s="16"/>
      <c r="U52" s="16"/>
      <c r="V52" s="16"/>
      <c r="W52" s="16"/>
      <c r="X52" s="16"/>
      <c r="Y52" s="16"/>
      <c r="Z52" s="16"/>
    </row>
    <row r="53" spans="1:26" ht="26.25" customHeight="1">
      <c r="A53" s="279" t="s">
        <v>42</v>
      </c>
      <c r="B53" s="24"/>
      <c r="C53" s="24"/>
      <c r="D53" s="24"/>
      <c r="E53" s="281" t="e">
        <f t="shared" ref="E53:K53" si="2">SUM(E5:E52)</f>
        <v>#REF!</v>
      </c>
      <c r="F53" s="281" t="e">
        <f t="shared" si="2"/>
        <v>#REF!</v>
      </c>
      <c r="G53" s="294" t="e">
        <f t="shared" si="2"/>
        <v>#REF!</v>
      </c>
      <c r="H53" s="294" t="e">
        <f t="shared" si="2"/>
        <v>#REF!</v>
      </c>
      <c r="I53" s="294" t="e">
        <f t="shared" si="2"/>
        <v>#REF!</v>
      </c>
      <c r="J53" s="294" t="e">
        <f t="shared" si="2"/>
        <v>#REF!</v>
      </c>
      <c r="K53" s="294" t="e">
        <f t="shared" si="2"/>
        <v>#REF!</v>
      </c>
      <c r="L53" s="283"/>
      <c r="M53" s="16"/>
      <c r="N53" s="16"/>
      <c r="O53" s="16"/>
      <c r="P53" s="16"/>
      <c r="Q53" s="16"/>
      <c r="R53" s="16"/>
      <c r="S53" s="16"/>
      <c r="T53" s="16"/>
      <c r="U53" s="16"/>
      <c r="V53" s="16"/>
      <c r="W53" s="16"/>
      <c r="X53" s="16"/>
      <c r="Y53" s="16"/>
      <c r="Z53" s="16"/>
    </row>
    <row r="54" spans="1:26" ht="26.25" customHeight="1">
      <c r="A54" s="280"/>
      <c r="B54" s="25"/>
      <c r="C54" s="25"/>
      <c r="D54" s="25"/>
      <c r="E54" s="282"/>
      <c r="F54" s="282"/>
      <c r="G54" s="282"/>
      <c r="H54" s="282"/>
      <c r="I54" s="282"/>
      <c r="J54" s="282"/>
      <c r="K54" s="282"/>
      <c r="L54" s="284"/>
      <c r="M54" s="16"/>
      <c r="N54" s="16"/>
      <c r="O54" s="16"/>
      <c r="P54" s="16"/>
      <c r="Q54" s="16"/>
      <c r="R54" s="16"/>
      <c r="S54" s="16"/>
      <c r="T54" s="16"/>
      <c r="U54" s="16"/>
      <c r="V54" s="16"/>
      <c r="W54" s="16"/>
      <c r="X54" s="16"/>
      <c r="Y54" s="16"/>
      <c r="Z54" s="16"/>
    </row>
    <row r="55" spans="1:26" ht="26.25" customHeight="1">
      <c r="A55" s="26"/>
      <c r="B55" s="26"/>
      <c r="C55" s="26"/>
      <c r="D55" s="26"/>
      <c r="E55" s="26"/>
      <c r="F55" s="26"/>
      <c r="G55" s="26"/>
      <c r="H55" s="26"/>
      <c r="I55" s="27" t="e">
        <f>#REF!</f>
        <v>#REF!</v>
      </c>
      <c r="J55" s="26"/>
      <c r="K55" s="285" t="s">
        <v>43</v>
      </c>
      <c r="L55" s="286"/>
      <c r="M55" s="16"/>
      <c r="N55" s="16"/>
      <c r="O55" s="16"/>
      <c r="P55" s="16"/>
      <c r="Q55" s="16"/>
      <c r="R55" s="16"/>
      <c r="S55" s="16"/>
      <c r="T55" s="16"/>
      <c r="U55" s="16"/>
      <c r="V55" s="16"/>
      <c r="W55" s="16"/>
      <c r="X55" s="16"/>
      <c r="Y55" s="16"/>
      <c r="Z55" s="16"/>
    </row>
    <row r="56" spans="1:26" ht="17.25" customHeight="1">
      <c r="A56" s="28"/>
      <c r="B56" s="28"/>
      <c r="C56" s="28"/>
      <c r="D56" s="29"/>
      <c r="E56" s="29"/>
      <c r="F56" s="29"/>
      <c r="G56" s="29"/>
      <c r="H56" s="29"/>
      <c r="I56" s="30" t="e">
        <f>#REF!</f>
        <v>#REF!</v>
      </c>
      <c r="J56" s="29"/>
      <c r="K56" s="31"/>
      <c r="L56" s="9"/>
      <c r="M56" s="9"/>
      <c r="N56" s="9"/>
      <c r="O56" s="9"/>
      <c r="P56" s="9"/>
      <c r="Q56" s="9"/>
      <c r="R56" s="9"/>
      <c r="S56" s="9"/>
      <c r="T56" s="9"/>
      <c r="U56" s="9"/>
      <c r="V56" s="9"/>
      <c r="W56" s="9"/>
      <c r="X56" s="9"/>
      <c r="Y56" s="9"/>
      <c r="Z56" s="9"/>
    </row>
    <row r="57" spans="1:26" ht="17.25" customHeight="1">
      <c r="A57" s="29"/>
      <c r="B57" s="29"/>
      <c r="C57" s="29"/>
      <c r="D57" s="29"/>
      <c r="E57" s="29"/>
      <c r="F57" s="29"/>
      <c r="G57" s="29"/>
      <c r="H57" s="29"/>
      <c r="I57" s="30" t="e">
        <f>#REF!</f>
        <v>#REF!</v>
      </c>
      <c r="J57" s="29"/>
      <c r="K57" s="31"/>
      <c r="L57" s="9"/>
      <c r="M57" s="9"/>
      <c r="N57" s="9"/>
      <c r="O57" s="9"/>
      <c r="P57" s="9"/>
      <c r="Q57" s="9"/>
      <c r="R57" s="9"/>
      <c r="S57" s="9"/>
      <c r="T57" s="9"/>
      <c r="U57" s="9"/>
      <c r="V57" s="9"/>
      <c r="W57" s="9"/>
      <c r="X57" s="9"/>
      <c r="Y57" s="9"/>
      <c r="Z57" s="9"/>
    </row>
    <row r="58" spans="1:26" ht="17.25" customHeight="1">
      <c r="A58" s="3"/>
      <c r="B58" s="3"/>
      <c r="C58" s="3"/>
      <c r="D58" s="3"/>
      <c r="E58" s="3"/>
      <c r="F58" s="3"/>
      <c r="G58" s="3"/>
      <c r="H58" s="3"/>
      <c r="I58" s="3"/>
      <c r="J58" s="3"/>
      <c r="K58" s="4"/>
    </row>
    <row r="59" spans="1:26" ht="17.25" customHeight="1">
      <c r="A59" s="3"/>
      <c r="B59" s="3"/>
      <c r="C59" s="3"/>
      <c r="D59" s="3"/>
      <c r="E59" s="3"/>
      <c r="F59" s="3"/>
      <c r="G59" s="3"/>
      <c r="H59" s="3"/>
      <c r="I59" s="3"/>
      <c r="J59" s="3"/>
      <c r="K59" s="4"/>
    </row>
    <row r="60" spans="1:26" ht="17.25" customHeight="1">
      <c r="A60" s="3"/>
      <c r="B60" s="3"/>
      <c r="C60" s="3"/>
      <c r="D60" s="3"/>
      <c r="E60" s="3"/>
      <c r="F60" s="3"/>
      <c r="G60" s="3"/>
      <c r="H60" s="3"/>
      <c r="I60" s="3"/>
      <c r="J60" s="3"/>
      <c r="K60" s="4"/>
    </row>
    <row r="61" spans="1:26" ht="17.25" customHeight="1">
      <c r="A61" s="3"/>
      <c r="B61" s="3"/>
      <c r="C61" s="3"/>
      <c r="D61" s="3"/>
      <c r="E61" s="3"/>
      <c r="F61" s="3"/>
      <c r="G61" s="3"/>
      <c r="H61" s="3"/>
      <c r="I61" s="3"/>
      <c r="J61" s="3"/>
      <c r="K61" s="4"/>
    </row>
    <row r="62" spans="1:26" ht="17.25" customHeight="1">
      <c r="A62" s="3"/>
      <c r="B62" s="3"/>
      <c r="C62" s="3"/>
      <c r="D62" s="3"/>
      <c r="E62" s="3"/>
      <c r="F62" s="3"/>
      <c r="G62" s="3"/>
      <c r="H62" s="3"/>
      <c r="I62" s="3"/>
      <c r="J62" s="3"/>
      <c r="K62" s="4"/>
    </row>
    <row r="63" spans="1:26" ht="17.25" customHeight="1">
      <c r="A63" s="3"/>
      <c r="B63" s="3"/>
      <c r="C63" s="3"/>
      <c r="D63" s="3"/>
      <c r="E63" s="3"/>
      <c r="F63" s="3"/>
      <c r="G63" s="3"/>
      <c r="H63" s="3"/>
      <c r="I63" s="3"/>
      <c r="J63" s="3"/>
      <c r="K63" s="4"/>
    </row>
    <row r="64" spans="1:26" ht="17.25" customHeight="1">
      <c r="A64" s="3"/>
      <c r="B64" s="3"/>
      <c r="C64" s="3"/>
      <c r="D64" s="3"/>
      <c r="E64" s="3"/>
      <c r="F64" s="3"/>
      <c r="G64" s="3"/>
      <c r="H64" s="3"/>
      <c r="I64" s="3"/>
      <c r="J64" s="3"/>
      <c r="K64" s="4"/>
    </row>
    <row r="65" spans="1:11" ht="17.25" customHeight="1">
      <c r="A65" s="3"/>
      <c r="B65" s="3"/>
      <c r="C65" s="3"/>
      <c r="D65" s="3"/>
      <c r="E65" s="3"/>
      <c r="F65" s="3"/>
      <c r="G65" s="3"/>
      <c r="H65" s="3"/>
      <c r="I65" s="3"/>
      <c r="J65" s="3"/>
      <c r="K65" s="4"/>
    </row>
    <row r="66" spans="1:11" ht="17.25" customHeight="1">
      <c r="A66" s="3"/>
      <c r="B66" s="3"/>
      <c r="C66" s="3"/>
      <c r="D66" s="3"/>
      <c r="E66" s="3"/>
      <c r="F66" s="3"/>
      <c r="G66" s="3"/>
      <c r="H66" s="3"/>
      <c r="I66" s="3"/>
      <c r="J66" s="3"/>
      <c r="K66" s="4"/>
    </row>
    <row r="67" spans="1:11" ht="17.25" customHeight="1">
      <c r="A67" s="3"/>
      <c r="B67" s="3"/>
      <c r="C67" s="3"/>
      <c r="D67" s="3"/>
      <c r="E67" s="3"/>
      <c r="F67" s="3"/>
      <c r="G67" s="3"/>
      <c r="H67" s="3"/>
      <c r="I67" s="3"/>
      <c r="J67" s="3"/>
      <c r="K67" s="4"/>
    </row>
    <row r="68" spans="1:11" ht="17.25" customHeight="1">
      <c r="A68" s="3"/>
      <c r="B68" s="3"/>
      <c r="C68" s="3"/>
      <c r="D68" s="3"/>
      <c r="E68" s="3"/>
      <c r="F68" s="3"/>
      <c r="G68" s="3"/>
      <c r="H68" s="3"/>
      <c r="I68" s="3"/>
      <c r="J68" s="3"/>
      <c r="K68" s="4"/>
    </row>
    <row r="69" spans="1:11" ht="17.25" customHeight="1">
      <c r="A69" s="3"/>
      <c r="B69" s="3"/>
      <c r="C69" s="3"/>
      <c r="D69" s="3"/>
      <c r="E69" s="3"/>
      <c r="F69" s="3"/>
      <c r="G69" s="3"/>
      <c r="H69" s="3"/>
      <c r="I69" s="3"/>
      <c r="J69" s="3"/>
      <c r="K69" s="4"/>
    </row>
    <row r="70" spans="1:11" ht="17.25" customHeight="1">
      <c r="A70" s="3"/>
      <c r="B70" s="3"/>
      <c r="C70" s="3"/>
      <c r="D70" s="3"/>
      <c r="E70" s="3"/>
      <c r="F70" s="3"/>
      <c r="G70" s="3"/>
      <c r="H70" s="3"/>
      <c r="I70" s="3"/>
      <c r="J70" s="3"/>
      <c r="K70" s="4"/>
    </row>
    <row r="71" spans="1:11" ht="17.25" customHeight="1">
      <c r="A71" s="3"/>
      <c r="B71" s="3"/>
      <c r="C71" s="3"/>
      <c r="D71" s="3"/>
      <c r="E71" s="3"/>
      <c r="F71" s="3"/>
      <c r="G71" s="3"/>
      <c r="H71" s="3"/>
      <c r="I71" s="3"/>
      <c r="J71" s="3"/>
      <c r="K71" s="4"/>
    </row>
    <row r="72" spans="1:11" ht="17.25" customHeight="1">
      <c r="A72" s="3"/>
      <c r="B72" s="3"/>
      <c r="C72" s="3"/>
      <c r="D72" s="3"/>
      <c r="E72" s="3"/>
      <c r="F72" s="3"/>
      <c r="G72" s="3"/>
      <c r="H72" s="3"/>
      <c r="I72" s="3"/>
      <c r="J72" s="3"/>
      <c r="K72" s="4"/>
    </row>
    <row r="73" spans="1:11" ht="17.25" customHeight="1">
      <c r="A73" s="3"/>
      <c r="B73" s="3"/>
      <c r="C73" s="3"/>
      <c r="D73" s="3"/>
      <c r="E73" s="3"/>
      <c r="F73" s="3"/>
      <c r="G73" s="3"/>
      <c r="H73" s="3"/>
      <c r="I73" s="3"/>
      <c r="J73" s="3"/>
      <c r="K73" s="4"/>
    </row>
    <row r="74" spans="1:11" ht="17.25" customHeight="1">
      <c r="A74" s="3"/>
      <c r="B74" s="3"/>
      <c r="C74" s="3"/>
      <c r="D74" s="3"/>
      <c r="E74" s="3"/>
      <c r="F74" s="3"/>
      <c r="G74" s="3"/>
      <c r="H74" s="3"/>
      <c r="I74" s="3"/>
      <c r="J74" s="3"/>
      <c r="K74" s="4"/>
    </row>
    <row r="75" spans="1:11" ht="17.25" customHeight="1">
      <c r="A75" s="3"/>
      <c r="B75" s="3"/>
      <c r="C75" s="3"/>
      <c r="D75" s="3"/>
      <c r="E75" s="3"/>
      <c r="F75" s="3"/>
      <c r="G75" s="3"/>
      <c r="H75" s="3"/>
      <c r="I75" s="3"/>
      <c r="J75" s="3"/>
      <c r="K75" s="4"/>
    </row>
    <row r="76" spans="1:11" ht="17.25" customHeight="1">
      <c r="A76" s="3"/>
      <c r="B76" s="3"/>
      <c r="C76" s="3"/>
      <c r="D76" s="3"/>
      <c r="E76" s="3"/>
      <c r="F76" s="3"/>
      <c r="G76" s="3"/>
      <c r="H76" s="3"/>
      <c r="I76" s="3"/>
      <c r="J76" s="3"/>
      <c r="K76" s="4"/>
    </row>
    <row r="77" spans="1:11" ht="17.25" customHeight="1">
      <c r="A77" s="3"/>
      <c r="B77" s="3"/>
      <c r="C77" s="3"/>
      <c r="D77" s="3"/>
      <c r="E77" s="3"/>
      <c r="F77" s="3"/>
      <c r="G77" s="3"/>
      <c r="H77" s="3"/>
      <c r="I77" s="3"/>
      <c r="J77" s="3"/>
      <c r="K77" s="4"/>
    </row>
    <row r="78" spans="1:11" ht="17.25" customHeight="1">
      <c r="A78" s="3"/>
      <c r="B78" s="3"/>
      <c r="C78" s="3"/>
      <c r="D78" s="3"/>
      <c r="E78" s="3"/>
      <c r="F78" s="3"/>
      <c r="G78" s="3"/>
      <c r="H78" s="3"/>
      <c r="I78" s="3"/>
      <c r="J78" s="3"/>
      <c r="K78" s="4"/>
    </row>
    <row r="79" spans="1:11" ht="17.25" customHeight="1">
      <c r="A79" s="3"/>
      <c r="B79" s="3"/>
      <c r="C79" s="3"/>
      <c r="D79" s="3"/>
      <c r="E79" s="3"/>
      <c r="F79" s="3"/>
      <c r="G79" s="3"/>
      <c r="H79" s="3"/>
      <c r="I79" s="3"/>
      <c r="J79" s="3"/>
      <c r="K79" s="4"/>
    </row>
    <row r="80" spans="1:11" ht="17.25" customHeight="1">
      <c r="A80" s="3"/>
      <c r="B80" s="3"/>
      <c r="C80" s="3"/>
      <c r="D80" s="3"/>
      <c r="E80" s="3"/>
      <c r="F80" s="3"/>
      <c r="G80" s="3"/>
      <c r="H80" s="3"/>
      <c r="I80" s="3"/>
      <c r="J80" s="3"/>
      <c r="K80" s="4"/>
    </row>
    <row r="81" spans="1:11" ht="17.25" customHeight="1">
      <c r="A81" s="3"/>
      <c r="B81" s="3"/>
      <c r="C81" s="3"/>
      <c r="D81" s="3"/>
      <c r="E81" s="3"/>
      <c r="F81" s="3"/>
      <c r="G81" s="3"/>
      <c r="H81" s="3"/>
      <c r="I81" s="3"/>
      <c r="J81" s="3"/>
      <c r="K81" s="4"/>
    </row>
    <row r="82" spans="1:11" ht="17.25" customHeight="1">
      <c r="A82" s="3"/>
      <c r="B82" s="3"/>
      <c r="C82" s="3"/>
      <c r="D82" s="3"/>
      <c r="E82" s="3"/>
      <c r="F82" s="3"/>
      <c r="G82" s="3"/>
      <c r="H82" s="3"/>
      <c r="I82" s="3"/>
      <c r="J82" s="3"/>
      <c r="K82" s="4"/>
    </row>
    <row r="83" spans="1:11" ht="17.25" customHeight="1">
      <c r="A83" s="3"/>
      <c r="B83" s="3"/>
      <c r="C83" s="3"/>
      <c r="D83" s="3"/>
      <c r="E83" s="3"/>
      <c r="F83" s="3"/>
      <c r="G83" s="3"/>
      <c r="H83" s="3"/>
      <c r="I83" s="3"/>
      <c r="J83" s="3"/>
      <c r="K83" s="4"/>
    </row>
    <row r="84" spans="1:11" ht="17.25" customHeight="1">
      <c r="A84" s="3"/>
      <c r="B84" s="3"/>
      <c r="C84" s="3"/>
      <c r="D84" s="3"/>
      <c r="E84" s="3"/>
      <c r="F84" s="3"/>
      <c r="G84" s="3"/>
      <c r="H84" s="3"/>
      <c r="I84" s="3"/>
      <c r="J84" s="3"/>
      <c r="K84" s="4"/>
    </row>
    <row r="85" spans="1:11" ht="17.25" customHeight="1">
      <c r="A85" s="3"/>
      <c r="B85" s="3"/>
      <c r="C85" s="3"/>
      <c r="D85" s="3"/>
      <c r="E85" s="3"/>
      <c r="F85" s="3"/>
      <c r="G85" s="3"/>
      <c r="H85" s="3"/>
      <c r="I85" s="3"/>
      <c r="J85" s="3"/>
      <c r="K85" s="4"/>
    </row>
    <row r="86" spans="1:11" ht="17.25" customHeight="1">
      <c r="A86" s="3"/>
      <c r="B86" s="3"/>
      <c r="C86" s="3"/>
      <c r="D86" s="3"/>
      <c r="E86" s="3"/>
      <c r="F86" s="3"/>
      <c r="G86" s="3"/>
      <c r="H86" s="3"/>
      <c r="I86" s="3"/>
      <c r="J86" s="3"/>
      <c r="K86" s="4"/>
    </row>
    <row r="87" spans="1:11" ht="17.25" customHeight="1">
      <c r="A87" s="3"/>
      <c r="B87" s="3"/>
      <c r="C87" s="3"/>
      <c r="D87" s="3"/>
      <c r="E87" s="3"/>
      <c r="F87" s="3"/>
      <c r="G87" s="3"/>
      <c r="H87" s="3"/>
      <c r="I87" s="3"/>
      <c r="J87" s="3"/>
      <c r="K87" s="4"/>
    </row>
    <row r="88" spans="1:11" ht="17.25" customHeight="1">
      <c r="A88" s="3"/>
      <c r="B88" s="3"/>
      <c r="C88" s="3"/>
      <c r="D88" s="3"/>
      <c r="E88" s="3"/>
      <c r="F88" s="3"/>
      <c r="G88" s="3"/>
      <c r="H88" s="3"/>
      <c r="I88" s="3"/>
      <c r="J88" s="3"/>
      <c r="K88" s="4"/>
    </row>
    <row r="89" spans="1:11" ht="17.25" customHeight="1">
      <c r="A89" s="3"/>
      <c r="B89" s="3"/>
      <c r="C89" s="3"/>
      <c r="D89" s="3"/>
      <c r="E89" s="3"/>
      <c r="F89" s="3"/>
      <c r="G89" s="3"/>
      <c r="H89" s="3"/>
      <c r="I89" s="3"/>
      <c r="J89" s="3"/>
      <c r="K89" s="4"/>
    </row>
    <row r="90" spans="1:11" ht="17.25" customHeight="1">
      <c r="A90" s="3"/>
      <c r="B90" s="3"/>
      <c r="C90" s="3"/>
      <c r="D90" s="3"/>
      <c r="E90" s="3"/>
      <c r="F90" s="3"/>
      <c r="G90" s="3"/>
      <c r="H90" s="3"/>
      <c r="I90" s="3"/>
      <c r="J90" s="3"/>
      <c r="K90" s="4"/>
    </row>
    <row r="91" spans="1:11" ht="17.25" customHeight="1">
      <c r="A91" s="3"/>
      <c r="B91" s="3"/>
      <c r="C91" s="3"/>
      <c r="D91" s="3"/>
      <c r="E91" s="3"/>
      <c r="F91" s="3"/>
      <c r="G91" s="3"/>
      <c r="H91" s="3"/>
      <c r="I91" s="3"/>
      <c r="J91" s="3"/>
      <c r="K91" s="4"/>
    </row>
    <row r="92" spans="1:11" ht="17.25" customHeight="1">
      <c r="A92" s="3"/>
      <c r="B92" s="3"/>
      <c r="C92" s="3"/>
      <c r="D92" s="3"/>
      <c r="E92" s="3"/>
      <c r="F92" s="3"/>
      <c r="G92" s="3"/>
      <c r="H92" s="3"/>
      <c r="I92" s="3"/>
      <c r="J92" s="3"/>
      <c r="K92" s="4"/>
    </row>
    <row r="93" spans="1:11" ht="17.25" customHeight="1">
      <c r="A93" s="3"/>
      <c r="B93" s="3"/>
      <c r="C93" s="3"/>
      <c r="D93" s="3"/>
      <c r="E93" s="3"/>
      <c r="F93" s="3"/>
      <c r="G93" s="3"/>
      <c r="H93" s="3"/>
      <c r="I93" s="3"/>
      <c r="J93" s="3"/>
      <c r="K93" s="4"/>
    </row>
    <row r="94" spans="1:11" ht="17.25" customHeight="1">
      <c r="A94" s="3"/>
      <c r="B94" s="3"/>
      <c r="C94" s="3"/>
      <c r="D94" s="3"/>
      <c r="E94" s="3"/>
      <c r="F94" s="3"/>
      <c r="G94" s="3"/>
      <c r="H94" s="3"/>
      <c r="I94" s="3"/>
      <c r="J94" s="3"/>
      <c r="K94" s="4"/>
    </row>
    <row r="95" spans="1:11" ht="17.25" customHeight="1">
      <c r="A95" s="3"/>
      <c r="B95" s="3"/>
      <c r="C95" s="3"/>
      <c r="D95" s="3"/>
      <c r="E95" s="3"/>
      <c r="F95" s="3"/>
      <c r="G95" s="3"/>
      <c r="H95" s="3"/>
      <c r="I95" s="3"/>
      <c r="J95" s="3"/>
      <c r="K95" s="4"/>
    </row>
    <row r="96" spans="1:11" ht="17.25" customHeight="1">
      <c r="A96" s="3"/>
      <c r="B96" s="3"/>
      <c r="C96" s="3"/>
      <c r="D96" s="3"/>
      <c r="E96" s="3"/>
      <c r="F96" s="3"/>
      <c r="G96" s="3"/>
      <c r="H96" s="3"/>
      <c r="I96" s="3"/>
      <c r="J96" s="3"/>
      <c r="K96" s="4"/>
    </row>
    <row r="97" spans="1:11" ht="17.25" customHeight="1">
      <c r="A97" s="3"/>
      <c r="B97" s="3"/>
      <c r="C97" s="3"/>
      <c r="D97" s="3"/>
      <c r="E97" s="3"/>
      <c r="F97" s="3"/>
      <c r="G97" s="3"/>
      <c r="H97" s="3"/>
      <c r="I97" s="3"/>
      <c r="J97" s="3"/>
      <c r="K97" s="4"/>
    </row>
    <row r="98" spans="1:11" ht="17.25" customHeight="1">
      <c r="A98" s="3"/>
      <c r="B98" s="3"/>
      <c r="C98" s="3"/>
      <c r="D98" s="3"/>
      <c r="E98" s="3"/>
      <c r="F98" s="3"/>
      <c r="G98" s="3"/>
      <c r="H98" s="3"/>
      <c r="I98" s="3"/>
      <c r="J98" s="3"/>
      <c r="K98" s="4"/>
    </row>
    <row r="99" spans="1:11" ht="17.25" customHeight="1">
      <c r="A99" s="3"/>
      <c r="B99" s="3"/>
      <c r="C99" s="3"/>
      <c r="D99" s="3"/>
      <c r="E99" s="3"/>
      <c r="F99" s="3"/>
      <c r="G99" s="3"/>
      <c r="H99" s="3"/>
      <c r="I99" s="3"/>
      <c r="J99" s="3"/>
      <c r="K99" s="4"/>
    </row>
    <row r="100" spans="1:11" ht="17.25" customHeight="1">
      <c r="A100" s="3"/>
      <c r="B100" s="3"/>
      <c r="C100" s="3"/>
      <c r="D100" s="3"/>
      <c r="E100" s="3"/>
      <c r="F100" s="3"/>
      <c r="G100" s="3"/>
      <c r="H100" s="3"/>
      <c r="I100" s="3"/>
      <c r="J100" s="3"/>
      <c r="K100" s="4"/>
    </row>
    <row r="101" spans="1:11" ht="17.25" customHeight="1">
      <c r="A101" s="3"/>
      <c r="B101" s="3"/>
      <c r="C101" s="3"/>
      <c r="D101" s="3"/>
      <c r="E101" s="3"/>
      <c r="F101" s="3"/>
      <c r="G101" s="3"/>
      <c r="H101" s="3"/>
      <c r="I101" s="3"/>
      <c r="J101" s="3"/>
      <c r="K101" s="4"/>
    </row>
    <row r="102" spans="1:11" ht="17.25" customHeight="1">
      <c r="A102" s="3"/>
      <c r="B102" s="3"/>
      <c r="C102" s="3"/>
      <c r="D102" s="3"/>
      <c r="E102" s="3"/>
      <c r="F102" s="3"/>
      <c r="G102" s="3"/>
      <c r="H102" s="3"/>
      <c r="I102" s="3"/>
      <c r="J102" s="3"/>
      <c r="K102" s="4"/>
    </row>
    <row r="103" spans="1:11" ht="17.25" customHeight="1">
      <c r="A103" s="3"/>
      <c r="B103" s="3"/>
      <c r="C103" s="3"/>
      <c r="D103" s="3"/>
      <c r="E103" s="3"/>
      <c r="F103" s="3"/>
      <c r="G103" s="3"/>
      <c r="H103" s="3"/>
      <c r="I103" s="3"/>
      <c r="J103" s="3"/>
      <c r="K103" s="4"/>
    </row>
    <row r="104" spans="1:11" ht="17.25" customHeight="1">
      <c r="A104" s="3"/>
      <c r="B104" s="3"/>
      <c r="C104" s="3"/>
      <c r="D104" s="3"/>
      <c r="E104" s="3"/>
      <c r="F104" s="3"/>
      <c r="G104" s="3"/>
      <c r="H104" s="3"/>
      <c r="I104" s="3"/>
      <c r="J104" s="3"/>
      <c r="K104" s="4"/>
    </row>
    <row r="105" spans="1:11" ht="17.25" customHeight="1">
      <c r="A105" s="3"/>
      <c r="B105" s="3"/>
      <c r="C105" s="3"/>
      <c r="D105" s="3"/>
      <c r="E105" s="3"/>
      <c r="F105" s="3"/>
      <c r="G105" s="3"/>
      <c r="H105" s="3"/>
      <c r="I105" s="3"/>
      <c r="J105" s="3"/>
      <c r="K105" s="4"/>
    </row>
    <row r="106" spans="1:11" ht="17.25" customHeight="1">
      <c r="A106" s="3"/>
      <c r="B106" s="3"/>
      <c r="C106" s="3"/>
      <c r="D106" s="3"/>
      <c r="E106" s="3"/>
      <c r="F106" s="3"/>
      <c r="G106" s="3"/>
      <c r="H106" s="3"/>
      <c r="I106" s="3"/>
      <c r="J106" s="3"/>
      <c r="K106" s="4"/>
    </row>
    <row r="107" spans="1:11" ht="17.25" customHeight="1">
      <c r="A107" s="3"/>
      <c r="B107" s="3"/>
      <c r="C107" s="3"/>
      <c r="D107" s="3"/>
      <c r="E107" s="3"/>
      <c r="F107" s="3"/>
      <c r="G107" s="3"/>
      <c r="H107" s="3"/>
      <c r="I107" s="3"/>
      <c r="J107" s="3"/>
      <c r="K107" s="4"/>
    </row>
    <row r="108" spans="1:11" ht="17.25" customHeight="1">
      <c r="A108" s="3"/>
      <c r="B108" s="3"/>
      <c r="C108" s="3"/>
      <c r="D108" s="3"/>
      <c r="E108" s="3"/>
      <c r="F108" s="3"/>
      <c r="G108" s="3"/>
      <c r="H108" s="3"/>
      <c r="I108" s="3"/>
      <c r="J108" s="3"/>
      <c r="K108" s="4"/>
    </row>
    <row r="109" spans="1:11" ht="17.25" customHeight="1">
      <c r="A109" s="3"/>
      <c r="B109" s="3"/>
      <c r="C109" s="3"/>
      <c r="D109" s="3"/>
      <c r="E109" s="3"/>
      <c r="F109" s="3"/>
      <c r="G109" s="3"/>
      <c r="H109" s="3"/>
      <c r="I109" s="3"/>
      <c r="J109" s="3"/>
      <c r="K109" s="4"/>
    </row>
    <row r="110" spans="1:11" ht="17.25" customHeight="1">
      <c r="A110" s="3"/>
      <c r="B110" s="3"/>
      <c r="C110" s="3"/>
      <c r="D110" s="3"/>
      <c r="E110" s="3"/>
      <c r="F110" s="3"/>
      <c r="G110" s="3"/>
      <c r="H110" s="3"/>
      <c r="I110" s="3"/>
      <c r="J110" s="3"/>
      <c r="K110" s="4"/>
    </row>
    <row r="111" spans="1:11" ht="17.25" customHeight="1">
      <c r="A111" s="3"/>
      <c r="B111" s="3"/>
      <c r="C111" s="3"/>
      <c r="D111" s="3"/>
      <c r="E111" s="3"/>
      <c r="F111" s="3"/>
      <c r="G111" s="3"/>
      <c r="H111" s="3"/>
      <c r="I111" s="3"/>
      <c r="J111" s="3"/>
      <c r="K111" s="4"/>
    </row>
    <row r="112" spans="1:11" ht="17.25" customHeight="1">
      <c r="A112" s="3"/>
      <c r="B112" s="3"/>
      <c r="C112" s="3"/>
      <c r="D112" s="3"/>
      <c r="E112" s="3"/>
      <c r="F112" s="3"/>
      <c r="G112" s="3"/>
      <c r="H112" s="3"/>
      <c r="I112" s="3"/>
      <c r="J112" s="3"/>
      <c r="K112" s="4"/>
    </row>
    <row r="113" spans="1:11" ht="17.25" customHeight="1">
      <c r="A113" s="3"/>
      <c r="B113" s="3"/>
      <c r="C113" s="3"/>
      <c r="D113" s="3"/>
      <c r="E113" s="3"/>
      <c r="F113" s="3"/>
      <c r="G113" s="3"/>
      <c r="H113" s="3"/>
      <c r="I113" s="3"/>
      <c r="J113" s="3"/>
      <c r="K113" s="4"/>
    </row>
    <row r="114" spans="1:11" ht="17.25" customHeight="1">
      <c r="A114" s="3"/>
      <c r="B114" s="3"/>
      <c r="C114" s="3"/>
      <c r="D114" s="3"/>
      <c r="E114" s="3"/>
      <c r="F114" s="3"/>
      <c r="G114" s="3"/>
      <c r="H114" s="3"/>
      <c r="I114" s="3"/>
      <c r="J114" s="3"/>
      <c r="K114" s="4"/>
    </row>
    <row r="115" spans="1:11" ht="17.25" customHeight="1">
      <c r="A115" s="3"/>
      <c r="B115" s="3"/>
      <c r="C115" s="3"/>
      <c r="D115" s="3"/>
      <c r="E115" s="3"/>
      <c r="F115" s="3"/>
      <c r="G115" s="3"/>
      <c r="H115" s="3"/>
      <c r="I115" s="3"/>
      <c r="J115" s="3"/>
      <c r="K115" s="4"/>
    </row>
    <row r="116" spans="1:11" ht="17.25" customHeight="1">
      <c r="A116" s="3"/>
      <c r="B116" s="3"/>
      <c r="C116" s="3"/>
      <c r="D116" s="3"/>
      <c r="E116" s="3"/>
      <c r="F116" s="3"/>
      <c r="G116" s="3"/>
      <c r="H116" s="3"/>
      <c r="I116" s="3"/>
      <c r="J116" s="3"/>
      <c r="K116" s="4"/>
    </row>
    <row r="117" spans="1:11" ht="17.25" customHeight="1">
      <c r="A117" s="3"/>
      <c r="B117" s="3"/>
      <c r="C117" s="3"/>
      <c r="D117" s="3"/>
      <c r="E117" s="3"/>
      <c r="F117" s="3"/>
      <c r="G117" s="3"/>
      <c r="H117" s="3"/>
      <c r="I117" s="3"/>
      <c r="J117" s="3"/>
      <c r="K117" s="4"/>
    </row>
    <row r="118" spans="1:11" ht="17.25" customHeight="1">
      <c r="A118" s="3"/>
      <c r="B118" s="3"/>
      <c r="C118" s="3"/>
      <c r="D118" s="3"/>
      <c r="E118" s="3"/>
      <c r="F118" s="3"/>
      <c r="G118" s="3"/>
      <c r="H118" s="3"/>
      <c r="I118" s="3"/>
      <c r="J118" s="3"/>
      <c r="K118" s="4"/>
    </row>
    <row r="119" spans="1:11" ht="17.25" customHeight="1">
      <c r="A119" s="3"/>
      <c r="B119" s="3"/>
      <c r="C119" s="3"/>
      <c r="D119" s="3"/>
      <c r="E119" s="3"/>
      <c r="F119" s="3"/>
      <c r="G119" s="3"/>
      <c r="H119" s="3"/>
      <c r="I119" s="3"/>
      <c r="J119" s="3"/>
      <c r="K119" s="4"/>
    </row>
    <row r="120" spans="1:11" ht="17.25" customHeight="1">
      <c r="A120" s="3"/>
      <c r="B120" s="3"/>
      <c r="C120" s="3"/>
      <c r="D120" s="3"/>
      <c r="E120" s="3"/>
      <c r="F120" s="3"/>
      <c r="G120" s="3"/>
      <c r="H120" s="3"/>
      <c r="I120" s="3"/>
      <c r="J120" s="3"/>
      <c r="K120" s="4"/>
    </row>
    <row r="121" spans="1:11" ht="17.25" customHeight="1">
      <c r="A121" s="3"/>
      <c r="B121" s="3"/>
      <c r="C121" s="3"/>
      <c r="D121" s="3"/>
      <c r="E121" s="3"/>
      <c r="F121" s="3"/>
      <c r="G121" s="3"/>
      <c r="H121" s="3"/>
      <c r="I121" s="3"/>
      <c r="J121" s="3"/>
      <c r="K121" s="4"/>
    </row>
    <row r="122" spans="1:11" ht="17.25" customHeight="1">
      <c r="A122" s="3"/>
      <c r="B122" s="3"/>
      <c r="C122" s="3"/>
      <c r="D122" s="3"/>
      <c r="E122" s="3"/>
      <c r="F122" s="3"/>
      <c r="G122" s="3"/>
      <c r="H122" s="3"/>
      <c r="I122" s="3"/>
      <c r="J122" s="3"/>
      <c r="K122" s="4"/>
    </row>
    <row r="123" spans="1:11" ht="17.25" customHeight="1">
      <c r="A123" s="3"/>
      <c r="B123" s="3"/>
      <c r="C123" s="3"/>
      <c r="D123" s="3"/>
      <c r="E123" s="3"/>
      <c r="F123" s="3"/>
      <c r="G123" s="3"/>
      <c r="H123" s="3"/>
      <c r="I123" s="3"/>
      <c r="J123" s="3"/>
      <c r="K123" s="4"/>
    </row>
    <row r="124" spans="1:11" ht="17.25" customHeight="1">
      <c r="A124" s="3"/>
      <c r="B124" s="3"/>
      <c r="C124" s="3"/>
      <c r="D124" s="3"/>
      <c r="E124" s="3"/>
      <c r="F124" s="3"/>
      <c r="G124" s="3"/>
      <c r="H124" s="3"/>
      <c r="I124" s="3"/>
      <c r="J124" s="3"/>
      <c r="K124" s="4"/>
    </row>
    <row r="125" spans="1:11" ht="17.25" customHeight="1">
      <c r="A125" s="3"/>
      <c r="B125" s="3"/>
      <c r="C125" s="3"/>
      <c r="D125" s="3"/>
      <c r="E125" s="3"/>
      <c r="F125" s="3"/>
      <c r="G125" s="3"/>
      <c r="H125" s="3"/>
      <c r="I125" s="3"/>
      <c r="J125" s="3"/>
      <c r="K125" s="4"/>
    </row>
    <row r="126" spans="1:11" ht="17.25" customHeight="1">
      <c r="A126" s="3"/>
      <c r="B126" s="3"/>
      <c r="C126" s="3"/>
      <c r="D126" s="3"/>
      <c r="E126" s="3"/>
      <c r="F126" s="3"/>
      <c r="G126" s="3"/>
      <c r="H126" s="3"/>
      <c r="I126" s="3"/>
      <c r="J126" s="3"/>
      <c r="K126" s="4"/>
    </row>
    <row r="127" spans="1:11" ht="17.25" customHeight="1">
      <c r="A127" s="3"/>
      <c r="B127" s="3"/>
      <c r="C127" s="3"/>
      <c r="D127" s="3"/>
      <c r="E127" s="3"/>
      <c r="F127" s="3"/>
      <c r="G127" s="3"/>
      <c r="H127" s="3"/>
      <c r="I127" s="3"/>
      <c r="J127" s="3"/>
      <c r="K127" s="4"/>
    </row>
    <row r="128" spans="1:11" ht="17.25" customHeight="1">
      <c r="A128" s="3"/>
      <c r="B128" s="3"/>
      <c r="C128" s="3"/>
      <c r="D128" s="3"/>
      <c r="E128" s="3"/>
      <c r="F128" s="3"/>
      <c r="G128" s="3"/>
      <c r="H128" s="3"/>
      <c r="I128" s="3"/>
      <c r="J128" s="3"/>
      <c r="K128" s="4"/>
    </row>
    <row r="129" spans="1:11" ht="17.25" customHeight="1">
      <c r="A129" s="3"/>
      <c r="B129" s="3"/>
      <c r="C129" s="3"/>
      <c r="D129" s="3"/>
      <c r="E129" s="3"/>
      <c r="F129" s="3"/>
      <c r="G129" s="3"/>
      <c r="H129" s="3"/>
      <c r="I129" s="3"/>
      <c r="J129" s="3"/>
      <c r="K129" s="4"/>
    </row>
    <row r="130" spans="1:11" ht="17.25" customHeight="1">
      <c r="A130" s="3"/>
      <c r="B130" s="3"/>
      <c r="C130" s="3"/>
      <c r="D130" s="3"/>
      <c r="E130" s="3"/>
      <c r="F130" s="3"/>
      <c r="G130" s="3"/>
      <c r="H130" s="3"/>
      <c r="I130" s="3"/>
      <c r="J130" s="3"/>
      <c r="K130" s="4"/>
    </row>
    <row r="131" spans="1:11" ht="17.25" customHeight="1">
      <c r="A131" s="3"/>
      <c r="B131" s="3"/>
      <c r="C131" s="3"/>
      <c r="D131" s="3"/>
      <c r="E131" s="3"/>
      <c r="F131" s="3"/>
      <c r="G131" s="3"/>
      <c r="H131" s="3"/>
      <c r="I131" s="3"/>
      <c r="J131" s="3"/>
      <c r="K131" s="4"/>
    </row>
    <row r="132" spans="1:11" ht="17.25" customHeight="1">
      <c r="A132" s="3"/>
      <c r="B132" s="3"/>
      <c r="C132" s="3"/>
      <c r="D132" s="3"/>
      <c r="E132" s="3"/>
      <c r="F132" s="3"/>
      <c r="G132" s="3"/>
      <c r="H132" s="3"/>
      <c r="I132" s="3"/>
      <c r="J132" s="3"/>
      <c r="K132" s="4"/>
    </row>
    <row r="133" spans="1:11" ht="17.25" customHeight="1">
      <c r="A133" s="3"/>
      <c r="B133" s="3"/>
      <c r="C133" s="3"/>
      <c r="D133" s="3"/>
      <c r="E133" s="3"/>
      <c r="F133" s="3"/>
      <c r="G133" s="3"/>
      <c r="H133" s="3"/>
      <c r="I133" s="3"/>
      <c r="J133" s="3"/>
      <c r="K133" s="4"/>
    </row>
    <row r="134" spans="1:11" ht="17.25" customHeight="1">
      <c r="A134" s="3"/>
      <c r="B134" s="3"/>
      <c r="C134" s="3"/>
      <c r="D134" s="3"/>
      <c r="E134" s="3"/>
      <c r="F134" s="3"/>
      <c r="G134" s="3"/>
      <c r="H134" s="3"/>
      <c r="I134" s="3"/>
      <c r="J134" s="3"/>
      <c r="K134" s="4"/>
    </row>
    <row r="135" spans="1:11" ht="17.25" customHeight="1">
      <c r="A135" s="3"/>
      <c r="B135" s="3"/>
      <c r="C135" s="3"/>
      <c r="D135" s="3"/>
      <c r="E135" s="3"/>
      <c r="F135" s="3"/>
      <c r="G135" s="3"/>
      <c r="H135" s="3"/>
      <c r="I135" s="3"/>
      <c r="J135" s="3"/>
      <c r="K135" s="4"/>
    </row>
    <row r="136" spans="1:11" ht="17.25" customHeight="1">
      <c r="A136" s="3"/>
      <c r="B136" s="3"/>
      <c r="C136" s="3"/>
      <c r="D136" s="3"/>
      <c r="E136" s="3"/>
      <c r="F136" s="3"/>
      <c r="G136" s="3"/>
      <c r="H136" s="3"/>
      <c r="I136" s="3"/>
      <c r="J136" s="3"/>
      <c r="K136" s="4"/>
    </row>
    <row r="137" spans="1:11" ht="17.25" customHeight="1">
      <c r="A137" s="3"/>
      <c r="B137" s="3"/>
      <c r="C137" s="3"/>
      <c r="D137" s="3"/>
      <c r="E137" s="3"/>
      <c r="F137" s="3"/>
      <c r="G137" s="3"/>
      <c r="H137" s="3"/>
      <c r="I137" s="3"/>
      <c r="J137" s="3"/>
      <c r="K137" s="4"/>
    </row>
    <row r="138" spans="1:11" ht="17.25" customHeight="1">
      <c r="A138" s="3"/>
      <c r="B138" s="3"/>
      <c r="C138" s="3"/>
      <c r="D138" s="3"/>
      <c r="E138" s="3"/>
      <c r="F138" s="3"/>
      <c r="G138" s="3"/>
      <c r="H138" s="3"/>
      <c r="I138" s="3"/>
      <c r="J138" s="3"/>
      <c r="K138" s="4"/>
    </row>
    <row r="139" spans="1:11" ht="17.25" customHeight="1">
      <c r="A139" s="3"/>
      <c r="B139" s="3"/>
      <c r="C139" s="3"/>
      <c r="D139" s="3"/>
      <c r="E139" s="3"/>
      <c r="F139" s="3"/>
      <c r="G139" s="3"/>
      <c r="H139" s="3"/>
      <c r="I139" s="3"/>
      <c r="J139" s="3"/>
      <c r="K139" s="4"/>
    </row>
    <row r="140" spans="1:11" ht="17.25" customHeight="1">
      <c r="A140" s="3"/>
      <c r="B140" s="3"/>
      <c r="C140" s="3"/>
      <c r="D140" s="3"/>
      <c r="E140" s="3"/>
      <c r="F140" s="3"/>
      <c r="G140" s="3"/>
      <c r="H140" s="3"/>
      <c r="I140" s="3"/>
      <c r="J140" s="3"/>
      <c r="K140" s="4"/>
    </row>
    <row r="141" spans="1:11" ht="17.25" customHeight="1">
      <c r="A141" s="3"/>
      <c r="B141" s="3"/>
      <c r="C141" s="3"/>
      <c r="D141" s="3"/>
      <c r="E141" s="3"/>
      <c r="F141" s="3"/>
      <c r="G141" s="3"/>
      <c r="H141" s="3"/>
      <c r="I141" s="3"/>
      <c r="J141" s="3"/>
      <c r="K141" s="4"/>
    </row>
    <row r="142" spans="1:11" ht="17.25" customHeight="1">
      <c r="A142" s="3"/>
      <c r="B142" s="3"/>
      <c r="C142" s="3"/>
      <c r="D142" s="3"/>
      <c r="E142" s="3"/>
      <c r="F142" s="3"/>
      <c r="G142" s="3"/>
      <c r="H142" s="3"/>
      <c r="I142" s="3"/>
      <c r="J142" s="3"/>
      <c r="K142" s="4"/>
    </row>
    <row r="143" spans="1:11" ht="17.25" customHeight="1">
      <c r="A143" s="3"/>
      <c r="B143" s="3"/>
      <c r="C143" s="3"/>
      <c r="D143" s="3"/>
      <c r="E143" s="3"/>
      <c r="F143" s="3"/>
      <c r="G143" s="3"/>
      <c r="H143" s="3"/>
      <c r="I143" s="3"/>
      <c r="J143" s="3"/>
      <c r="K143" s="4"/>
    </row>
    <row r="144" spans="1:11" ht="17.25" customHeight="1">
      <c r="A144" s="3"/>
      <c r="B144" s="3"/>
      <c r="C144" s="3"/>
      <c r="D144" s="3"/>
      <c r="E144" s="3"/>
      <c r="F144" s="3"/>
      <c r="G144" s="3"/>
      <c r="H144" s="3"/>
      <c r="I144" s="3"/>
      <c r="J144" s="3"/>
      <c r="K144" s="4"/>
    </row>
    <row r="145" spans="1:11" ht="17.25" customHeight="1">
      <c r="A145" s="3"/>
      <c r="B145" s="3"/>
      <c r="C145" s="3"/>
      <c r="D145" s="3"/>
      <c r="E145" s="3"/>
      <c r="F145" s="3"/>
      <c r="G145" s="3"/>
      <c r="H145" s="3"/>
      <c r="I145" s="3"/>
      <c r="J145" s="3"/>
      <c r="K145" s="4"/>
    </row>
    <row r="146" spans="1:11" ht="17.25" customHeight="1">
      <c r="A146" s="3"/>
      <c r="B146" s="3"/>
      <c r="C146" s="3"/>
      <c r="D146" s="3"/>
      <c r="E146" s="3"/>
      <c r="F146" s="3"/>
      <c r="G146" s="3"/>
      <c r="H146" s="3"/>
      <c r="I146" s="3"/>
      <c r="J146" s="3"/>
      <c r="K146" s="4"/>
    </row>
    <row r="147" spans="1:11" ht="17.25" customHeight="1">
      <c r="A147" s="3"/>
      <c r="B147" s="3"/>
      <c r="C147" s="3"/>
      <c r="D147" s="3"/>
      <c r="E147" s="3"/>
      <c r="F147" s="3"/>
      <c r="G147" s="3"/>
      <c r="H147" s="3"/>
      <c r="I147" s="3"/>
      <c r="J147" s="3"/>
      <c r="K147" s="4"/>
    </row>
    <row r="148" spans="1:11" ht="17.25" customHeight="1">
      <c r="A148" s="3"/>
      <c r="B148" s="3"/>
      <c r="C148" s="3"/>
      <c r="D148" s="3"/>
      <c r="E148" s="3"/>
      <c r="F148" s="3"/>
      <c r="G148" s="3"/>
      <c r="H148" s="3"/>
      <c r="I148" s="3"/>
      <c r="J148" s="3"/>
      <c r="K148" s="4"/>
    </row>
    <row r="149" spans="1:11" ht="17.25" customHeight="1">
      <c r="A149" s="3"/>
      <c r="B149" s="3"/>
      <c r="C149" s="3"/>
      <c r="D149" s="3"/>
      <c r="E149" s="3"/>
      <c r="F149" s="3"/>
      <c r="G149" s="3"/>
      <c r="H149" s="3"/>
      <c r="I149" s="3"/>
      <c r="J149" s="3"/>
      <c r="K149" s="4"/>
    </row>
    <row r="150" spans="1:11" ht="17.25" customHeight="1">
      <c r="A150" s="3"/>
      <c r="B150" s="3"/>
      <c r="C150" s="3"/>
      <c r="D150" s="3"/>
      <c r="E150" s="3"/>
      <c r="F150" s="3"/>
      <c r="G150" s="3"/>
      <c r="H150" s="3"/>
      <c r="I150" s="3"/>
      <c r="J150" s="3"/>
      <c r="K150" s="4"/>
    </row>
    <row r="151" spans="1:11" ht="17.25" customHeight="1">
      <c r="A151" s="3"/>
      <c r="B151" s="3"/>
      <c r="C151" s="3"/>
      <c r="D151" s="3"/>
      <c r="E151" s="3"/>
      <c r="F151" s="3"/>
      <c r="G151" s="3"/>
      <c r="H151" s="3"/>
      <c r="I151" s="3"/>
      <c r="J151" s="3"/>
      <c r="K151" s="4"/>
    </row>
    <row r="152" spans="1:11" ht="17.25" customHeight="1">
      <c r="A152" s="3"/>
      <c r="B152" s="3"/>
      <c r="C152" s="3"/>
      <c r="D152" s="3"/>
      <c r="E152" s="3"/>
      <c r="F152" s="3"/>
      <c r="G152" s="3"/>
      <c r="H152" s="3"/>
      <c r="I152" s="3"/>
      <c r="J152" s="3"/>
      <c r="K152" s="4"/>
    </row>
    <row r="153" spans="1:11" ht="17.25" customHeight="1">
      <c r="A153" s="3"/>
      <c r="B153" s="3"/>
      <c r="C153" s="3"/>
      <c r="D153" s="3"/>
      <c r="E153" s="3"/>
      <c r="F153" s="3"/>
      <c r="G153" s="3"/>
      <c r="H153" s="3"/>
      <c r="I153" s="3"/>
      <c r="J153" s="3"/>
      <c r="K153" s="4"/>
    </row>
    <row r="154" spans="1:11" ht="17.25" customHeight="1">
      <c r="A154" s="3"/>
      <c r="B154" s="3"/>
      <c r="C154" s="3"/>
      <c r="D154" s="3"/>
      <c r="E154" s="3"/>
      <c r="F154" s="3"/>
      <c r="G154" s="3"/>
      <c r="H154" s="3"/>
      <c r="I154" s="3"/>
      <c r="J154" s="3"/>
      <c r="K154" s="4"/>
    </row>
    <row r="155" spans="1:11" ht="17.25" customHeight="1">
      <c r="A155" s="3"/>
      <c r="B155" s="3"/>
      <c r="C155" s="3"/>
      <c r="D155" s="3"/>
      <c r="E155" s="3"/>
      <c r="F155" s="3"/>
      <c r="G155" s="3"/>
      <c r="H155" s="3"/>
      <c r="I155" s="3"/>
      <c r="J155" s="3"/>
      <c r="K155" s="4"/>
    </row>
    <row r="156" spans="1:11" ht="17.25" customHeight="1">
      <c r="A156" s="3"/>
      <c r="B156" s="3"/>
      <c r="C156" s="3"/>
      <c r="D156" s="3"/>
      <c r="E156" s="3"/>
      <c r="F156" s="3"/>
      <c r="G156" s="3"/>
      <c r="H156" s="3"/>
      <c r="I156" s="3"/>
      <c r="J156" s="3"/>
      <c r="K156" s="4"/>
    </row>
    <row r="157" spans="1:11" ht="17.25" customHeight="1">
      <c r="A157" s="3"/>
      <c r="B157" s="3"/>
      <c r="C157" s="3"/>
      <c r="D157" s="3"/>
      <c r="E157" s="3"/>
      <c r="F157" s="3"/>
      <c r="G157" s="3"/>
      <c r="H157" s="3"/>
      <c r="I157" s="3"/>
      <c r="J157" s="3"/>
      <c r="K157" s="4"/>
    </row>
    <row r="158" spans="1:11" ht="17.25" customHeight="1">
      <c r="A158" s="3"/>
      <c r="B158" s="3"/>
      <c r="C158" s="3"/>
      <c r="D158" s="3"/>
      <c r="E158" s="3"/>
      <c r="F158" s="3"/>
      <c r="G158" s="3"/>
      <c r="H158" s="3"/>
      <c r="I158" s="3"/>
      <c r="J158" s="3"/>
      <c r="K158" s="4"/>
    </row>
    <row r="159" spans="1:11" ht="17.25" customHeight="1">
      <c r="A159" s="3"/>
      <c r="B159" s="3"/>
      <c r="C159" s="3"/>
      <c r="D159" s="3"/>
      <c r="E159" s="3"/>
      <c r="F159" s="3"/>
      <c r="G159" s="3"/>
      <c r="H159" s="3"/>
      <c r="I159" s="3"/>
      <c r="J159" s="3"/>
      <c r="K159" s="4"/>
    </row>
    <row r="160" spans="1:11" ht="17.25" customHeight="1">
      <c r="A160" s="3"/>
      <c r="B160" s="3"/>
      <c r="C160" s="3"/>
      <c r="D160" s="3"/>
      <c r="E160" s="3"/>
      <c r="F160" s="3"/>
      <c r="G160" s="3"/>
      <c r="H160" s="3"/>
      <c r="I160" s="3"/>
      <c r="J160" s="3"/>
      <c r="K160" s="4"/>
    </row>
    <row r="161" spans="1:11" ht="17.25" customHeight="1">
      <c r="A161" s="3"/>
      <c r="B161" s="3"/>
      <c r="C161" s="3"/>
      <c r="D161" s="3"/>
      <c r="E161" s="3"/>
      <c r="F161" s="3"/>
      <c r="G161" s="3"/>
      <c r="H161" s="3"/>
      <c r="I161" s="3"/>
      <c r="J161" s="3"/>
      <c r="K161" s="4"/>
    </row>
    <row r="162" spans="1:11" ht="17.25" customHeight="1">
      <c r="A162" s="3"/>
      <c r="B162" s="3"/>
      <c r="C162" s="3"/>
      <c r="D162" s="3"/>
      <c r="E162" s="3"/>
      <c r="F162" s="3"/>
      <c r="G162" s="3"/>
      <c r="H162" s="3"/>
      <c r="I162" s="3"/>
      <c r="J162" s="3"/>
      <c r="K162" s="4"/>
    </row>
    <row r="163" spans="1:11" ht="17.25" customHeight="1">
      <c r="A163" s="3"/>
      <c r="B163" s="3"/>
      <c r="C163" s="3"/>
      <c r="D163" s="3"/>
      <c r="E163" s="3"/>
      <c r="F163" s="3"/>
      <c r="G163" s="3"/>
      <c r="H163" s="3"/>
      <c r="I163" s="3"/>
      <c r="J163" s="3"/>
      <c r="K163" s="4"/>
    </row>
    <row r="164" spans="1:11" ht="17.25" customHeight="1">
      <c r="A164" s="3"/>
      <c r="B164" s="3"/>
      <c r="C164" s="3"/>
      <c r="D164" s="3"/>
      <c r="E164" s="3"/>
      <c r="F164" s="3"/>
      <c r="G164" s="3"/>
      <c r="H164" s="3"/>
      <c r="I164" s="3"/>
      <c r="J164" s="3"/>
      <c r="K164" s="4"/>
    </row>
    <row r="165" spans="1:11" ht="17.25" customHeight="1">
      <c r="A165" s="3"/>
      <c r="B165" s="3"/>
      <c r="C165" s="3"/>
      <c r="D165" s="3"/>
      <c r="E165" s="3"/>
      <c r="F165" s="3"/>
      <c r="G165" s="3"/>
      <c r="H165" s="3"/>
      <c r="I165" s="3"/>
      <c r="J165" s="3"/>
      <c r="K165" s="4"/>
    </row>
    <row r="166" spans="1:11" ht="17.25" customHeight="1">
      <c r="A166" s="3"/>
      <c r="B166" s="3"/>
      <c r="C166" s="3"/>
      <c r="D166" s="3"/>
      <c r="E166" s="3"/>
      <c r="F166" s="3"/>
      <c r="G166" s="3"/>
      <c r="H166" s="3"/>
      <c r="I166" s="3"/>
      <c r="J166" s="3"/>
      <c r="K166" s="4"/>
    </row>
    <row r="167" spans="1:11" ht="17.25" customHeight="1">
      <c r="A167" s="3"/>
      <c r="B167" s="3"/>
      <c r="C167" s="3"/>
      <c r="D167" s="3"/>
      <c r="E167" s="3"/>
      <c r="F167" s="3"/>
      <c r="G167" s="3"/>
      <c r="H167" s="3"/>
      <c r="I167" s="3"/>
      <c r="J167" s="3"/>
      <c r="K167" s="4"/>
    </row>
    <row r="168" spans="1:11" ht="17.25" customHeight="1">
      <c r="A168" s="3"/>
      <c r="B168" s="3"/>
      <c r="C168" s="3"/>
      <c r="D168" s="3"/>
      <c r="E168" s="3"/>
      <c r="F168" s="3"/>
      <c r="G168" s="3"/>
      <c r="H168" s="3"/>
      <c r="I168" s="3"/>
      <c r="J168" s="3"/>
      <c r="K168" s="4"/>
    </row>
    <row r="169" spans="1:11" ht="17.25" customHeight="1">
      <c r="A169" s="3"/>
      <c r="B169" s="3"/>
      <c r="C169" s="3"/>
      <c r="D169" s="3"/>
      <c r="E169" s="3"/>
      <c r="F169" s="3"/>
      <c r="G169" s="3"/>
      <c r="H169" s="3"/>
      <c r="I169" s="3"/>
      <c r="J169" s="3"/>
      <c r="K169" s="4"/>
    </row>
    <row r="170" spans="1:11" ht="17.25" customHeight="1">
      <c r="A170" s="3"/>
      <c r="B170" s="3"/>
      <c r="C170" s="3"/>
      <c r="D170" s="3"/>
      <c r="E170" s="3"/>
      <c r="F170" s="3"/>
      <c r="G170" s="3"/>
      <c r="H170" s="3"/>
      <c r="I170" s="3"/>
      <c r="J170" s="3"/>
      <c r="K170" s="4"/>
    </row>
    <row r="171" spans="1:11" ht="17.25" customHeight="1">
      <c r="A171" s="3"/>
      <c r="B171" s="3"/>
      <c r="C171" s="3"/>
      <c r="D171" s="3"/>
      <c r="E171" s="3"/>
      <c r="F171" s="3"/>
      <c r="G171" s="3"/>
      <c r="H171" s="3"/>
      <c r="I171" s="3"/>
      <c r="J171" s="3"/>
      <c r="K171" s="4"/>
    </row>
    <row r="172" spans="1:11" ht="17.25" customHeight="1">
      <c r="A172" s="3"/>
      <c r="B172" s="3"/>
      <c r="C172" s="3"/>
      <c r="D172" s="3"/>
      <c r="E172" s="3"/>
      <c r="F172" s="3"/>
      <c r="G172" s="3"/>
      <c r="H172" s="3"/>
      <c r="I172" s="3"/>
      <c r="J172" s="3"/>
      <c r="K172" s="4"/>
    </row>
    <row r="173" spans="1:11" ht="17.25" customHeight="1">
      <c r="A173" s="3"/>
      <c r="B173" s="3"/>
      <c r="C173" s="3"/>
      <c r="D173" s="3"/>
      <c r="E173" s="3"/>
      <c r="F173" s="3"/>
      <c r="G173" s="3"/>
      <c r="H173" s="3"/>
      <c r="I173" s="3"/>
      <c r="J173" s="3"/>
      <c r="K173" s="4"/>
    </row>
    <row r="174" spans="1:11" ht="17.25" customHeight="1">
      <c r="A174" s="3"/>
      <c r="B174" s="3"/>
      <c r="C174" s="3"/>
      <c r="D174" s="3"/>
      <c r="E174" s="3"/>
      <c r="F174" s="3"/>
      <c r="G174" s="3"/>
      <c r="H174" s="3"/>
      <c r="I174" s="3"/>
      <c r="J174" s="3"/>
      <c r="K174" s="4"/>
    </row>
    <row r="175" spans="1:11" ht="17.25" customHeight="1">
      <c r="A175" s="3"/>
      <c r="B175" s="3"/>
      <c r="C175" s="3"/>
      <c r="D175" s="3"/>
      <c r="E175" s="3"/>
      <c r="F175" s="3"/>
      <c r="G175" s="3"/>
      <c r="H175" s="3"/>
      <c r="I175" s="3"/>
      <c r="J175" s="3"/>
      <c r="K175" s="4"/>
    </row>
    <row r="176" spans="1:11" ht="17.25" customHeight="1">
      <c r="A176" s="3"/>
      <c r="B176" s="3"/>
      <c r="C176" s="3"/>
      <c r="D176" s="3"/>
      <c r="E176" s="3"/>
      <c r="F176" s="3"/>
      <c r="G176" s="3"/>
      <c r="H176" s="3"/>
      <c r="I176" s="3"/>
      <c r="J176" s="3"/>
      <c r="K176" s="4"/>
    </row>
    <row r="177" spans="1:11" ht="17.25" customHeight="1">
      <c r="A177" s="3"/>
      <c r="B177" s="3"/>
      <c r="C177" s="3"/>
      <c r="D177" s="3"/>
      <c r="E177" s="3"/>
      <c r="F177" s="3"/>
      <c r="G177" s="3"/>
      <c r="H177" s="3"/>
      <c r="I177" s="3"/>
      <c r="J177" s="3"/>
      <c r="K177" s="4"/>
    </row>
    <row r="178" spans="1:11" ht="17.25" customHeight="1">
      <c r="A178" s="3"/>
      <c r="B178" s="3"/>
      <c r="C178" s="3"/>
      <c r="D178" s="3"/>
      <c r="E178" s="3"/>
      <c r="F178" s="3"/>
      <c r="G178" s="3"/>
      <c r="H178" s="3"/>
      <c r="I178" s="3"/>
      <c r="J178" s="3"/>
      <c r="K178" s="4"/>
    </row>
    <row r="179" spans="1:11" ht="17.25" customHeight="1">
      <c r="A179" s="3"/>
      <c r="B179" s="3"/>
      <c r="C179" s="3"/>
      <c r="D179" s="3"/>
      <c r="E179" s="3"/>
      <c r="F179" s="3"/>
      <c r="G179" s="3"/>
      <c r="H179" s="3"/>
      <c r="I179" s="3"/>
      <c r="J179" s="3"/>
      <c r="K179" s="4"/>
    </row>
    <row r="180" spans="1:11" ht="17.25" customHeight="1">
      <c r="A180" s="3"/>
      <c r="B180" s="3"/>
      <c r="C180" s="3"/>
      <c r="D180" s="3"/>
      <c r="E180" s="3"/>
      <c r="F180" s="3"/>
      <c r="G180" s="3"/>
      <c r="H180" s="3"/>
      <c r="I180" s="3"/>
      <c r="J180" s="3"/>
      <c r="K180" s="4"/>
    </row>
    <row r="181" spans="1:11" ht="17.25" customHeight="1">
      <c r="A181" s="3"/>
      <c r="B181" s="3"/>
      <c r="C181" s="3"/>
      <c r="D181" s="3"/>
      <c r="E181" s="3"/>
      <c r="F181" s="3"/>
      <c r="G181" s="3"/>
      <c r="H181" s="3"/>
      <c r="I181" s="3"/>
      <c r="J181" s="3"/>
      <c r="K181" s="4"/>
    </row>
    <row r="182" spans="1:11" ht="17.25" customHeight="1">
      <c r="A182" s="3"/>
      <c r="B182" s="3"/>
      <c r="C182" s="3"/>
      <c r="D182" s="3"/>
      <c r="E182" s="3"/>
      <c r="F182" s="3"/>
      <c r="G182" s="3"/>
      <c r="H182" s="3"/>
      <c r="I182" s="3"/>
      <c r="J182" s="3"/>
      <c r="K182" s="4"/>
    </row>
    <row r="183" spans="1:11" ht="17.25" customHeight="1">
      <c r="A183" s="3"/>
      <c r="B183" s="3"/>
      <c r="C183" s="3"/>
      <c r="D183" s="3"/>
      <c r="E183" s="3"/>
      <c r="F183" s="3"/>
      <c r="G183" s="3"/>
      <c r="H183" s="3"/>
      <c r="I183" s="3"/>
      <c r="J183" s="3"/>
      <c r="K183" s="4"/>
    </row>
    <row r="184" spans="1:11" ht="17.25" customHeight="1">
      <c r="A184" s="3"/>
      <c r="B184" s="3"/>
      <c r="C184" s="3"/>
      <c r="D184" s="3"/>
      <c r="E184" s="3"/>
      <c r="F184" s="3"/>
      <c r="G184" s="3"/>
      <c r="H184" s="3"/>
      <c r="I184" s="3"/>
      <c r="J184" s="3"/>
      <c r="K184" s="4"/>
    </row>
    <row r="185" spans="1:11" ht="17.25" customHeight="1">
      <c r="A185" s="3"/>
      <c r="B185" s="3"/>
      <c r="C185" s="3"/>
      <c r="D185" s="3"/>
      <c r="E185" s="3"/>
      <c r="F185" s="3"/>
      <c r="G185" s="3"/>
      <c r="H185" s="3"/>
      <c r="I185" s="3"/>
      <c r="J185" s="3"/>
      <c r="K185" s="4"/>
    </row>
    <row r="186" spans="1:11" ht="17.25" customHeight="1">
      <c r="A186" s="3"/>
      <c r="B186" s="3"/>
      <c r="C186" s="3"/>
      <c r="D186" s="3"/>
      <c r="E186" s="3"/>
      <c r="F186" s="3"/>
      <c r="G186" s="3"/>
      <c r="H186" s="3"/>
      <c r="I186" s="3"/>
      <c r="J186" s="3"/>
      <c r="K186" s="4"/>
    </row>
    <row r="187" spans="1:11" ht="17.25" customHeight="1">
      <c r="A187" s="3"/>
      <c r="B187" s="3"/>
      <c r="C187" s="3"/>
      <c r="D187" s="3"/>
      <c r="E187" s="3"/>
      <c r="F187" s="3"/>
      <c r="G187" s="3"/>
      <c r="H187" s="3"/>
      <c r="I187" s="3"/>
      <c r="J187" s="3"/>
      <c r="K187" s="4"/>
    </row>
    <row r="188" spans="1:11" ht="17.25" customHeight="1">
      <c r="A188" s="3"/>
      <c r="B188" s="3"/>
      <c r="C188" s="3"/>
      <c r="D188" s="3"/>
      <c r="E188" s="3"/>
      <c r="F188" s="3"/>
      <c r="G188" s="3"/>
      <c r="H188" s="3"/>
      <c r="I188" s="3"/>
      <c r="J188" s="3"/>
      <c r="K188" s="4"/>
    </row>
    <row r="189" spans="1:11" ht="17.25" customHeight="1">
      <c r="A189" s="3"/>
      <c r="B189" s="3"/>
      <c r="C189" s="3"/>
      <c r="D189" s="3"/>
      <c r="E189" s="3"/>
      <c r="F189" s="3"/>
      <c r="G189" s="3"/>
      <c r="H189" s="3"/>
      <c r="I189" s="3"/>
      <c r="J189" s="3"/>
      <c r="K189" s="4"/>
    </row>
    <row r="190" spans="1:11" ht="17.25" customHeight="1">
      <c r="A190" s="3"/>
      <c r="B190" s="3"/>
      <c r="C190" s="3"/>
      <c r="D190" s="3"/>
      <c r="E190" s="3"/>
      <c r="F190" s="3"/>
      <c r="G190" s="3"/>
      <c r="H190" s="3"/>
      <c r="I190" s="3"/>
      <c r="J190" s="3"/>
      <c r="K190" s="4"/>
    </row>
    <row r="191" spans="1:11" ht="17.25" customHeight="1">
      <c r="A191" s="3"/>
      <c r="B191" s="3"/>
      <c r="C191" s="3"/>
      <c r="D191" s="3"/>
      <c r="E191" s="3"/>
      <c r="F191" s="3"/>
      <c r="G191" s="3"/>
      <c r="H191" s="3"/>
      <c r="I191" s="3"/>
      <c r="J191" s="3"/>
      <c r="K191" s="4"/>
    </row>
    <row r="192" spans="1:11" ht="17.25" customHeight="1">
      <c r="A192" s="3"/>
      <c r="B192" s="3"/>
      <c r="C192" s="3"/>
      <c r="D192" s="3"/>
      <c r="E192" s="3"/>
      <c r="F192" s="3"/>
      <c r="G192" s="3"/>
      <c r="H192" s="3"/>
      <c r="I192" s="3"/>
      <c r="J192" s="3"/>
      <c r="K192" s="4"/>
    </row>
    <row r="193" spans="1:11" ht="17.25" customHeight="1">
      <c r="A193" s="3"/>
      <c r="B193" s="3"/>
      <c r="C193" s="3"/>
      <c r="D193" s="3"/>
      <c r="E193" s="3"/>
      <c r="F193" s="3"/>
      <c r="G193" s="3"/>
      <c r="H193" s="3"/>
      <c r="I193" s="3"/>
      <c r="J193" s="3"/>
      <c r="K193" s="4"/>
    </row>
    <row r="194" spans="1:11" ht="17.25" customHeight="1">
      <c r="A194" s="3"/>
      <c r="B194" s="3"/>
      <c r="C194" s="3"/>
      <c r="D194" s="3"/>
      <c r="E194" s="3"/>
      <c r="F194" s="3"/>
      <c r="G194" s="3"/>
      <c r="H194" s="3"/>
      <c r="I194" s="3"/>
      <c r="J194" s="3"/>
      <c r="K194" s="4"/>
    </row>
    <row r="195" spans="1:11" ht="17.25" customHeight="1">
      <c r="A195" s="3"/>
      <c r="B195" s="3"/>
      <c r="C195" s="3"/>
      <c r="D195" s="3"/>
      <c r="E195" s="3"/>
      <c r="F195" s="3"/>
      <c r="G195" s="3"/>
      <c r="H195" s="3"/>
      <c r="I195" s="3"/>
      <c r="J195" s="3"/>
      <c r="K195" s="4"/>
    </row>
    <row r="196" spans="1:11" ht="17.25" customHeight="1">
      <c r="A196" s="3"/>
      <c r="B196" s="3"/>
      <c r="C196" s="3"/>
      <c r="D196" s="3"/>
      <c r="E196" s="3"/>
      <c r="F196" s="3"/>
      <c r="G196" s="3"/>
      <c r="H196" s="3"/>
      <c r="I196" s="3"/>
      <c r="J196" s="3"/>
      <c r="K196" s="4"/>
    </row>
    <row r="197" spans="1:11" ht="17.25" customHeight="1">
      <c r="A197" s="3"/>
      <c r="B197" s="3"/>
      <c r="C197" s="3"/>
      <c r="D197" s="3"/>
      <c r="E197" s="3"/>
      <c r="F197" s="3"/>
      <c r="G197" s="3"/>
      <c r="H197" s="3"/>
      <c r="I197" s="3"/>
      <c r="J197" s="3"/>
      <c r="K197" s="4"/>
    </row>
    <row r="198" spans="1:11" ht="17.25" customHeight="1">
      <c r="A198" s="3"/>
      <c r="B198" s="3"/>
      <c r="C198" s="3"/>
      <c r="D198" s="3"/>
      <c r="E198" s="3"/>
      <c r="F198" s="3"/>
      <c r="G198" s="3"/>
      <c r="H198" s="3"/>
      <c r="I198" s="3"/>
      <c r="J198" s="3"/>
      <c r="K198" s="4"/>
    </row>
    <row r="199" spans="1:11" ht="17.25" customHeight="1">
      <c r="A199" s="3"/>
      <c r="B199" s="3"/>
      <c r="C199" s="3"/>
      <c r="D199" s="3"/>
      <c r="E199" s="3"/>
      <c r="F199" s="3"/>
      <c r="G199" s="3"/>
      <c r="H199" s="3"/>
      <c r="I199" s="3"/>
      <c r="J199" s="3"/>
      <c r="K199" s="4"/>
    </row>
    <row r="200" spans="1:11" ht="17.25" customHeight="1">
      <c r="A200" s="3"/>
      <c r="B200" s="3"/>
      <c r="C200" s="3"/>
      <c r="D200" s="3"/>
      <c r="E200" s="3"/>
      <c r="F200" s="3"/>
      <c r="G200" s="3"/>
      <c r="H200" s="3"/>
      <c r="I200" s="3"/>
      <c r="J200" s="3"/>
      <c r="K200" s="4"/>
    </row>
    <row r="201" spans="1:11" ht="17.25" customHeight="1">
      <c r="A201" s="3"/>
      <c r="B201" s="3"/>
      <c r="C201" s="3"/>
      <c r="D201" s="3"/>
      <c r="E201" s="3"/>
      <c r="F201" s="3"/>
      <c r="G201" s="3"/>
      <c r="H201" s="3"/>
      <c r="I201" s="3"/>
      <c r="J201" s="3"/>
      <c r="K201" s="4"/>
    </row>
    <row r="202" spans="1:11" ht="17.25" customHeight="1">
      <c r="A202" s="3"/>
      <c r="B202" s="3"/>
      <c r="C202" s="3"/>
      <c r="D202" s="3"/>
      <c r="E202" s="3"/>
      <c r="F202" s="3"/>
      <c r="G202" s="3"/>
      <c r="H202" s="3"/>
      <c r="I202" s="3"/>
      <c r="J202" s="3"/>
      <c r="K202" s="4"/>
    </row>
    <row r="203" spans="1:11" ht="17.25" customHeight="1">
      <c r="A203" s="3"/>
      <c r="B203" s="3"/>
      <c r="C203" s="3"/>
      <c r="D203" s="3"/>
      <c r="E203" s="3"/>
      <c r="F203" s="3"/>
      <c r="G203" s="3"/>
      <c r="H203" s="3"/>
      <c r="I203" s="3"/>
      <c r="J203" s="3"/>
      <c r="K203" s="4"/>
    </row>
    <row r="204" spans="1:11" ht="17.25" customHeight="1">
      <c r="A204" s="3"/>
      <c r="B204" s="3"/>
      <c r="C204" s="3"/>
      <c r="D204" s="3"/>
      <c r="E204" s="3"/>
      <c r="F204" s="3"/>
      <c r="G204" s="3"/>
      <c r="H204" s="3"/>
      <c r="I204" s="3"/>
      <c r="J204" s="3"/>
      <c r="K204" s="4"/>
    </row>
    <row r="205" spans="1:11" ht="17.25" customHeight="1">
      <c r="A205" s="3"/>
      <c r="B205" s="3"/>
      <c r="C205" s="3"/>
      <c r="D205" s="3"/>
      <c r="E205" s="3"/>
      <c r="F205" s="3"/>
      <c r="G205" s="3"/>
      <c r="H205" s="3"/>
      <c r="I205" s="3"/>
      <c r="J205" s="3"/>
      <c r="K205" s="4"/>
    </row>
    <row r="206" spans="1:11" ht="17.25" customHeight="1">
      <c r="A206" s="3"/>
      <c r="B206" s="3"/>
      <c r="C206" s="3"/>
      <c r="D206" s="3"/>
      <c r="E206" s="3"/>
      <c r="F206" s="3"/>
      <c r="G206" s="3"/>
      <c r="H206" s="3"/>
      <c r="I206" s="3"/>
      <c r="J206" s="3"/>
      <c r="K206" s="4"/>
    </row>
    <row r="207" spans="1:11" ht="17.25" customHeight="1">
      <c r="A207" s="3"/>
      <c r="B207" s="3"/>
      <c r="C207" s="3"/>
      <c r="D207" s="3"/>
      <c r="E207" s="3"/>
      <c r="F207" s="3"/>
      <c r="G207" s="3"/>
      <c r="H207" s="3"/>
      <c r="I207" s="3"/>
      <c r="J207" s="3"/>
      <c r="K207" s="4"/>
    </row>
    <row r="208" spans="1:11" ht="17.25" customHeight="1">
      <c r="A208" s="3"/>
      <c r="B208" s="3"/>
      <c r="C208" s="3"/>
      <c r="D208" s="3"/>
      <c r="E208" s="3"/>
      <c r="F208" s="3"/>
      <c r="G208" s="3"/>
      <c r="H208" s="3"/>
      <c r="I208" s="3"/>
      <c r="J208" s="3"/>
      <c r="K208" s="4"/>
    </row>
    <row r="209" spans="1:11" ht="17.25" customHeight="1">
      <c r="A209" s="3"/>
      <c r="B209" s="3"/>
      <c r="C209" s="3"/>
      <c r="D209" s="3"/>
      <c r="E209" s="3"/>
      <c r="F209" s="3"/>
      <c r="G209" s="3"/>
      <c r="H209" s="3"/>
      <c r="I209" s="3"/>
      <c r="J209" s="3"/>
      <c r="K209" s="4"/>
    </row>
    <row r="210" spans="1:11" ht="17.25" customHeight="1">
      <c r="A210" s="3"/>
      <c r="B210" s="3"/>
      <c r="C210" s="3"/>
      <c r="D210" s="3"/>
      <c r="E210" s="3"/>
      <c r="F210" s="3"/>
      <c r="G210" s="3"/>
      <c r="H210" s="3"/>
      <c r="I210" s="3"/>
      <c r="J210" s="3"/>
      <c r="K210" s="4"/>
    </row>
    <row r="211" spans="1:11" ht="17.25" customHeight="1">
      <c r="A211" s="3"/>
      <c r="B211" s="3"/>
      <c r="C211" s="3"/>
      <c r="D211" s="3"/>
      <c r="E211" s="3"/>
      <c r="F211" s="3"/>
      <c r="G211" s="3"/>
      <c r="H211" s="3"/>
      <c r="I211" s="3"/>
      <c r="J211" s="3"/>
      <c r="K211" s="4"/>
    </row>
    <row r="212" spans="1:11" ht="17.25" customHeight="1">
      <c r="A212" s="3"/>
      <c r="B212" s="3"/>
      <c r="C212" s="3"/>
      <c r="D212" s="3"/>
      <c r="E212" s="3"/>
      <c r="F212" s="3"/>
      <c r="G212" s="3"/>
      <c r="H212" s="3"/>
      <c r="I212" s="3"/>
      <c r="J212" s="3"/>
      <c r="K212" s="4"/>
    </row>
    <row r="213" spans="1:11" ht="17.25" customHeight="1">
      <c r="A213" s="3"/>
      <c r="B213" s="3"/>
      <c r="C213" s="3"/>
      <c r="D213" s="3"/>
      <c r="E213" s="3"/>
      <c r="F213" s="3"/>
      <c r="G213" s="3"/>
      <c r="H213" s="3"/>
      <c r="I213" s="3"/>
      <c r="J213" s="3"/>
      <c r="K213" s="4"/>
    </row>
    <row r="214" spans="1:11" ht="17.25" customHeight="1">
      <c r="A214" s="3"/>
      <c r="B214" s="3"/>
      <c r="C214" s="3"/>
      <c r="D214" s="3"/>
      <c r="E214" s="3"/>
      <c r="F214" s="3"/>
      <c r="G214" s="3"/>
      <c r="H214" s="3"/>
      <c r="I214" s="3"/>
      <c r="J214" s="3"/>
      <c r="K214" s="4"/>
    </row>
    <row r="215" spans="1:11" ht="17.25" customHeight="1">
      <c r="A215" s="3"/>
      <c r="B215" s="3"/>
      <c r="C215" s="3"/>
      <c r="D215" s="3"/>
      <c r="E215" s="3"/>
      <c r="F215" s="3"/>
      <c r="G215" s="3"/>
      <c r="H215" s="3"/>
      <c r="I215" s="3"/>
      <c r="J215" s="3"/>
      <c r="K215" s="4"/>
    </row>
    <row r="216" spans="1:11" ht="17.25" customHeight="1">
      <c r="A216" s="3"/>
      <c r="B216" s="3"/>
      <c r="C216" s="3"/>
      <c r="D216" s="3"/>
      <c r="E216" s="3"/>
      <c r="F216" s="3"/>
      <c r="G216" s="3"/>
      <c r="H216" s="3"/>
      <c r="I216" s="3"/>
      <c r="J216" s="3"/>
      <c r="K216" s="4"/>
    </row>
    <row r="217" spans="1:11" ht="17.25" customHeight="1">
      <c r="A217" s="3"/>
      <c r="B217" s="3"/>
      <c r="C217" s="3"/>
      <c r="D217" s="3"/>
      <c r="E217" s="3"/>
      <c r="F217" s="3"/>
      <c r="G217" s="3"/>
      <c r="H217" s="3"/>
      <c r="I217" s="3"/>
      <c r="J217" s="3"/>
      <c r="K217" s="4"/>
    </row>
    <row r="218" spans="1:11" ht="17.25" customHeight="1">
      <c r="A218" s="3"/>
      <c r="B218" s="3"/>
      <c r="C218" s="3"/>
      <c r="D218" s="3"/>
      <c r="E218" s="3"/>
      <c r="F218" s="3"/>
      <c r="G218" s="3"/>
      <c r="H218" s="3"/>
      <c r="I218" s="3"/>
      <c r="J218" s="3"/>
      <c r="K218" s="4"/>
    </row>
    <row r="219" spans="1:11" ht="17.25" customHeight="1">
      <c r="A219" s="3"/>
      <c r="B219" s="3"/>
      <c r="C219" s="3"/>
      <c r="D219" s="3"/>
      <c r="E219" s="3"/>
      <c r="F219" s="3"/>
      <c r="G219" s="3"/>
      <c r="H219" s="3"/>
      <c r="I219" s="3"/>
      <c r="J219" s="3"/>
      <c r="K219" s="4"/>
    </row>
    <row r="220" spans="1:11" ht="17.25" customHeight="1">
      <c r="A220" s="3"/>
      <c r="B220" s="3"/>
      <c r="C220" s="3"/>
      <c r="D220" s="3"/>
      <c r="E220" s="3"/>
      <c r="F220" s="3"/>
      <c r="G220" s="3"/>
      <c r="H220" s="3"/>
      <c r="I220" s="3"/>
      <c r="J220" s="3"/>
      <c r="K220" s="4"/>
    </row>
    <row r="221" spans="1:11" ht="17.25" customHeight="1">
      <c r="A221" s="3"/>
      <c r="B221" s="3"/>
      <c r="C221" s="3"/>
      <c r="D221" s="3"/>
      <c r="E221" s="3"/>
      <c r="F221" s="3"/>
      <c r="G221" s="3"/>
      <c r="H221" s="3"/>
      <c r="I221" s="3"/>
      <c r="J221" s="3"/>
      <c r="K221" s="4"/>
    </row>
    <row r="222" spans="1:11" ht="17.25" customHeight="1">
      <c r="A222" s="3"/>
      <c r="B222" s="3"/>
      <c r="C222" s="3"/>
      <c r="D222" s="3"/>
      <c r="E222" s="3"/>
      <c r="F222" s="3"/>
      <c r="G222" s="3"/>
      <c r="H222" s="3"/>
      <c r="I222" s="3"/>
      <c r="J222" s="3"/>
      <c r="K222" s="4"/>
    </row>
    <row r="223" spans="1:11" ht="17.25" customHeight="1">
      <c r="A223" s="3"/>
      <c r="B223" s="3"/>
      <c r="C223" s="3"/>
      <c r="D223" s="3"/>
      <c r="E223" s="3"/>
      <c r="F223" s="3"/>
      <c r="G223" s="3"/>
      <c r="H223" s="3"/>
      <c r="I223" s="3"/>
      <c r="J223" s="3"/>
      <c r="K223" s="4"/>
    </row>
    <row r="224" spans="1:11" ht="17.25" customHeight="1">
      <c r="A224" s="3"/>
      <c r="B224" s="3"/>
      <c r="C224" s="3"/>
      <c r="D224" s="3"/>
      <c r="E224" s="3"/>
      <c r="F224" s="3"/>
      <c r="G224" s="3"/>
      <c r="H224" s="3"/>
      <c r="I224" s="3"/>
      <c r="J224" s="3"/>
      <c r="K224" s="4"/>
    </row>
    <row r="225" spans="1:11" ht="17.25" customHeight="1">
      <c r="A225" s="3"/>
      <c r="B225" s="3"/>
      <c r="C225" s="3"/>
      <c r="D225" s="3"/>
      <c r="E225" s="3"/>
      <c r="F225" s="3"/>
      <c r="G225" s="3"/>
      <c r="H225" s="3"/>
      <c r="I225" s="3"/>
      <c r="J225" s="3"/>
      <c r="K225" s="4"/>
    </row>
    <row r="226" spans="1:11" ht="17.25" customHeight="1">
      <c r="A226" s="3"/>
      <c r="B226" s="3"/>
      <c r="C226" s="3"/>
      <c r="D226" s="3"/>
      <c r="E226" s="3"/>
      <c r="F226" s="3"/>
      <c r="G226" s="3"/>
      <c r="H226" s="3"/>
      <c r="I226" s="3"/>
      <c r="J226" s="3"/>
      <c r="K226" s="4"/>
    </row>
    <row r="227" spans="1:11" ht="17.25" customHeight="1">
      <c r="A227" s="3"/>
      <c r="B227" s="3"/>
      <c r="C227" s="3"/>
      <c r="D227" s="3"/>
      <c r="E227" s="3"/>
      <c r="F227" s="3"/>
      <c r="G227" s="3"/>
      <c r="H227" s="3"/>
      <c r="I227" s="3"/>
      <c r="J227" s="3"/>
      <c r="K227" s="4"/>
    </row>
    <row r="228" spans="1:11" ht="17.25" customHeight="1">
      <c r="A228" s="3"/>
      <c r="B228" s="3"/>
      <c r="C228" s="3"/>
      <c r="D228" s="3"/>
      <c r="E228" s="3"/>
      <c r="F228" s="3"/>
      <c r="G228" s="3"/>
      <c r="H228" s="3"/>
      <c r="I228" s="3"/>
      <c r="J228" s="3"/>
      <c r="K228" s="4"/>
    </row>
    <row r="229" spans="1:11" ht="17.25" customHeight="1">
      <c r="A229" s="3"/>
      <c r="B229" s="3"/>
      <c r="C229" s="3"/>
      <c r="D229" s="3"/>
      <c r="E229" s="3"/>
      <c r="F229" s="3"/>
      <c r="G229" s="3"/>
      <c r="H229" s="3"/>
      <c r="I229" s="3"/>
      <c r="J229" s="3"/>
      <c r="K229" s="4"/>
    </row>
    <row r="230" spans="1:11" ht="17.25" customHeight="1">
      <c r="A230" s="3"/>
      <c r="B230" s="3"/>
      <c r="C230" s="3"/>
      <c r="D230" s="3"/>
      <c r="E230" s="3"/>
      <c r="F230" s="3"/>
      <c r="G230" s="3"/>
      <c r="H230" s="3"/>
      <c r="I230" s="3"/>
      <c r="J230" s="3"/>
      <c r="K230" s="4"/>
    </row>
    <row r="231" spans="1:11" ht="17.25" customHeight="1">
      <c r="A231" s="3"/>
      <c r="B231" s="3"/>
      <c r="C231" s="3"/>
      <c r="D231" s="3"/>
      <c r="E231" s="3"/>
      <c r="F231" s="3"/>
      <c r="G231" s="3"/>
      <c r="H231" s="3"/>
      <c r="I231" s="3"/>
      <c r="J231" s="3"/>
      <c r="K231" s="4"/>
    </row>
    <row r="232" spans="1:11" ht="17.25" customHeight="1">
      <c r="A232" s="3"/>
      <c r="B232" s="3"/>
      <c r="C232" s="3"/>
      <c r="D232" s="3"/>
      <c r="E232" s="3"/>
      <c r="F232" s="3"/>
      <c r="G232" s="3"/>
      <c r="H232" s="3"/>
      <c r="I232" s="3"/>
      <c r="J232" s="3"/>
      <c r="K232" s="4"/>
    </row>
    <row r="233" spans="1:11" ht="17.25" customHeight="1">
      <c r="A233" s="3"/>
      <c r="B233" s="3"/>
      <c r="C233" s="3"/>
      <c r="D233" s="3"/>
      <c r="E233" s="3"/>
      <c r="F233" s="3"/>
      <c r="G233" s="3"/>
      <c r="H233" s="3"/>
      <c r="I233" s="3"/>
      <c r="J233" s="3"/>
      <c r="K233" s="4"/>
    </row>
    <row r="234" spans="1:11" ht="17.25" customHeight="1">
      <c r="A234" s="3"/>
      <c r="B234" s="3"/>
      <c r="C234" s="3"/>
      <c r="D234" s="3"/>
      <c r="E234" s="3"/>
      <c r="F234" s="3"/>
      <c r="G234" s="3"/>
      <c r="H234" s="3"/>
      <c r="I234" s="3"/>
      <c r="J234" s="3"/>
      <c r="K234" s="4"/>
    </row>
    <row r="235" spans="1:11" ht="17.25" customHeight="1">
      <c r="A235" s="3"/>
      <c r="B235" s="3"/>
      <c r="C235" s="3"/>
      <c r="D235" s="3"/>
      <c r="E235" s="3"/>
      <c r="F235" s="3"/>
      <c r="G235" s="3"/>
      <c r="H235" s="3"/>
      <c r="I235" s="3"/>
      <c r="J235" s="3"/>
      <c r="K235" s="4"/>
    </row>
    <row r="236" spans="1:11" ht="17.25" customHeight="1">
      <c r="A236" s="3"/>
      <c r="B236" s="3"/>
      <c r="C236" s="3"/>
      <c r="D236" s="3"/>
      <c r="E236" s="3"/>
      <c r="F236" s="3"/>
      <c r="G236" s="3"/>
      <c r="H236" s="3"/>
      <c r="I236" s="3"/>
      <c r="J236" s="3"/>
      <c r="K236" s="4"/>
    </row>
    <row r="237" spans="1:11" ht="17.25" customHeight="1">
      <c r="A237" s="3"/>
      <c r="B237" s="3"/>
      <c r="C237" s="3"/>
      <c r="D237" s="3"/>
      <c r="E237" s="3"/>
      <c r="F237" s="3"/>
      <c r="G237" s="3"/>
      <c r="H237" s="3"/>
      <c r="I237" s="3"/>
      <c r="J237" s="3"/>
      <c r="K237" s="4"/>
    </row>
    <row r="238" spans="1:11" ht="17.25" customHeight="1">
      <c r="A238" s="3"/>
      <c r="B238" s="3"/>
      <c r="C238" s="3"/>
      <c r="D238" s="3"/>
      <c r="E238" s="3"/>
      <c r="F238" s="3"/>
      <c r="G238" s="3"/>
      <c r="H238" s="3"/>
      <c r="I238" s="3"/>
      <c r="J238" s="3"/>
      <c r="K238" s="4"/>
    </row>
    <row r="239" spans="1:11" ht="17.25" customHeight="1">
      <c r="A239" s="3"/>
      <c r="B239" s="3"/>
      <c r="C239" s="3"/>
      <c r="D239" s="3"/>
      <c r="E239" s="3"/>
      <c r="F239" s="3"/>
      <c r="G239" s="3"/>
      <c r="H239" s="3"/>
      <c r="I239" s="3"/>
      <c r="J239" s="3"/>
      <c r="K239" s="4"/>
    </row>
    <row r="240" spans="1:11" ht="17.25" customHeight="1">
      <c r="A240" s="3"/>
      <c r="B240" s="3"/>
      <c r="C240" s="3"/>
      <c r="D240" s="3"/>
      <c r="E240" s="3"/>
      <c r="F240" s="3"/>
      <c r="G240" s="3"/>
      <c r="H240" s="3"/>
      <c r="I240" s="3"/>
      <c r="J240" s="3"/>
      <c r="K240" s="4"/>
    </row>
    <row r="241" spans="1:11" ht="17.25" customHeight="1">
      <c r="A241" s="3"/>
      <c r="B241" s="3"/>
      <c r="C241" s="3"/>
      <c r="D241" s="3"/>
      <c r="E241" s="3"/>
      <c r="F241" s="3"/>
      <c r="G241" s="3"/>
      <c r="H241" s="3"/>
      <c r="I241" s="3"/>
      <c r="J241" s="3"/>
      <c r="K241" s="4"/>
    </row>
    <row r="242" spans="1:11" ht="17.25" customHeight="1">
      <c r="A242" s="3"/>
      <c r="B242" s="3"/>
      <c r="C242" s="3"/>
      <c r="D242" s="3"/>
      <c r="E242" s="3"/>
      <c r="F242" s="3"/>
      <c r="G242" s="3"/>
      <c r="H242" s="3"/>
      <c r="I242" s="3"/>
      <c r="J242" s="3"/>
      <c r="K242" s="4"/>
    </row>
    <row r="243" spans="1:11" ht="17.25" customHeight="1">
      <c r="A243" s="3"/>
      <c r="B243" s="3"/>
      <c r="C243" s="3"/>
      <c r="D243" s="3"/>
      <c r="E243" s="3"/>
      <c r="F243" s="3"/>
      <c r="G243" s="3"/>
      <c r="H243" s="3"/>
      <c r="I243" s="3"/>
      <c r="J243" s="3"/>
      <c r="K243" s="4"/>
    </row>
    <row r="244" spans="1:11" ht="17.25" customHeight="1">
      <c r="A244" s="3"/>
      <c r="B244" s="3"/>
      <c r="C244" s="3"/>
      <c r="D244" s="3"/>
      <c r="E244" s="3"/>
      <c r="F244" s="3"/>
      <c r="G244" s="3"/>
      <c r="H244" s="3"/>
      <c r="I244" s="3"/>
      <c r="J244" s="3"/>
      <c r="K244" s="4"/>
    </row>
    <row r="245" spans="1:11" ht="17.25" customHeight="1">
      <c r="A245" s="3"/>
      <c r="B245" s="3"/>
      <c r="C245" s="3"/>
      <c r="D245" s="3"/>
      <c r="E245" s="3"/>
      <c r="F245" s="3"/>
      <c r="G245" s="3"/>
      <c r="H245" s="3"/>
      <c r="I245" s="3"/>
      <c r="J245" s="3"/>
      <c r="K245" s="4"/>
    </row>
    <row r="246" spans="1:11" ht="17.25" customHeight="1">
      <c r="A246" s="3"/>
      <c r="B246" s="3"/>
      <c r="C246" s="3"/>
      <c r="D246" s="3"/>
      <c r="E246" s="3"/>
      <c r="F246" s="3"/>
      <c r="G246" s="3"/>
      <c r="H246" s="3"/>
      <c r="I246" s="3"/>
      <c r="J246" s="3"/>
      <c r="K246" s="4"/>
    </row>
    <row r="247" spans="1:11" ht="17.25" customHeight="1">
      <c r="A247" s="3"/>
      <c r="B247" s="3"/>
      <c r="C247" s="3"/>
      <c r="D247" s="3"/>
      <c r="E247" s="3"/>
      <c r="F247" s="3"/>
      <c r="G247" s="3"/>
      <c r="H247" s="3"/>
      <c r="I247" s="3"/>
      <c r="J247" s="3"/>
      <c r="K247" s="4"/>
    </row>
    <row r="248" spans="1:11" ht="17.25" customHeight="1">
      <c r="A248" s="3"/>
      <c r="B248" s="3"/>
      <c r="C248" s="3"/>
      <c r="D248" s="3"/>
      <c r="E248" s="3"/>
      <c r="F248" s="3"/>
      <c r="G248" s="3"/>
      <c r="H248" s="3"/>
      <c r="I248" s="3"/>
      <c r="J248" s="3"/>
      <c r="K248" s="4"/>
    </row>
    <row r="249" spans="1:11" ht="17.25" customHeight="1">
      <c r="A249" s="3"/>
      <c r="B249" s="3"/>
      <c r="C249" s="3"/>
      <c r="D249" s="3"/>
      <c r="E249" s="3"/>
      <c r="F249" s="3"/>
      <c r="G249" s="3"/>
      <c r="H249" s="3"/>
      <c r="I249" s="3"/>
      <c r="J249" s="3"/>
      <c r="K249" s="4"/>
    </row>
    <row r="250" spans="1:11" ht="17.25" customHeight="1">
      <c r="A250" s="3"/>
      <c r="B250" s="3"/>
      <c r="C250" s="3"/>
      <c r="D250" s="3"/>
      <c r="E250" s="3"/>
      <c r="F250" s="3"/>
      <c r="G250" s="3"/>
      <c r="H250" s="3"/>
      <c r="I250" s="3"/>
      <c r="J250" s="3"/>
      <c r="K250" s="4"/>
    </row>
    <row r="251" spans="1:11" ht="17.25" customHeight="1">
      <c r="A251" s="3"/>
      <c r="B251" s="3"/>
      <c r="C251" s="3"/>
      <c r="D251" s="3"/>
      <c r="E251" s="3"/>
      <c r="F251" s="3"/>
      <c r="G251" s="3"/>
      <c r="H251" s="3"/>
      <c r="I251" s="3"/>
      <c r="J251" s="3"/>
      <c r="K251" s="4"/>
    </row>
    <row r="252" spans="1:11" ht="17.25" customHeight="1">
      <c r="A252" s="3"/>
      <c r="B252" s="3"/>
      <c r="C252" s="3"/>
      <c r="D252" s="3"/>
      <c r="E252" s="3"/>
      <c r="F252" s="3"/>
      <c r="G252" s="3"/>
      <c r="H252" s="3"/>
      <c r="I252" s="3"/>
      <c r="J252" s="3"/>
      <c r="K252" s="4"/>
    </row>
    <row r="253" spans="1:11" ht="17.25" customHeight="1">
      <c r="A253" s="3"/>
      <c r="B253" s="3"/>
      <c r="C253" s="3"/>
      <c r="D253" s="3"/>
      <c r="E253" s="3"/>
      <c r="F253" s="3"/>
      <c r="G253" s="3"/>
      <c r="H253" s="3"/>
      <c r="I253" s="3"/>
      <c r="J253" s="3"/>
      <c r="K253" s="4"/>
    </row>
    <row r="254" spans="1:11" ht="17.25" customHeight="1">
      <c r="A254" s="3"/>
      <c r="B254" s="3"/>
      <c r="C254" s="3"/>
      <c r="D254" s="3"/>
      <c r="E254" s="3"/>
      <c r="F254" s="3"/>
      <c r="G254" s="3"/>
      <c r="H254" s="3"/>
      <c r="I254" s="3"/>
      <c r="J254" s="3"/>
      <c r="K254" s="4"/>
    </row>
    <row r="255" spans="1:11" ht="17.25" customHeight="1">
      <c r="A255" s="3"/>
      <c r="B255" s="3"/>
      <c r="C255" s="3"/>
      <c r="D255" s="3"/>
      <c r="E255" s="3"/>
      <c r="F255" s="3"/>
      <c r="G255" s="3"/>
      <c r="H255" s="3"/>
      <c r="I255" s="3"/>
      <c r="J255" s="3"/>
      <c r="K255" s="4"/>
    </row>
    <row r="256" spans="1:11" ht="17.25" customHeight="1">
      <c r="A256" s="3"/>
      <c r="B256" s="3"/>
      <c r="C256" s="3"/>
      <c r="D256" s="3"/>
      <c r="E256" s="3"/>
      <c r="F256" s="3"/>
      <c r="G256" s="3"/>
      <c r="H256" s="3"/>
      <c r="I256" s="3"/>
      <c r="J256" s="3"/>
      <c r="K256" s="4"/>
    </row>
    <row r="257" spans="1:11" ht="17.25" customHeight="1">
      <c r="A257" s="3"/>
      <c r="B257" s="3"/>
      <c r="C257" s="3"/>
      <c r="D257" s="3"/>
      <c r="E257" s="3"/>
      <c r="F257" s="3"/>
      <c r="G257" s="3"/>
      <c r="H257" s="3"/>
      <c r="I257" s="3"/>
      <c r="J257" s="3"/>
      <c r="K257" s="4"/>
    </row>
    <row r="258" spans="1:11" ht="17.25" customHeight="1">
      <c r="A258" s="3"/>
      <c r="B258" s="3"/>
      <c r="C258" s="3"/>
      <c r="D258" s="3"/>
      <c r="E258" s="3"/>
      <c r="F258" s="3"/>
      <c r="G258" s="3"/>
      <c r="H258" s="3"/>
      <c r="I258" s="3"/>
      <c r="J258" s="3"/>
      <c r="K258" s="4"/>
    </row>
    <row r="259" spans="1:11" ht="17.25" customHeight="1">
      <c r="A259" s="3"/>
      <c r="B259" s="3"/>
      <c r="C259" s="3"/>
      <c r="D259" s="3"/>
      <c r="E259" s="3"/>
      <c r="F259" s="3"/>
      <c r="G259" s="3"/>
      <c r="H259" s="3"/>
      <c r="I259" s="3"/>
      <c r="J259" s="3"/>
      <c r="K259" s="4"/>
    </row>
    <row r="260" spans="1:11" ht="17.25" customHeight="1">
      <c r="A260" s="3"/>
      <c r="B260" s="3"/>
      <c r="C260" s="3"/>
      <c r="D260" s="3"/>
      <c r="E260" s="3"/>
      <c r="F260" s="3"/>
      <c r="G260" s="3"/>
      <c r="H260" s="3"/>
      <c r="I260" s="3"/>
      <c r="J260" s="3"/>
      <c r="K260" s="4"/>
    </row>
    <row r="261" spans="1:11" ht="17.25" customHeight="1">
      <c r="A261" s="3"/>
      <c r="B261" s="3"/>
      <c r="C261" s="3"/>
      <c r="D261" s="3"/>
      <c r="E261" s="3"/>
      <c r="F261" s="3"/>
      <c r="G261" s="3"/>
      <c r="H261" s="3"/>
      <c r="I261" s="3"/>
      <c r="J261" s="3"/>
      <c r="K261" s="4"/>
    </row>
    <row r="262" spans="1:11" ht="17.25" customHeight="1">
      <c r="A262" s="3"/>
      <c r="B262" s="3"/>
      <c r="C262" s="3"/>
      <c r="D262" s="3"/>
      <c r="E262" s="3"/>
      <c r="F262" s="3"/>
      <c r="G262" s="3"/>
      <c r="H262" s="3"/>
      <c r="I262" s="3"/>
      <c r="J262" s="3"/>
      <c r="K262" s="4"/>
    </row>
    <row r="263" spans="1:11" ht="17.25" customHeight="1">
      <c r="A263" s="3"/>
      <c r="B263" s="3"/>
      <c r="C263" s="3"/>
      <c r="D263" s="3"/>
      <c r="E263" s="3"/>
      <c r="F263" s="3"/>
      <c r="G263" s="3"/>
      <c r="H263" s="3"/>
      <c r="I263" s="3"/>
      <c r="J263" s="3"/>
      <c r="K263" s="4"/>
    </row>
    <row r="264" spans="1:11" ht="17.25" customHeight="1">
      <c r="A264" s="3"/>
      <c r="B264" s="3"/>
      <c r="C264" s="3"/>
      <c r="D264" s="3"/>
      <c r="E264" s="3"/>
      <c r="F264" s="3"/>
      <c r="G264" s="3"/>
      <c r="H264" s="3"/>
      <c r="I264" s="3"/>
      <c r="J264" s="3"/>
      <c r="K264" s="4"/>
    </row>
    <row r="265" spans="1:11" ht="17.25" customHeight="1">
      <c r="A265" s="3"/>
      <c r="B265" s="3"/>
      <c r="C265" s="3"/>
      <c r="D265" s="3"/>
      <c r="E265" s="3"/>
      <c r="F265" s="3"/>
      <c r="G265" s="3"/>
      <c r="H265" s="3"/>
      <c r="I265" s="3"/>
      <c r="J265" s="3"/>
      <c r="K265" s="4"/>
    </row>
    <row r="266" spans="1:11" ht="17.25" customHeight="1">
      <c r="A266" s="3"/>
      <c r="B266" s="3"/>
      <c r="C266" s="3"/>
      <c r="D266" s="3"/>
      <c r="E266" s="3"/>
      <c r="F266" s="3"/>
      <c r="G266" s="3"/>
      <c r="H266" s="3"/>
      <c r="I266" s="3"/>
      <c r="J266" s="3"/>
      <c r="K266" s="4"/>
    </row>
    <row r="267" spans="1:11" ht="17.25" customHeight="1">
      <c r="A267" s="3"/>
      <c r="B267" s="3"/>
      <c r="C267" s="3"/>
      <c r="D267" s="3"/>
      <c r="E267" s="3"/>
      <c r="F267" s="3"/>
      <c r="G267" s="3"/>
      <c r="H267" s="3"/>
      <c r="I267" s="3"/>
      <c r="J267" s="3"/>
      <c r="K267" s="4"/>
    </row>
    <row r="268" spans="1:11" ht="17.25" customHeight="1">
      <c r="A268" s="3"/>
      <c r="B268" s="3"/>
      <c r="C268" s="3"/>
      <c r="D268" s="3"/>
      <c r="E268" s="3"/>
      <c r="F268" s="3"/>
      <c r="G268" s="3"/>
      <c r="H268" s="3"/>
      <c r="I268" s="3"/>
      <c r="J268" s="3"/>
      <c r="K268" s="4"/>
    </row>
    <row r="269" spans="1:11" ht="17.25" customHeight="1">
      <c r="A269" s="3"/>
      <c r="B269" s="3"/>
      <c r="C269" s="3"/>
      <c r="D269" s="3"/>
      <c r="E269" s="3"/>
      <c r="F269" s="3"/>
      <c r="G269" s="3"/>
      <c r="H269" s="3"/>
      <c r="I269" s="3"/>
      <c r="J269" s="3"/>
      <c r="K269" s="4"/>
    </row>
    <row r="270" spans="1:11" ht="17.25" customHeight="1">
      <c r="A270" s="3"/>
      <c r="B270" s="3"/>
      <c r="C270" s="3"/>
      <c r="D270" s="3"/>
      <c r="E270" s="3"/>
      <c r="F270" s="3"/>
      <c r="G270" s="3"/>
      <c r="H270" s="3"/>
      <c r="I270" s="3"/>
      <c r="J270" s="3"/>
      <c r="K270" s="4"/>
    </row>
    <row r="271" spans="1:11" ht="17.25" customHeight="1">
      <c r="A271" s="3"/>
      <c r="B271" s="3"/>
      <c r="C271" s="3"/>
      <c r="D271" s="3"/>
      <c r="E271" s="3"/>
      <c r="F271" s="3"/>
      <c r="G271" s="3"/>
      <c r="H271" s="3"/>
      <c r="I271" s="3"/>
      <c r="J271" s="3"/>
      <c r="K271" s="4"/>
    </row>
    <row r="272" spans="1:11" ht="17.25" customHeight="1">
      <c r="A272" s="3"/>
      <c r="B272" s="3"/>
      <c r="C272" s="3"/>
      <c r="D272" s="3"/>
      <c r="E272" s="3"/>
      <c r="F272" s="3"/>
      <c r="G272" s="3"/>
      <c r="H272" s="3"/>
      <c r="I272" s="3"/>
      <c r="J272" s="3"/>
      <c r="K272" s="4"/>
    </row>
    <row r="273" spans="1:11" ht="17.25" customHeight="1">
      <c r="A273" s="3"/>
      <c r="B273" s="3"/>
      <c r="C273" s="3"/>
      <c r="D273" s="3"/>
      <c r="E273" s="3"/>
      <c r="F273" s="3"/>
      <c r="G273" s="3"/>
      <c r="H273" s="3"/>
      <c r="I273" s="3"/>
      <c r="J273" s="3"/>
      <c r="K273" s="4"/>
    </row>
    <row r="274" spans="1:11" ht="17.25" customHeight="1">
      <c r="A274" s="3"/>
      <c r="B274" s="3"/>
      <c r="C274" s="3"/>
      <c r="D274" s="3"/>
      <c r="E274" s="3"/>
      <c r="F274" s="3"/>
      <c r="G274" s="3"/>
      <c r="H274" s="3"/>
      <c r="I274" s="3"/>
      <c r="J274" s="3"/>
      <c r="K274" s="4"/>
    </row>
    <row r="275" spans="1:11" ht="17.25" customHeight="1">
      <c r="A275" s="3"/>
      <c r="B275" s="3"/>
      <c r="C275" s="3"/>
      <c r="D275" s="3"/>
      <c r="E275" s="3"/>
      <c r="F275" s="3"/>
      <c r="G275" s="3"/>
      <c r="H275" s="3"/>
      <c r="I275" s="3"/>
      <c r="J275" s="3"/>
      <c r="K275" s="4"/>
    </row>
    <row r="276" spans="1:11" ht="17.25" customHeight="1">
      <c r="A276" s="3"/>
      <c r="B276" s="3"/>
      <c r="C276" s="3"/>
      <c r="D276" s="3"/>
      <c r="E276" s="3"/>
      <c r="F276" s="3"/>
      <c r="G276" s="3"/>
      <c r="H276" s="3"/>
      <c r="I276" s="3"/>
      <c r="J276" s="3"/>
      <c r="K276" s="4"/>
    </row>
    <row r="277" spans="1:11" ht="17.25" customHeight="1">
      <c r="A277" s="3"/>
      <c r="B277" s="3"/>
      <c r="C277" s="3"/>
      <c r="D277" s="3"/>
      <c r="E277" s="3"/>
      <c r="F277" s="3"/>
      <c r="G277" s="3"/>
      <c r="H277" s="3"/>
      <c r="I277" s="3"/>
      <c r="J277" s="3"/>
      <c r="K277" s="4"/>
    </row>
    <row r="278" spans="1:11" ht="17.25" customHeight="1">
      <c r="A278" s="3"/>
      <c r="B278" s="3"/>
      <c r="C278" s="3"/>
      <c r="D278" s="3"/>
      <c r="E278" s="3"/>
      <c r="F278" s="3"/>
      <c r="G278" s="3"/>
      <c r="H278" s="3"/>
      <c r="I278" s="3"/>
      <c r="J278" s="3"/>
      <c r="K278" s="4"/>
    </row>
    <row r="279" spans="1:11" ht="17.25" customHeight="1">
      <c r="A279" s="3"/>
      <c r="B279" s="3"/>
      <c r="C279" s="3"/>
      <c r="D279" s="3"/>
      <c r="E279" s="3"/>
      <c r="F279" s="3"/>
      <c r="G279" s="3"/>
      <c r="H279" s="3"/>
      <c r="I279" s="3"/>
      <c r="J279" s="3"/>
      <c r="K279" s="4"/>
    </row>
    <row r="280" spans="1:11" ht="17.25" customHeight="1">
      <c r="A280" s="3"/>
      <c r="B280" s="3"/>
      <c r="C280" s="3"/>
      <c r="D280" s="3"/>
      <c r="E280" s="3"/>
      <c r="F280" s="3"/>
      <c r="G280" s="3"/>
      <c r="H280" s="3"/>
      <c r="I280" s="3"/>
      <c r="J280" s="3"/>
      <c r="K280" s="4"/>
    </row>
    <row r="281" spans="1:11" ht="17.25" customHeight="1">
      <c r="A281" s="3"/>
      <c r="B281" s="3"/>
      <c r="C281" s="3"/>
      <c r="D281" s="3"/>
      <c r="E281" s="3"/>
      <c r="F281" s="3"/>
      <c r="G281" s="3"/>
      <c r="H281" s="3"/>
      <c r="I281" s="3"/>
      <c r="J281" s="3"/>
      <c r="K281" s="4"/>
    </row>
    <row r="282" spans="1:11" ht="17.25" customHeight="1">
      <c r="A282" s="3"/>
      <c r="B282" s="3"/>
      <c r="C282" s="3"/>
      <c r="D282" s="3"/>
      <c r="E282" s="3"/>
      <c r="F282" s="3"/>
      <c r="G282" s="3"/>
      <c r="H282" s="3"/>
      <c r="I282" s="3"/>
      <c r="J282" s="3"/>
      <c r="K282" s="4"/>
    </row>
    <row r="283" spans="1:11" ht="17.25" customHeight="1">
      <c r="A283" s="3"/>
      <c r="B283" s="3"/>
      <c r="C283" s="3"/>
      <c r="D283" s="3"/>
      <c r="E283" s="3"/>
      <c r="F283" s="3"/>
      <c r="G283" s="3"/>
      <c r="H283" s="3"/>
      <c r="I283" s="3"/>
      <c r="J283" s="3"/>
      <c r="K283" s="4"/>
    </row>
    <row r="284" spans="1:11" ht="17.25" customHeight="1">
      <c r="A284" s="3"/>
      <c r="B284" s="3"/>
      <c r="C284" s="3"/>
      <c r="D284" s="3"/>
      <c r="E284" s="3"/>
      <c r="F284" s="3"/>
      <c r="G284" s="3"/>
      <c r="H284" s="3"/>
      <c r="I284" s="3"/>
      <c r="J284" s="3"/>
      <c r="K284" s="4"/>
    </row>
    <row r="285" spans="1:11" ht="17.25" customHeight="1">
      <c r="A285" s="3"/>
      <c r="B285" s="3"/>
      <c r="C285" s="3"/>
      <c r="D285" s="3"/>
      <c r="E285" s="3"/>
      <c r="F285" s="3"/>
      <c r="G285" s="3"/>
      <c r="H285" s="3"/>
      <c r="I285" s="3"/>
      <c r="J285" s="3"/>
      <c r="K285" s="4"/>
    </row>
    <row r="286" spans="1:11" ht="17.25" customHeight="1">
      <c r="A286" s="3"/>
      <c r="B286" s="3"/>
      <c r="C286" s="3"/>
      <c r="D286" s="3"/>
      <c r="E286" s="3"/>
      <c r="F286" s="3"/>
      <c r="G286" s="3"/>
      <c r="H286" s="3"/>
      <c r="I286" s="3"/>
      <c r="J286" s="3"/>
      <c r="K286" s="4"/>
    </row>
    <row r="287" spans="1:11" ht="17.25" customHeight="1">
      <c r="A287" s="3"/>
      <c r="B287" s="3"/>
      <c r="C287" s="3"/>
      <c r="D287" s="3"/>
      <c r="E287" s="3"/>
      <c r="F287" s="3"/>
      <c r="G287" s="3"/>
      <c r="H287" s="3"/>
      <c r="I287" s="3"/>
      <c r="J287" s="3"/>
      <c r="K287" s="4"/>
    </row>
    <row r="288" spans="1:11" ht="17.25" customHeight="1">
      <c r="A288" s="3"/>
      <c r="B288" s="3"/>
      <c r="C288" s="3"/>
      <c r="D288" s="3"/>
      <c r="E288" s="3"/>
      <c r="F288" s="3"/>
      <c r="G288" s="3"/>
      <c r="H288" s="3"/>
      <c r="I288" s="3"/>
      <c r="J288" s="3"/>
      <c r="K288" s="4"/>
    </row>
    <row r="289" spans="1:11" ht="17.25" customHeight="1">
      <c r="A289" s="3"/>
      <c r="B289" s="3"/>
      <c r="C289" s="3"/>
      <c r="D289" s="3"/>
      <c r="E289" s="3"/>
      <c r="F289" s="3"/>
      <c r="G289" s="3"/>
      <c r="H289" s="3"/>
      <c r="I289" s="3"/>
      <c r="J289" s="3"/>
      <c r="K289" s="4"/>
    </row>
    <row r="290" spans="1:11" ht="17.25" customHeight="1">
      <c r="A290" s="3"/>
      <c r="B290" s="3"/>
      <c r="C290" s="3"/>
      <c r="D290" s="3"/>
      <c r="E290" s="3"/>
      <c r="F290" s="3"/>
      <c r="G290" s="3"/>
      <c r="H290" s="3"/>
      <c r="I290" s="3"/>
      <c r="J290" s="3"/>
      <c r="K290" s="4"/>
    </row>
    <row r="291" spans="1:11" ht="17.25" customHeight="1">
      <c r="A291" s="3"/>
      <c r="B291" s="3"/>
      <c r="C291" s="3"/>
      <c r="D291" s="3"/>
      <c r="E291" s="3"/>
      <c r="F291" s="3"/>
      <c r="G291" s="3"/>
      <c r="H291" s="3"/>
      <c r="I291" s="3"/>
      <c r="J291" s="3"/>
      <c r="K291" s="4"/>
    </row>
    <row r="292" spans="1:11" ht="17.25" customHeight="1">
      <c r="A292" s="3"/>
      <c r="B292" s="3"/>
      <c r="C292" s="3"/>
      <c r="D292" s="3"/>
      <c r="E292" s="3"/>
      <c r="F292" s="3"/>
      <c r="G292" s="3"/>
      <c r="H292" s="3"/>
      <c r="I292" s="3"/>
      <c r="J292" s="3"/>
      <c r="K292" s="4"/>
    </row>
    <row r="293" spans="1:11" ht="17.25" customHeight="1">
      <c r="A293" s="3"/>
      <c r="B293" s="3"/>
      <c r="C293" s="3"/>
      <c r="D293" s="3"/>
      <c r="E293" s="3"/>
      <c r="F293" s="3"/>
      <c r="G293" s="3"/>
      <c r="H293" s="3"/>
      <c r="I293" s="3"/>
      <c r="J293" s="3"/>
      <c r="K293" s="4"/>
    </row>
    <row r="294" spans="1:11" ht="17.25" customHeight="1">
      <c r="A294" s="3"/>
      <c r="B294" s="3"/>
      <c r="C294" s="3"/>
      <c r="D294" s="3"/>
      <c r="E294" s="3"/>
      <c r="F294" s="3"/>
      <c r="G294" s="3"/>
      <c r="H294" s="3"/>
      <c r="I294" s="3"/>
      <c r="J294" s="3"/>
      <c r="K294" s="4"/>
    </row>
    <row r="295" spans="1:11" ht="17.25" customHeight="1">
      <c r="A295" s="3"/>
      <c r="B295" s="3"/>
      <c r="C295" s="3"/>
      <c r="D295" s="3"/>
      <c r="E295" s="3"/>
      <c r="F295" s="3"/>
      <c r="G295" s="3"/>
      <c r="H295" s="3"/>
      <c r="I295" s="3"/>
      <c r="J295" s="3"/>
      <c r="K295" s="4"/>
    </row>
    <row r="296" spans="1:11" ht="17.25" customHeight="1">
      <c r="A296" s="3"/>
      <c r="B296" s="3"/>
      <c r="C296" s="3"/>
      <c r="D296" s="3"/>
      <c r="E296" s="3"/>
      <c r="F296" s="3"/>
      <c r="G296" s="3"/>
      <c r="H296" s="3"/>
      <c r="I296" s="3"/>
      <c r="J296" s="3"/>
      <c r="K296" s="4"/>
    </row>
    <row r="297" spans="1:11" ht="17.25" customHeight="1">
      <c r="A297" s="3"/>
      <c r="B297" s="3"/>
      <c r="C297" s="3"/>
      <c r="D297" s="3"/>
      <c r="E297" s="3"/>
      <c r="F297" s="3"/>
      <c r="G297" s="3"/>
      <c r="H297" s="3"/>
      <c r="I297" s="3"/>
      <c r="J297" s="3"/>
      <c r="K297" s="4"/>
    </row>
    <row r="298" spans="1:11" ht="17.25" customHeight="1">
      <c r="A298" s="3"/>
      <c r="B298" s="3"/>
      <c r="C298" s="3"/>
      <c r="D298" s="3"/>
      <c r="E298" s="3"/>
      <c r="F298" s="3"/>
      <c r="G298" s="3"/>
      <c r="H298" s="3"/>
      <c r="I298" s="3"/>
      <c r="J298" s="3"/>
      <c r="K298" s="4"/>
    </row>
    <row r="299" spans="1:11" ht="17.25" customHeight="1">
      <c r="A299" s="3"/>
      <c r="B299" s="3"/>
      <c r="C299" s="3"/>
      <c r="D299" s="3"/>
      <c r="E299" s="3"/>
      <c r="F299" s="3"/>
      <c r="G299" s="3"/>
      <c r="H299" s="3"/>
      <c r="I299" s="3"/>
      <c r="J299" s="3"/>
      <c r="K299" s="4"/>
    </row>
    <row r="300" spans="1:11" ht="17.25" customHeight="1">
      <c r="A300" s="3"/>
      <c r="B300" s="3"/>
      <c r="C300" s="3"/>
      <c r="D300" s="3"/>
      <c r="E300" s="3"/>
      <c r="F300" s="3"/>
      <c r="G300" s="3"/>
      <c r="H300" s="3"/>
      <c r="I300" s="3"/>
      <c r="J300" s="3"/>
      <c r="K300" s="4"/>
    </row>
    <row r="301" spans="1:11" ht="17.25" customHeight="1">
      <c r="A301" s="3"/>
      <c r="B301" s="3"/>
      <c r="C301" s="3"/>
      <c r="D301" s="3"/>
      <c r="E301" s="3"/>
      <c r="F301" s="3"/>
      <c r="G301" s="3"/>
      <c r="H301" s="3"/>
      <c r="I301" s="3"/>
      <c r="J301" s="3"/>
      <c r="K301" s="4"/>
    </row>
    <row r="302" spans="1:11" ht="17.25" customHeight="1">
      <c r="A302" s="3"/>
      <c r="B302" s="3"/>
      <c r="C302" s="3"/>
      <c r="D302" s="3"/>
      <c r="E302" s="3"/>
      <c r="F302" s="3"/>
      <c r="G302" s="3"/>
      <c r="H302" s="3"/>
      <c r="I302" s="3"/>
      <c r="J302" s="3"/>
      <c r="K302" s="4"/>
    </row>
    <row r="303" spans="1:11" ht="17.25" customHeight="1">
      <c r="A303" s="3"/>
      <c r="B303" s="3"/>
      <c r="C303" s="3"/>
      <c r="D303" s="3"/>
      <c r="E303" s="3"/>
      <c r="F303" s="3"/>
      <c r="G303" s="3"/>
      <c r="H303" s="3"/>
      <c r="I303" s="3"/>
      <c r="J303" s="3"/>
      <c r="K303" s="4"/>
    </row>
    <row r="304" spans="1:11" ht="17.25" customHeight="1">
      <c r="A304" s="3"/>
      <c r="B304" s="3"/>
      <c r="C304" s="3"/>
      <c r="D304" s="3"/>
      <c r="E304" s="3"/>
      <c r="F304" s="3"/>
      <c r="G304" s="3"/>
      <c r="H304" s="3"/>
      <c r="I304" s="3"/>
      <c r="J304" s="3"/>
      <c r="K304" s="4"/>
    </row>
    <row r="305" spans="1:11" ht="17.25" customHeight="1">
      <c r="A305" s="3"/>
      <c r="B305" s="3"/>
      <c r="C305" s="3"/>
      <c r="D305" s="3"/>
      <c r="E305" s="3"/>
      <c r="F305" s="3"/>
      <c r="G305" s="3"/>
      <c r="H305" s="3"/>
      <c r="I305" s="3"/>
      <c r="J305" s="3"/>
      <c r="K305" s="4"/>
    </row>
    <row r="306" spans="1:11" ht="17.25" customHeight="1">
      <c r="A306" s="3"/>
      <c r="B306" s="3"/>
      <c r="C306" s="3"/>
      <c r="D306" s="3"/>
      <c r="E306" s="3"/>
      <c r="F306" s="3"/>
      <c r="G306" s="3"/>
      <c r="H306" s="3"/>
      <c r="I306" s="3"/>
      <c r="J306" s="3"/>
      <c r="K306" s="4"/>
    </row>
    <row r="307" spans="1:11" ht="17.25" customHeight="1">
      <c r="A307" s="3"/>
      <c r="B307" s="3"/>
      <c r="C307" s="3"/>
      <c r="D307" s="3"/>
      <c r="E307" s="3"/>
      <c r="F307" s="3"/>
      <c r="G307" s="3"/>
      <c r="H307" s="3"/>
      <c r="I307" s="3"/>
      <c r="J307" s="3"/>
      <c r="K307" s="4"/>
    </row>
    <row r="308" spans="1:11" ht="17.25" customHeight="1">
      <c r="A308" s="3"/>
      <c r="B308" s="3"/>
      <c r="C308" s="3"/>
      <c r="D308" s="3"/>
      <c r="E308" s="3"/>
      <c r="F308" s="3"/>
      <c r="G308" s="3"/>
      <c r="H308" s="3"/>
      <c r="I308" s="3"/>
      <c r="J308" s="3"/>
      <c r="K308" s="4"/>
    </row>
    <row r="309" spans="1:11" ht="17.25" customHeight="1">
      <c r="A309" s="3"/>
      <c r="B309" s="3"/>
      <c r="C309" s="3"/>
      <c r="D309" s="3"/>
      <c r="E309" s="3"/>
      <c r="F309" s="3"/>
      <c r="G309" s="3"/>
      <c r="H309" s="3"/>
      <c r="I309" s="3"/>
      <c r="J309" s="3"/>
      <c r="K309" s="4"/>
    </row>
    <row r="310" spans="1:11" ht="17.25" customHeight="1">
      <c r="A310" s="3"/>
      <c r="B310" s="3"/>
      <c r="C310" s="3"/>
      <c r="D310" s="3"/>
      <c r="E310" s="3"/>
      <c r="F310" s="3"/>
      <c r="G310" s="3"/>
      <c r="H310" s="3"/>
      <c r="I310" s="3"/>
      <c r="J310" s="3"/>
      <c r="K310" s="4"/>
    </row>
    <row r="311" spans="1:11" ht="17.25" customHeight="1">
      <c r="A311" s="3"/>
      <c r="B311" s="3"/>
      <c r="C311" s="3"/>
      <c r="D311" s="3"/>
      <c r="E311" s="3"/>
      <c r="F311" s="3"/>
      <c r="G311" s="3"/>
      <c r="H311" s="3"/>
      <c r="I311" s="3"/>
      <c r="J311" s="3"/>
      <c r="K311" s="4"/>
    </row>
    <row r="312" spans="1:11" ht="17.25" customHeight="1">
      <c r="A312" s="3"/>
      <c r="B312" s="3"/>
      <c r="C312" s="3"/>
      <c r="D312" s="3"/>
      <c r="E312" s="3"/>
      <c r="F312" s="3"/>
      <c r="G312" s="3"/>
      <c r="H312" s="3"/>
      <c r="I312" s="3"/>
      <c r="J312" s="3"/>
      <c r="K312" s="4"/>
    </row>
    <row r="313" spans="1:11" ht="17.25" customHeight="1">
      <c r="A313" s="3"/>
      <c r="B313" s="3"/>
      <c r="C313" s="3"/>
      <c r="D313" s="3"/>
      <c r="E313" s="3"/>
      <c r="F313" s="3"/>
      <c r="G313" s="3"/>
      <c r="H313" s="3"/>
      <c r="I313" s="3"/>
      <c r="J313" s="3"/>
      <c r="K313" s="4"/>
    </row>
    <row r="314" spans="1:11" ht="17.25" customHeight="1">
      <c r="A314" s="3"/>
      <c r="B314" s="3"/>
      <c r="C314" s="3"/>
      <c r="D314" s="3"/>
      <c r="E314" s="3"/>
      <c r="F314" s="3"/>
      <c r="G314" s="3"/>
      <c r="H314" s="3"/>
      <c r="I314" s="3"/>
      <c r="J314" s="3"/>
      <c r="K314" s="4"/>
    </row>
    <row r="315" spans="1:11" ht="17.25" customHeight="1">
      <c r="A315" s="3"/>
      <c r="B315" s="3"/>
      <c r="C315" s="3"/>
      <c r="D315" s="3"/>
      <c r="E315" s="3"/>
      <c r="F315" s="3"/>
      <c r="G315" s="3"/>
      <c r="H315" s="3"/>
      <c r="I315" s="3"/>
      <c r="J315" s="3"/>
      <c r="K315" s="4"/>
    </row>
    <row r="316" spans="1:11" ht="17.25" customHeight="1">
      <c r="A316" s="3"/>
      <c r="B316" s="3"/>
      <c r="C316" s="3"/>
      <c r="D316" s="3"/>
      <c r="E316" s="3"/>
      <c r="F316" s="3"/>
      <c r="G316" s="3"/>
      <c r="H316" s="3"/>
      <c r="I316" s="3"/>
      <c r="J316" s="3"/>
      <c r="K316" s="4"/>
    </row>
    <row r="317" spans="1:11" ht="17.25" customHeight="1">
      <c r="A317" s="3"/>
      <c r="B317" s="3"/>
      <c r="C317" s="3"/>
      <c r="D317" s="3"/>
      <c r="E317" s="3"/>
      <c r="F317" s="3"/>
      <c r="G317" s="3"/>
      <c r="H317" s="3"/>
      <c r="I317" s="3"/>
      <c r="J317" s="3"/>
      <c r="K317" s="4"/>
    </row>
    <row r="318" spans="1:11" ht="17.25" customHeight="1">
      <c r="A318" s="3"/>
      <c r="B318" s="3"/>
      <c r="C318" s="3"/>
      <c r="D318" s="3"/>
      <c r="E318" s="3"/>
      <c r="F318" s="3"/>
      <c r="G318" s="3"/>
      <c r="H318" s="3"/>
      <c r="I318" s="3"/>
      <c r="J318" s="3"/>
      <c r="K318" s="4"/>
    </row>
    <row r="319" spans="1:11" ht="17.25" customHeight="1">
      <c r="A319" s="3"/>
      <c r="B319" s="3"/>
      <c r="C319" s="3"/>
      <c r="D319" s="3"/>
      <c r="E319" s="3"/>
      <c r="F319" s="3"/>
      <c r="G319" s="3"/>
      <c r="H319" s="3"/>
      <c r="I319" s="3"/>
      <c r="J319" s="3"/>
      <c r="K319" s="4"/>
    </row>
    <row r="320" spans="1:11" ht="17.25" customHeight="1">
      <c r="A320" s="3"/>
      <c r="B320" s="3"/>
      <c r="C320" s="3"/>
      <c r="D320" s="3"/>
      <c r="E320" s="3"/>
      <c r="F320" s="3"/>
      <c r="G320" s="3"/>
      <c r="H320" s="3"/>
      <c r="I320" s="3"/>
      <c r="J320" s="3"/>
      <c r="K320" s="4"/>
    </row>
    <row r="321" spans="1:11" ht="17.25" customHeight="1">
      <c r="A321" s="3"/>
      <c r="B321" s="3"/>
      <c r="C321" s="3"/>
      <c r="D321" s="3"/>
      <c r="E321" s="3"/>
      <c r="F321" s="3"/>
      <c r="G321" s="3"/>
      <c r="H321" s="3"/>
      <c r="I321" s="3"/>
      <c r="J321" s="3"/>
      <c r="K321" s="4"/>
    </row>
    <row r="322" spans="1:11" ht="17.25" customHeight="1">
      <c r="A322" s="3"/>
      <c r="B322" s="3"/>
      <c r="C322" s="3"/>
      <c r="D322" s="3"/>
      <c r="E322" s="3"/>
      <c r="F322" s="3"/>
      <c r="G322" s="3"/>
      <c r="H322" s="3"/>
      <c r="I322" s="3"/>
      <c r="J322" s="3"/>
      <c r="K322" s="4"/>
    </row>
    <row r="323" spans="1:11" ht="17.25" customHeight="1">
      <c r="A323" s="3"/>
      <c r="B323" s="3"/>
      <c r="C323" s="3"/>
      <c r="D323" s="3"/>
      <c r="E323" s="3"/>
      <c r="F323" s="3"/>
      <c r="G323" s="3"/>
      <c r="H323" s="3"/>
      <c r="I323" s="3"/>
      <c r="J323" s="3"/>
      <c r="K323" s="4"/>
    </row>
    <row r="324" spans="1:11" ht="17.25" customHeight="1">
      <c r="A324" s="3"/>
      <c r="B324" s="3"/>
      <c r="C324" s="3"/>
      <c r="D324" s="3"/>
      <c r="E324" s="3"/>
      <c r="F324" s="3"/>
      <c r="G324" s="3"/>
      <c r="H324" s="3"/>
      <c r="I324" s="3"/>
      <c r="J324" s="3"/>
      <c r="K324" s="4"/>
    </row>
    <row r="325" spans="1:11" ht="17.25" customHeight="1">
      <c r="A325" s="3"/>
      <c r="B325" s="3"/>
      <c r="C325" s="3"/>
      <c r="D325" s="3"/>
      <c r="E325" s="3"/>
      <c r="F325" s="3"/>
      <c r="G325" s="3"/>
      <c r="H325" s="3"/>
      <c r="I325" s="3"/>
      <c r="J325" s="3"/>
      <c r="K325" s="4"/>
    </row>
    <row r="326" spans="1:11" ht="17.25" customHeight="1">
      <c r="A326" s="3"/>
      <c r="B326" s="3"/>
      <c r="C326" s="3"/>
      <c r="D326" s="3"/>
      <c r="E326" s="3"/>
      <c r="F326" s="3"/>
      <c r="G326" s="3"/>
      <c r="H326" s="3"/>
      <c r="I326" s="3"/>
      <c r="J326" s="3"/>
      <c r="K326" s="4"/>
    </row>
    <row r="327" spans="1:11" ht="17.25" customHeight="1">
      <c r="A327" s="3"/>
      <c r="B327" s="3"/>
      <c r="C327" s="3"/>
      <c r="D327" s="3"/>
      <c r="E327" s="3"/>
      <c r="F327" s="3"/>
      <c r="G327" s="3"/>
      <c r="H327" s="3"/>
      <c r="I327" s="3"/>
      <c r="J327" s="3"/>
      <c r="K327" s="4"/>
    </row>
    <row r="328" spans="1:11" ht="17.25" customHeight="1">
      <c r="A328" s="3"/>
      <c r="B328" s="3"/>
      <c r="C328" s="3"/>
      <c r="D328" s="3"/>
      <c r="E328" s="3"/>
      <c r="F328" s="3"/>
      <c r="G328" s="3"/>
      <c r="H328" s="3"/>
      <c r="I328" s="3"/>
      <c r="J328" s="3"/>
      <c r="K328" s="4"/>
    </row>
    <row r="329" spans="1:11" ht="17.25" customHeight="1">
      <c r="A329" s="3"/>
      <c r="B329" s="3"/>
      <c r="C329" s="3"/>
      <c r="D329" s="3"/>
      <c r="E329" s="3"/>
      <c r="F329" s="3"/>
      <c r="G329" s="3"/>
      <c r="H329" s="3"/>
      <c r="I329" s="3"/>
      <c r="J329" s="3"/>
      <c r="K329" s="4"/>
    </row>
    <row r="330" spans="1:11" ht="17.25" customHeight="1">
      <c r="A330" s="3"/>
      <c r="B330" s="3"/>
      <c r="C330" s="3"/>
      <c r="D330" s="3"/>
      <c r="E330" s="3"/>
      <c r="F330" s="3"/>
      <c r="G330" s="3"/>
      <c r="H330" s="3"/>
      <c r="I330" s="3"/>
      <c r="J330" s="3"/>
      <c r="K330" s="4"/>
    </row>
    <row r="331" spans="1:11" ht="17.25" customHeight="1">
      <c r="A331" s="3"/>
      <c r="B331" s="3"/>
      <c r="C331" s="3"/>
      <c r="D331" s="3"/>
      <c r="E331" s="3"/>
      <c r="F331" s="3"/>
      <c r="G331" s="3"/>
      <c r="H331" s="3"/>
      <c r="I331" s="3"/>
      <c r="J331" s="3"/>
      <c r="K331" s="4"/>
    </row>
    <row r="332" spans="1:11" ht="17.25" customHeight="1">
      <c r="A332" s="3"/>
      <c r="B332" s="3"/>
      <c r="C332" s="3"/>
      <c r="D332" s="3"/>
      <c r="E332" s="3"/>
      <c r="F332" s="3"/>
      <c r="G332" s="3"/>
      <c r="H332" s="3"/>
      <c r="I332" s="3"/>
      <c r="J332" s="3"/>
      <c r="K332" s="4"/>
    </row>
    <row r="333" spans="1:11" ht="17.25" customHeight="1">
      <c r="A333" s="3"/>
      <c r="B333" s="3"/>
      <c r="C333" s="3"/>
      <c r="D333" s="3"/>
      <c r="E333" s="3"/>
      <c r="F333" s="3"/>
      <c r="G333" s="3"/>
      <c r="H333" s="3"/>
      <c r="I333" s="3"/>
      <c r="J333" s="3"/>
      <c r="K333" s="4"/>
    </row>
    <row r="334" spans="1:11" ht="17.25" customHeight="1">
      <c r="A334" s="3"/>
      <c r="B334" s="3"/>
      <c r="C334" s="3"/>
      <c r="D334" s="3"/>
      <c r="E334" s="3"/>
      <c r="F334" s="3"/>
      <c r="G334" s="3"/>
      <c r="H334" s="3"/>
      <c r="I334" s="3"/>
      <c r="J334" s="3"/>
      <c r="K334" s="4"/>
    </row>
    <row r="335" spans="1:11" ht="17.25" customHeight="1">
      <c r="A335" s="3"/>
      <c r="B335" s="3"/>
      <c r="C335" s="3"/>
      <c r="D335" s="3"/>
      <c r="E335" s="3"/>
      <c r="F335" s="3"/>
      <c r="G335" s="3"/>
      <c r="H335" s="3"/>
      <c r="I335" s="3"/>
      <c r="J335" s="3"/>
      <c r="K335" s="4"/>
    </row>
    <row r="336" spans="1:11" ht="17.25" customHeight="1">
      <c r="A336" s="3"/>
      <c r="B336" s="3"/>
      <c r="C336" s="3"/>
      <c r="D336" s="3"/>
      <c r="E336" s="3"/>
      <c r="F336" s="3"/>
      <c r="G336" s="3"/>
      <c r="H336" s="3"/>
      <c r="I336" s="3"/>
      <c r="J336" s="3"/>
      <c r="K336" s="4"/>
    </row>
    <row r="337" spans="1:11" ht="17.25" customHeight="1">
      <c r="A337" s="3"/>
      <c r="B337" s="3"/>
      <c r="C337" s="3"/>
      <c r="D337" s="3"/>
      <c r="E337" s="3"/>
      <c r="F337" s="3"/>
      <c r="G337" s="3"/>
      <c r="H337" s="3"/>
      <c r="I337" s="3"/>
      <c r="J337" s="3"/>
      <c r="K337" s="4"/>
    </row>
    <row r="338" spans="1:11" ht="17.25" customHeight="1">
      <c r="A338" s="3"/>
      <c r="B338" s="3"/>
      <c r="C338" s="3"/>
      <c r="D338" s="3"/>
      <c r="E338" s="3"/>
      <c r="F338" s="3"/>
      <c r="G338" s="3"/>
      <c r="H338" s="3"/>
      <c r="I338" s="3"/>
      <c r="J338" s="3"/>
      <c r="K338" s="4"/>
    </row>
    <row r="339" spans="1:11" ht="17.25" customHeight="1">
      <c r="A339" s="3"/>
      <c r="B339" s="3"/>
      <c r="C339" s="3"/>
      <c r="D339" s="3"/>
      <c r="E339" s="3"/>
      <c r="F339" s="3"/>
      <c r="G339" s="3"/>
      <c r="H339" s="3"/>
      <c r="I339" s="3"/>
      <c r="J339" s="3"/>
      <c r="K339" s="4"/>
    </row>
    <row r="340" spans="1:11" ht="17.25" customHeight="1">
      <c r="A340" s="3"/>
      <c r="B340" s="3"/>
      <c r="C340" s="3"/>
      <c r="D340" s="3"/>
      <c r="E340" s="3"/>
      <c r="F340" s="3"/>
      <c r="G340" s="3"/>
      <c r="H340" s="3"/>
      <c r="I340" s="3"/>
      <c r="J340" s="3"/>
      <c r="K340" s="4"/>
    </row>
    <row r="341" spans="1:11" ht="17.25" customHeight="1">
      <c r="A341" s="3"/>
      <c r="B341" s="3"/>
      <c r="C341" s="3"/>
      <c r="D341" s="3"/>
      <c r="E341" s="3"/>
      <c r="F341" s="3"/>
      <c r="G341" s="3"/>
      <c r="H341" s="3"/>
      <c r="I341" s="3"/>
      <c r="J341" s="3"/>
      <c r="K341" s="4"/>
    </row>
    <row r="342" spans="1:11" ht="17.25" customHeight="1">
      <c r="A342" s="3"/>
      <c r="B342" s="3"/>
      <c r="C342" s="3"/>
      <c r="D342" s="3"/>
      <c r="E342" s="3"/>
      <c r="F342" s="3"/>
      <c r="G342" s="3"/>
      <c r="H342" s="3"/>
      <c r="I342" s="3"/>
      <c r="J342" s="3"/>
      <c r="K342" s="4"/>
    </row>
    <row r="343" spans="1:11" ht="17.25" customHeight="1">
      <c r="A343" s="3"/>
      <c r="B343" s="3"/>
      <c r="C343" s="3"/>
      <c r="D343" s="3"/>
      <c r="E343" s="3"/>
      <c r="F343" s="3"/>
      <c r="G343" s="3"/>
      <c r="H343" s="3"/>
      <c r="I343" s="3"/>
      <c r="J343" s="3"/>
      <c r="K343" s="4"/>
    </row>
    <row r="344" spans="1:11" ht="17.25" customHeight="1">
      <c r="A344" s="3"/>
      <c r="B344" s="3"/>
      <c r="C344" s="3"/>
      <c r="D344" s="3"/>
      <c r="E344" s="3"/>
      <c r="F344" s="3"/>
      <c r="G344" s="3"/>
      <c r="H344" s="3"/>
      <c r="I344" s="3"/>
      <c r="J344" s="3"/>
      <c r="K344" s="4"/>
    </row>
    <row r="345" spans="1:11" ht="17.25" customHeight="1">
      <c r="A345" s="3"/>
      <c r="B345" s="3"/>
      <c r="C345" s="3"/>
      <c r="D345" s="3"/>
      <c r="E345" s="3"/>
      <c r="F345" s="3"/>
      <c r="G345" s="3"/>
      <c r="H345" s="3"/>
      <c r="I345" s="3"/>
      <c r="J345" s="3"/>
      <c r="K345" s="4"/>
    </row>
    <row r="346" spans="1:11" ht="17.25" customHeight="1">
      <c r="A346" s="3"/>
      <c r="B346" s="3"/>
      <c r="C346" s="3"/>
      <c r="D346" s="3"/>
      <c r="E346" s="3"/>
      <c r="F346" s="3"/>
      <c r="G346" s="3"/>
      <c r="H346" s="3"/>
      <c r="I346" s="3"/>
      <c r="J346" s="3"/>
      <c r="K346" s="4"/>
    </row>
    <row r="347" spans="1:11" ht="17.25" customHeight="1">
      <c r="A347" s="3"/>
      <c r="B347" s="3"/>
      <c r="C347" s="3"/>
      <c r="D347" s="3"/>
      <c r="E347" s="3"/>
      <c r="F347" s="3"/>
      <c r="G347" s="3"/>
      <c r="H347" s="3"/>
      <c r="I347" s="3"/>
      <c r="J347" s="3"/>
      <c r="K347" s="4"/>
    </row>
    <row r="348" spans="1:11" ht="17.25" customHeight="1">
      <c r="A348" s="3"/>
      <c r="B348" s="3"/>
      <c r="C348" s="3"/>
      <c r="D348" s="3"/>
      <c r="E348" s="3"/>
      <c r="F348" s="3"/>
      <c r="G348" s="3"/>
      <c r="H348" s="3"/>
      <c r="I348" s="3"/>
      <c r="J348" s="3"/>
      <c r="K348" s="4"/>
    </row>
    <row r="349" spans="1:11" ht="17.25" customHeight="1">
      <c r="A349" s="3"/>
      <c r="B349" s="3"/>
      <c r="C349" s="3"/>
      <c r="D349" s="3"/>
      <c r="E349" s="3"/>
      <c r="F349" s="3"/>
      <c r="G349" s="3"/>
      <c r="H349" s="3"/>
      <c r="I349" s="3"/>
      <c r="J349" s="3"/>
      <c r="K349" s="4"/>
    </row>
    <row r="350" spans="1:11" ht="17.25" customHeight="1">
      <c r="A350" s="3"/>
      <c r="B350" s="3"/>
      <c r="C350" s="3"/>
      <c r="D350" s="3"/>
      <c r="E350" s="3"/>
      <c r="F350" s="3"/>
      <c r="G350" s="3"/>
      <c r="H350" s="3"/>
      <c r="I350" s="3"/>
      <c r="J350" s="3"/>
      <c r="K350" s="4"/>
    </row>
    <row r="351" spans="1:11" ht="17.25" customHeight="1">
      <c r="A351" s="3"/>
      <c r="B351" s="3"/>
      <c r="C351" s="3"/>
      <c r="D351" s="3"/>
      <c r="E351" s="3"/>
      <c r="F351" s="3"/>
      <c r="G351" s="3"/>
      <c r="H351" s="3"/>
      <c r="I351" s="3"/>
      <c r="J351" s="3"/>
      <c r="K351" s="4"/>
    </row>
    <row r="352" spans="1:11" ht="17.25" customHeight="1">
      <c r="A352" s="3"/>
      <c r="B352" s="3"/>
      <c r="C352" s="3"/>
      <c r="D352" s="3"/>
      <c r="E352" s="3"/>
      <c r="F352" s="3"/>
      <c r="G352" s="3"/>
      <c r="H352" s="3"/>
      <c r="I352" s="3"/>
      <c r="J352" s="3"/>
      <c r="K352" s="4"/>
    </row>
    <row r="353" spans="1:11" ht="17.25" customHeight="1">
      <c r="A353" s="3"/>
      <c r="B353" s="3"/>
      <c r="C353" s="3"/>
      <c r="D353" s="3"/>
      <c r="E353" s="3"/>
      <c r="F353" s="3"/>
      <c r="G353" s="3"/>
      <c r="H353" s="3"/>
      <c r="I353" s="3"/>
      <c r="J353" s="3"/>
      <c r="K353" s="4"/>
    </row>
    <row r="354" spans="1:11" ht="17.25" customHeight="1">
      <c r="A354" s="3"/>
      <c r="B354" s="3"/>
      <c r="C354" s="3"/>
      <c r="D354" s="3"/>
      <c r="E354" s="3"/>
      <c r="F354" s="3"/>
      <c r="G354" s="3"/>
      <c r="H354" s="3"/>
      <c r="I354" s="3"/>
      <c r="J354" s="3"/>
      <c r="K354" s="4"/>
    </row>
    <row r="355" spans="1:11" ht="17.25" customHeight="1">
      <c r="A355" s="3"/>
      <c r="B355" s="3"/>
      <c r="C355" s="3"/>
      <c r="D355" s="3"/>
      <c r="E355" s="3"/>
      <c r="F355" s="3"/>
      <c r="G355" s="3"/>
      <c r="H355" s="3"/>
      <c r="I355" s="3"/>
      <c r="J355" s="3"/>
      <c r="K355" s="4"/>
    </row>
    <row r="356" spans="1:11" ht="17.25" customHeight="1">
      <c r="A356" s="3"/>
      <c r="B356" s="3"/>
      <c r="C356" s="3"/>
      <c r="D356" s="3"/>
      <c r="E356" s="3"/>
      <c r="F356" s="3"/>
      <c r="G356" s="3"/>
      <c r="H356" s="3"/>
      <c r="I356" s="3"/>
      <c r="J356" s="3"/>
      <c r="K356" s="4"/>
    </row>
    <row r="357" spans="1:11" ht="17.25" customHeight="1">
      <c r="A357" s="3"/>
      <c r="B357" s="3"/>
      <c r="C357" s="3"/>
      <c r="D357" s="3"/>
      <c r="E357" s="3"/>
      <c r="F357" s="3"/>
      <c r="G357" s="3"/>
      <c r="H357" s="3"/>
      <c r="I357" s="3"/>
      <c r="J357" s="3"/>
      <c r="K357" s="4"/>
    </row>
    <row r="358" spans="1:11" ht="17.25" customHeight="1">
      <c r="A358" s="3"/>
      <c r="B358" s="3"/>
      <c r="C358" s="3"/>
      <c r="D358" s="3"/>
      <c r="E358" s="3"/>
      <c r="F358" s="3"/>
      <c r="G358" s="3"/>
      <c r="H358" s="3"/>
      <c r="I358" s="3"/>
      <c r="J358" s="3"/>
      <c r="K358" s="4"/>
    </row>
    <row r="359" spans="1:11" ht="17.25" customHeight="1">
      <c r="A359" s="3"/>
      <c r="B359" s="3"/>
      <c r="C359" s="3"/>
      <c r="D359" s="3"/>
      <c r="E359" s="3"/>
      <c r="F359" s="3"/>
      <c r="G359" s="3"/>
      <c r="H359" s="3"/>
      <c r="I359" s="3"/>
      <c r="J359" s="3"/>
      <c r="K359" s="4"/>
    </row>
    <row r="360" spans="1:11" ht="17.25" customHeight="1">
      <c r="A360" s="3"/>
      <c r="B360" s="3"/>
      <c r="C360" s="3"/>
      <c r="D360" s="3"/>
      <c r="E360" s="3"/>
      <c r="F360" s="3"/>
      <c r="G360" s="3"/>
      <c r="H360" s="3"/>
      <c r="I360" s="3"/>
      <c r="J360" s="3"/>
      <c r="K360" s="4"/>
    </row>
    <row r="361" spans="1:11" ht="17.25" customHeight="1">
      <c r="A361" s="3"/>
      <c r="B361" s="3"/>
      <c r="C361" s="3"/>
      <c r="D361" s="3"/>
      <c r="E361" s="3"/>
      <c r="F361" s="3"/>
      <c r="G361" s="3"/>
      <c r="H361" s="3"/>
      <c r="I361" s="3"/>
      <c r="J361" s="3"/>
      <c r="K361" s="4"/>
    </row>
    <row r="362" spans="1:11" ht="17.25" customHeight="1">
      <c r="A362" s="3"/>
      <c r="B362" s="3"/>
      <c r="C362" s="3"/>
      <c r="D362" s="3"/>
      <c r="E362" s="3"/>
      <c r="F362" s="3"/>
      <c r="G362" s="3"/>
      <c r="H362" s="3"/>
      <c r="I362" s="3"/>
      <c r="J362" s="3"/>
      <c r="K362" s="4"/>
    </row>
    <row r="363" spans="1:11" ht="17.25" customHeight="1">
      <c r="A363" s="3"/>
      <c r="B363" s="3"/>
      <c r="C363" s="3"/>
      <c r="D363" s="3"/>
      <c r="E363" s="3"/>
      <c r="F363" s="3"/>
      <c r="G363" s="3"/>
      <c r="H363" s="3"/>
      <c r="I363" s="3"/>
      <c r="J363" s="3"/>
      <c r="K363" s="4"/>
    </row>
    <row r="364" spans="1:11" ht="17.25" customHeight="1">
      <c r="A364" s="3"/>
      <c r="B364" s="3"/>
      <c r="C364" s="3"/>
      <c r="D364" s="3"/>
      <c r="E364" s="3"/>
      <c r="F364" s="3"/>
      <c r="G364" s="3"/>
      <c r="H364" s="3"/>
      <c r="I364" s="3"/>
      <c r="J364" s="3"/>
      <c r="K364" s="4"/>
    </row>
    <row r="365" spans="1:11" ht="17.25" customHeight="1">
      <c r="A365" s="3"/>
      <c r="B365" s="3"/>
      <c r="C365" s="3"/>
      <c r="D365" s="3"/>
      <c r="E365" s="3"/>
      <c r="F365" s="3"/>
      <c r="G365" s="3"/>
      <c r="H365" s="3"/>
      <c r="I365" s="3"/>
      <c r="J365" s="3"/>
      <c r="K365" s="4"/>
    </row>
    <row r="366" spans="1:11" ht="17.25" customHeight="1">
      <c r="A366" s="3"/>
      <c r="B366" s="3"/>
      <c r="C366" s="3"/>
      <c r="D366" s="3"/>
      <c r="E366" s="3"/>
      <c r="F366" s="3"/>
      <c r="G366" s="3"/>
      <c r="H366" s="3"/>
      <c r="I366" s="3"/>
      <c r="J366" s="3"/>
      <c r="K366" s="4"/>
    </row>
    <row r="367" spans="1:11" ht="17.25" customHeight="1">
      <c r="A367" s="3"/>
      <c r="B367" s="3"/>
      <c r="C367" s="3"/>
      <c r="D367" s="3"/>
      <c r="E367" s="3"/>
      <c r="F367" s="3"/>
      <c r="G367" s="3"/>
      <c r="H367" s="3"/>
      <c r="I367" s="3"/>
      <c r="J367" s="3"/>
      <c r="K367" s="4"/>
    </row>
    <row r="368" spans="1:11" ht="17.25" customHeight="1">
      <c r="A368" s="3"/>
      <c r="B368" s="3"/>
      <c r="C368" s="3"/>
      <c r="D368" s="3"/>
      <c r="E368" s="3"/>
      <c r="F368" s="3"/>
      <c r="G368" s="3"/>
      <c r="H368" s="3"/>
      <c r="I368" s="3"/>
      <c r="J368" s="3"/>
      <c r="K368" s="4"/>
    </row>
    <row r="369" spans="1:11" ht="17.25" customHeight="1">
      <c r="A369" s="3"/>
      <c r="B369" s="3"/>
      <c r="C369" s="3"/>
      <c r="D369" s="3"/>
      <c r="E369" s="3"/>
      <c r="F369" s="3"/>
      <c r="G369" s="3"/>
      <c r="H369" s="3"/>
      <c r="I369" s="3"/>
      <c r="J369" s="3"/>
      <c r="K369" s="4"/>
    </row>
    <row r="370" spans="1:11" ht="17.25" customHeight="1">
      <c r="A370" s="3"/>
      <c r="B370" s="3"/>
      <c r="C370" s="3"/>
      <c r="D370" s="3"/>
      <c r="E370" s="3"/>
      <c r="F370" s="3"/>
      <c r="G370" s="3"/>
      <c r="H370" s="3"/>
      <c r="I370" s="3"/>
      <c r="J370" s="3"/>
      <c r="K370" s="4"/>
    </row>
    <row r="371" spans="1:11" ht="17.25" customHeight="1">
      <c r="A371" s="3"/>
      <c r="B371" s="3"/>
      <c r="C371" s="3"/>
      <c r="D371" s="3"/>
      <c r="E371" s="3"/>
      <c r="F371" s="3"/>
      <c r="G371" s="3"/>
      <c r="H371" s="3"/>
      <c r="I371" s="3"/>
      <c r="J371" s="3"/>
      <c r="K371" s="4"/>
    </row>
    <row r="372" spans="1:11" ht="17.25" customHeight="1">
      <c r="A372" s="3"/>
      <c r="B372" s="3"/>
      <c r="C372" s="3"/>
      <c r="D372" s="3"/>
      <c r="E372" s="3"/>
      <c r="F372" s="3"/>
      <c r="G372" s="3"/>
      <c r="H372" s="3"/>
      <c r="I372" s="3"/>
      <c r="J372" s="3"/>
      <c r="K372" s="4"/>
    </row>
    <row r="373" spans="1:11" ht="17.25" customHeight="1">
      <c r="A373" s="3"/>
      <c r="B373" s="3"/>
      <c r="C373" s="3"/>
      <c r="D373" s="3"/>
      <c r="E373" s="3"/>
      <c r="F373" s="3"/>
      <c r="G373" s="3"/>
      <c r="H373" s="3"/>
      <c r="I373" s="3"/>
      <c r="J373" s="3"/>
      <c r="K373" s="4"/>
    </row>
    <row r="374" spans="1:11" ht="17.25" customHeight="1">
      <c r="A374" s="3"/>
      <c r="B374" s="3"/>
      <c r="C374" s="3"/>
      <c r="D374" s="3"/>
      <c r="E374" s="3"/>
      <c r="F374" s="3"/>
      <c r="G374" s="3"/>
      <c r="H374" s="3"/>
      <c r="I374" s="3"/>
      <c r="J374" s="3"/>
      <c r="K374" s="4"/>
    </row>
    <row r="375" spans="1:11" ht="17.25" customHeight="1">
      <c r="A375" s="3"/>
      <c r="B375" s="3"/>
      <c r="C375" s="3"/>
      <c r="D375" s="3"/>
      <c r="E375" s="3"/>
      <c r="F375" s="3"/>
      <c r="G375" s="3"/>
      <c r="H375" s="3"/>
      <c r="I375" s="3"/>
      <c r="J375" s="3"/>
      <c r="K375" s="4"/>
    </row>
    <row r="376" spans="1:11" ht="17.25" customHeight="1">
      <c r="A376" s="3"/>
      <c r="B376" s="3"/>
      <c r="C376" s="3"/>
      <c r="D376" s="3"/>
      <c r="E376" s="3"/>
      <c r="F376" s="3"/>
      <c r="G376" s="3"/>
      <c r="H376" s="3"/>
      <c r="I376" s="3"/>
      <c r="J376" s="3"/>
      <c r="K376" s="4"/>
    </row>
    <row r="377" spans="1:11" ht="17.25" customHeight="1">
      <c r="A377" s="3"/>
      <c r="B377" s="3"/>
      <c r="C377" s="3"/>
      <c r="D377" s="3"/>
      <c r="E377" s="3"/>
      <c r="F377" s="3"/>
      <c r="G377" s="3"/>
      <c r="H377" s="3"/>
      <c r="I377" s="3"/>
      <c r="J377" s="3"/>
      <c r="K377" s="4"/>
    </row>
    <row r="378" spans="1:11" ht="17.25" customHeight="1">
      <c r="A378" s="3"/>
      <c r="B378" s="3"/>
      <c r="C378" s="3"/>
      <c r="D378" s="3"/>
      <c r="E378" s="3"/>
      <c r="F378" s="3"/>
      <c r="G378" s="3"/>
      <c r="H378" s="3"/>
      <c r="I378" s="3"/>
      <c r="J378" s="3"/>
      <c r="K378" s="4"/>
    </row>
    <row r="379" spans="1:11" ht="17.25" customHeight="1">
      <c r="A379" s="3"/>
      <c r="B379" s="3"/>
      <c r="C379" s="3"/>
      <c r="D379" s="3"/>
      <c r="E379" s="3"/>
      <c r="F379" s="3"/>
      <c r="G379" s="3"/>
      <c r="H379" s="3"/>
      <c r="I379" s="3"/>
      <c r="J379" s="3"/>
      <c r="K379" s="4"/>
    </row>
    <row r="380" spans="1:11" ht="17.25" customHeight="1">
      <c r="A380" s="3"/>
      <c r="B380" s="3"/>
      <c r="C380" s="3"/>
      <c r="D380" s="3"/>
      <c r="E380" s="3"/>
      <c r="F380" s="3"/>
      <c r="G380" s="3"/>
      <c r="H380" s="3"/>
      <c r="I380" s="3"/>
      <c r="J380" s="3"/>
      <c r="K380" s="4"/>
    </row>
    <row r="381" spans="1:11" ht="17.25" customHeight="1">
      <c r="A381" s="3"/>
      <c r="B381" s="3"/>
      <c r="C381" s="3"/>
      <c r="D381" s="3"/>
      <c r="E381" s="3"/>
      <c r="F381" s="3"/>
      <c r="G381" s="3"/>
      <c r="H381" s="3"/>
      <c r="I381" s="3"/>
      <c r="J381" s="3"/>
      <c r="K381" s="4"/>
    </row>
    <row r="382" spans="1:11" ht="17.25" customHeight="1">
      <c r="A382" s="3"/>
      <c r="B382" s="3"/>
      <c r="C382" s="3"/>
      <c r="D382" s="3"/>
      <c r="E382" s="3"/>
      <c r="F382" s="3"/>
      <c r="G382" s="3"/>
      <c r="H382" s="3"/>
      <c r="I382" s="3"/>
      <c r="J382" s="3"/>
      <c r="K382" s="4"/>
    </row>
    <row r="383" spans="1:11" ht="17.25" customHeight="1">
      <c r="A383" s="3"/>
      <c r="B383" s="3"/>
      <c r="C383" s="3"/>
      <c r="D383" s="3"/>
      <c r="E383" s="3"/>
      <c r="F383" s="3"/>
      <c r="G383" s="3"/>
      <c r="H383" s="3"/>
      <c r="I383" s="3"/>
      <c r="J383" s="3"/>
      <c r="K383" s="4"/>
    </row>
    <row r="384" spans="1:11" ht="17.25" customHeight="1">
      <c r="A384" s="3"/>
      <c r="B384" s="3"/>
      <c r="C384" s="3"/>
      <c r="D384" s="3"/>
      <c r="E384" s="3"/>
      <c r="F384" s="3"/>
      <c r="G384" s="3"/>
      <c r="H384" s="3"/>
      <c r="I384" s="3"/>
      <c r="J384" s="3"/>
      <c r="K384" s="4"/>
    </row>
    <row r="385" spans="1:11" ht="17.25" customHeight="1">
      <c r="A385" s="3"/>
      <c r="B385" s="3"/>
      <c r="C385" s="3"/>
      <c r="D385" s="3"/>
      <c r="E385" s="3"/>
      <c r="F385" s="3"/>
      <c r="G385" s="3"/>
      <c r="H385" s="3"/>
      <c r="I385" s="3"/>
      <c r="J385" s="3"/>
      <c r="K385" s="4"/>
    </row>
    <row r="386" spans="1:11" ht="17.25" customHeight="1">
      <c r="A386" s="3"/>
      <c r="B386" s="3"/>
      <c r="C386" s="3"/>
      <c r="D386" s="3"/>
      <c r="E386" s="3"/>
      <c r="F386" s="3"/>
      <c r="G386" s="3"/>
      <c r="H386" s="3"/>
      <c r="I386" s="3"/>
      <c r="J386" s="3"/>
      <c r="K386" s="4"/>
    </row>
    <row r="387" spans="1:11" ht="17.25" customHeight="1">
      <c r="A387" s="3"/>
      <c r="B387" s="3"/>
      <c r="C387" s="3"/>
      <c r="D387" s="3"/>
      <c r="E387" s="3"/>
      <c r="F387" s="3"/>
      <c r="G387" s="3"/>
      <c r="H387" s="3"/>
      <c r="I387" s="3"/>
      <c r="J387" s="3"/>
      <c r="K387" s="4"/>
    </row>
    <row r="388" spans="1:11" ht="17.25" customHeight="1">
      <c r="A388" s="3"/>
      <c r="B388" s="3"/>
      <c r="C388" s="3"/>
      <c r="D388" s="3"/>
      <c r="E388" s="3"/>
      <c r="F388" s="3"/>
      <c r="G388" s="3"/>
      <c r="H388" s="3"/>
      <c r="I388" s="3"/>
      <c r="J388" s="3"/>
      <c r="K388" s="4"/>
    </row>
    <row r="389" spans="1:11" ht="17.25" customHeight="1">
      <c r="A389" s="3"/>
      <c r="B389" s="3"/>
      <c r="C389" s="3"/>
      <c r="D389" s="3"/>
      <c r="E389" s="3"/>
      <c r="F389" s="3"/>
      <c r="G389" s="3"/>
      <c r="H389" s="3"/>
      <c r="I389" s="3"/>
      <c r="J389" s="3"/>
      <c r="K389" s="4"/>
    </row>
    <row r="390" spans="1:11" ht="17.25" customHeight="1">
      <c r="A390" s="3"/>
      <c r="B390" s="3"/>
      <c r="C390" s="3"/>
      <c r="D390" s="3"/>
      <c r="E390" s="3"/>
      <c r="F390" s="3"/>
      <c r="G390" s="3"/>
      <c r="H390" s="3"/>
      <c r="I390" s="3"/>
      <c r="J390" s="3"/>
      <c r="K390" s="4"/>
    </row>
    <row r="391" spans="1:11" ht="17.25" customHeight="1">
      <c r="A391" s="3"/>
      <c r="B391" s="3"/>
      <c r="C391" s="3"/>
      <c r="D391" s="3"/>
      <c r="E391" s="3"/>
      <c r="F391" s="3"/>
      <c r="G391" s="3"/>
      <c r="H391" s="3"/>
      <c r="I391" s="3"/>
      <c r="J391" s="3"/>
      <c r="K391" s="4"/>
    </row>
    <row r="392" spans="1:11" ht="17.25" customHeight="1">
      <c r="A392" s="3"/>
      <c r="B392" s="3"/>
      <c r="C392" s="3"/>
      <c r="D392" s="3"/>
      <c r="E392" s="3"/>
      <c r="F392" s="3"/>
      <c r="G392" s="3"/>
      <c r="H392" s="3"/>
      <c r="I392" s="3"/>
      <c r="J392" s="3"/>
      <c r="K392" s="4"/>
    </row>
    <row r="393" spans="1:11" ht="17.25" customHeight="1">
      <c r="A393" s="3"/>
      <c r="B393" s="3"/>
      <c r="C393" s="3"/>
      <c r="D393" s="3"/>
      <c r="E393" s="3"/>
      <c r="F393" s="3"/>
      <c r="G393" s="3"/>
      <c r="H393" s="3"/>
      <c r="I393" s="3"/>
      <c r="J393" s="3"/>
      <c r="K393" s="4"/>
    </row>
    <row r="394" spans="1:11" ht="17.25" customHeight="1">
      <c r="A394" s="3"/>
      <c r="B394" s="3"/>
      <c r="C394" s="3"/>
      <c r="D394" s="3"/>
      <c r="E394" s="3"/>
      <c r="F394" s="3"/>
      <c r="G394" s="3"/>
      <c r="H394" s="3"/>
      <c r="I394" s="3"/>
      <c r="J394" s="3"/>
      <c r="K394" s="4"/>
    </row>
    <row r="395" spans="1:11" ht="17.25" customHeight="1">
      <c r="A395" s="3"/>
      <c r="B395" s="3"/>
      <c r="C395" s="3"/>
      <c r="D395" s="3"/>
      <c r="E395" s="3"/>
      <c r="F395" s="3"/>
      <c r="G395" s="3"/>
      <c r="H395" s="3"/>
      <c r="I395" s="3"/>
      <c r="J395" s="3"/>
      <c r="K395" s="4"/>
    </row>
    <row r="396" spans="1:11" ht="17.25" customHeight="1">
      <c r="A396" s="3"/>
      <c r="B396" s="3"/>
      <c r="C396" s="3"/>
      <c r="D396" s="3"/>
      <c r="E396" s="3"/>
      <c r="F396" s="3"/>
      <c r="G396" s="3"/>
      <c r="H396" s="3"/>
      <c r="I396" s="3"/>
      <c r="J396" s="3"/>
      <c r="K396" s="4"/>
    </row>
    <row r="397" spans="1:11" ht="17.25" customHeight="1">
      <c r="A397" s="3"/>
      <c r="B397" s="3"/>
      <c r="C397" s="3"/>
      <c r="D397" s="3"/>
      <c r="E397" s="3"/>
      <c r="F397" s="3"/>
      <c r="G397" s="3"/>
      <c r="H397" s="3"/>
      <c r="I397" s="3"/>
      <c r="J397" s="3"/>
      <c r="K397" s="4"/>
    </row>
    <row r="398" spans="1:11" ht="17.25" customHeight="1">
      <c r="A398" s="3"/>
      <c r="B398" s="3"/>
      <c r="C398" s="3"/>
      <c r="D398" s="3"/>
      <c r="E398" s="3"/>
      <c r="F398" s="3"/>
      <c r="G398" s="3"/>
      <c r="H398" s="3"/>
      <c r="I398" s="3"/>
      <c r="J398" s="3"/>
      <c r="K398" s="4"/>
    </row>
    <row r="399" spans="1:11" ht="17.25" customHeight="1">
      <c r="A399" s="3"/>
      <c r="B399" s="3"/>
      <c r="C399" s="3"/>
      <c r="D399" s="3"/>
      <c r="E399" s="3"/>
      <c r="F399" s="3"/>
      <c r="G399" s="3"/>
      <c r="H399" s="3"/>
      <c r="I399" s="3"/>
      <c r="J399" s="3"/>
      <c r="K399" s="4"/>
    </row>
    <row r="400" spans="1:11" ht="17.25" customHeight="1">
      <c r="A400" s="3"/>
      <c r="B400" s="3"/>
      <c r="C400" s="3"/>
      <c r="D400" s="3"/>
      <c r="E400" s="3"/>
      <c r="F400" s="3"/>
      <c r="G400" s="3"/>
      <c r="H400" s="3"/>
      <c r="I400" s="3"/>
      <c r="J400" s="3"/>
      <c r="K400" s="4"/>
    </row>
    <row r="401" spans="1:11" ht="17.25" customHeight="1">
      <c r="A401" s="3"/>
      <c r="B401" s="3"/>
      <c r="C401" s="3"/>
      <c r="D401" s="3"/>
      <c r="E401" s="3"/>
      <c r="F401" s="3"/>
      <c r="G401" s="3"/>
      <c r="H401" s="3"/>
      <c r="I401" s="3"/>
      <c r="J401" s="3"/>
      <c r="K401" s="4"/>
    </row>
    <row r="402" spans="1:11" ht="17.25" customHeight="1">
      <c r="A402" s="3"/>
      <c r="B402" s="3"/>
      <c r="C402" s="3"/>
      <c r="D402" s="3"/>
      <c r="E402" s="3"/>
      <c r="F402" s="3"/>
      <c r="G402" s="3"/>
      <c r="H402" s="3"/>
      <c r="I402" s="3"/>
      <c r="J402" s="3"/>
      <c r="K402" s="4"/>
    </row>
    <row r="403" spans="1:11" ht="17.25" customHeight="1">
      <c r="A403" s="3"/>
      <c r="B403" s="3"/>
      <c r="C403" s="3"/>
      <c r="D403" s="3"/>
      <c r="E403" s="3"/>
      <c r="F403" s="3"/>
      <c r="G403" s="3"/>
      <c r="H403" s="3"/>
      <c r="I403" s="3"/>
      <c r="J403" s="3"/>
      <c r="K403" s="4"/>
    </row>
    <row r="404" spans="1:11" ht="17.25" customHeight="1">
      <c r="A404" s="3"/>
      <c r="B404" s="3"/>
      <c r="C404" s="3"/>
      <c r="D404" s="3"/>
      <c r="E404" s="3"/>
      <c r="F404" s="3"/>
      <c r="G404" s="3"/>
      <c r="H404" s="3"/>
      <c r="I404" s="3"/>
      <c r="J404" s="3"/>
      <c r="K404" s="4"/>
    </row>
    <row r="405" spans="1:11" ht="17.25" customHeight="1">
      <c r="A405" s="3"/>
      <c r="B405" s="3"/>
      <c r="C405" s="3"/>
      <c r="D405" s="3"/>
      <c r="E405" s="3"/>
      <c r="F405" s="3"/>
      <c r="G405" s="3"/>
      <c r="H405" s="3"/>
      <c r="I405" s="3"/>
      <c r="J405" s="3"/>
      <c r="K405" s="4"/>
    </row>
    <row r="406" spans="1:11" ht="17.25" customHeight="1">
      <c r="A406" s="3"/>
      <c r="B406" s="3"/>
      <c r="C406" s="3"/>
      <c r="D406" s="3"/>
      <c r="E406" s="3"/>
      <c r="F406" s="3"/>
      <c r="G406" s="3"/>
      <c r="H406" s="3"/>
      <c r="I406" s="3"/>
      <c r="J406" s="3"/>
      <c r="K406" s="4"/>
    </row>
    <row r="407" spans="1:11" ht="17.25" customHeight="1">
      <c r="A407" s="3"/>
      <c r="B407" s="3"/>
      <c r="C407" s="3"/>
      <c r="D407" s="3"/>
      <c r="E407" s="3"/>
      <c r="F407" s="3"/>
      <c r="G407" s="3"/>
      <c r="H407" s="3"/>
      <c r="I407" s="3"/>
      <c r="J407" s="3"/>
      <c r="K407" s="4"/>
    </row>
    <row r="408" spans="1:11" ht="17.25" customHeight="1">
      <c r="A408" s="3"/>
      <c r="B408" s="3"/>
      <c r="C408" s="3"/>
      <c r="D408" s="3"/>
      <c r="E408" s="3"/>
      <c r="F408" s="3"/>
      <c r="G408" s="3"/>
      <c r="H408" s="3"/>
      <c r="I408" s="3"/>
      <c r="J408" s="3"/>
      <c r="K408" s="4"/>
    </row>
    <row r="409" spans="1:11" ht="17.25" customHeight="1">
      <c r="A409" s="3"/>
      <c r="B409" s="3"/>
      <c r="C409" s="3"/>
      <c r="D409" s="3"/>
      <c r="E409" s="3"/>
      <c r="F409" s="3"/>
      <c r="G409" s="3"/>
      <c r="H409" s="3"/>
      <c r="I409" s="3"/>
      <c r="J409" s="3"/>
      <c r="K409" s="4"/>
    </row>
    <row r="410" spans="1:11" ht="17.25" customHeight="1">
      <c r="A410" s="3"/>
      <c r="B410" s="3"/>
      <c r="C410" s="3"/>
      <c r="D410" s="3"/>
      <c r="E410" s="3"/>
      <c r="F410" s="3"/>
      <c r="G410" s="3"/>
      <c r="H410" s="3"/>
      <c r="I410" s="3"/>
      <c r="J410" s="3"/>
      <c r="K410" s="4"/>
    </row>
    <row r="411" spans="1:11" ht="17.25" customHeight="1">
      <c r="A411" s="3"/>
      <c r="B411" s="3"/>
      <c r="C411" s="3"/>
      <c r="D411" s="3"/>
      <c r="E411" s="3"/>
      <c r="F411" s="3"/>
      <c r="G411" s="3"/>
      <c r="H411" s="3"/>
      <c r="I411" s="3"/>
      <c r="J411" s="3"/>
      <c r="K411" s="4"/>
    </row>
    <row r="412" spans="1:11" ht="17.25" customHeight="1">
      <c r="A412" s="3"/>
      <c r="B412" s="3"/>
      <c r="C412" s="3"/>
      <c r="D412" s="3"/>
      <c r="E412" s="3"/>
      <c r="F412" s="3"/>
      <c r="G412" s="3"/>
      <c r="H412" s="3"/>
      <c r="I412" s="3"/>
      <c r="J412" s="3"/>
      <c r="K412" s="4"/>
    </row>
    <row r="413" spans="1:11" ht="17.25" customHeight="1">
      <c r="A413" s="3"/>
      <c r="B413" s="3"/>
      <c r="C413" s="3"/>
      <c r="D413" s="3"/>
      <c r="E413" s="3"/>
      <c r="F413" s="3"/>
      <c r="G413" s="3"/>
      <c r="H413" s="3"/>
      <c r="I413" s="3"/>
      <c r="J413" s="3"/>
      <c r="K413" s="4"/>
    </row>
    <row r="414" spans="1:11" ht="17.25" customHeight="1">
      <c r="A414" s="3"/>
      <c r="B414" s="3"/>
      <c r="C414" s="3"/>
      <c r="D414" s="3"/>
      <c r="E414" s="3"/>
      <c r="F414" s="3"/>
      <c r="G414" s="3"/>
      <c r="H414" s="3"/>
      <c r="I414" s="3"/>
      <c r="J414" s="3"/>
      <c r="K414" s="4"/>
    </row>
    <row r="415" spans="1:11" ht="17.25" customHeight="1">
      <c r="A415" s="3"/>
      <c r="B415" s="3"/>
      <c r="C415" s="3"/>
      <c r="D415" s="3"/>
      <c r="E415" s="3"/>
      <c r="F415" s="3"/>
      <c r="G415" s="3"/>
      <c r="H415" s="3"/>
      <c r="I415" s="3"/>
      <c r="J415" s="3"/>
      <c r="K415" s="4"/>
    </row>
    <row r="416" spans="1:11" ht="17.25" customHeight="1">
      <c r="A416" s="3"/>
      <c r="B416" s="3"/>
      <c r="C416" s="3"/>
      <c r="D416" s="3"/>
      <c r="E416" s="3"/>
      <c r="F416" s="3"/>
      <c r="G416" s="3"/>
      <c r="H416" s="3"/>
      <c r="I416" s="3"/>
      <c r="J416" s="3"/>
      <c r="K416" s="4"/>
    </row>
    <row r="417" spans="1:11" ht="17.25" customHeight="1">
      <c r="A417" s="3"/>
      <c r="B417" s="3"/>
      <c r="C417" s="3"/>
      <c r="D417" s="3"/>
      <c r="E417" s="3"/>
      <c r="F417" s="3"/>
      <c r="G417" s="3"/>
      <c r="H417" s="3"/>
      <c r="I417" s="3"/>
      <c r="J417" s="3"/>
      <c r="K417" s="4"/>
    </row>
    <row r="418" spans="1:11" ht="17.25" customHeight="1">
      <c r="A418" s="3"/>
      <c r="B418" s="3"/>
      <c r="C418" s="3"/>
      <c r="D418" s="3"/>
      <c r="E418" s="3"/>
      <c r="F418" s="3"/>
      <c r="G418" s="3"/>
      <c r="H418" s="3"/>
      <c r="I418" s="3"/>
      <c r="J418" s="3"/>
      <c r="K418" s="4"/>
    </row>
    <row r="419" spans="1:11" ht="17.25" customHeight="1">
      <c r="A419" s="3"/>
      <c r="B419" s="3"/>
      <c r="C419" s="3"/>
      <c r="D419" s="3"/>
      <c r="E419" s="3"/>
      <c r="F419" s="3"/>
      <c r="G419" s="3"/>
      <c r="H419" s="3"/>
      <c r="I419" s="3"/>
      <c r="J419" s="3"/>
      <c r="K419" s="4"/>
    </row>
    <row r="420" spans="1:11" ht="17.25" customHeight="1">
      <c r="A420" s="3"/>
      <c r="B420" s="3"/>
      <c r="C420" s="3"/>
      <c r="D420" s="3"/>
      <c r="E420" s="3"/>
      <c r="F420" s="3"/>
      <c r="G420" s="3"/>
      <c r="H420" s="3"/>
      <c r="I420" s="3"/>
      <c r="J420" s="3"/>
      <c r="K420" s="4"/>
    </row>
    <row r="421" spans="1:11" ht="17.25" customHeight="1">
      <c r="A421" s="3"/>
      <c r="B421" s="3"/>
      <c r="C421" s="3"/>
      <c r="D421" s="3"/>
      <c r="E421" s="3"/>
      <c r="F421" s="3"/>
      <c r="G421" s="3"/>
      <c r="H421" s="3"/>
      <c r="I421" s="3"/>
      <c r="J421" s="3"/>
      <c r="K421" s="4"/>
    </row>
    <row r="422" spans="1:11" ht="17.25" customHeight="1">
      <c r="A422" s="3"/>
      <c r="B422" s="3"/>
      <c r="C422" s="3"/>
      <c r="D422" s="3"/>
      <c r="E422" s="3"/>
      <c r="F422" s="3"/>
      <c r="G422" s="3"/>
      <c r="H422" s="3"/>
      <c r="I422" s="3"/>
      <c r="J422" s="3"/>
      <c r="K422" s="4"/>
    </row>
    <row r="423" spans="1:11" ht="17.25" customHeight="1">
      <c r="A423" s="3"/>
      <c r="B423" s="3"/>
      <c r="C423" s="3"/>
      <c r="D423" s="3"/>
      <c r="E423" s="3"/>
      <c r="F423" s="3"/>
      <c r="G423" s="3"/>
      <c r="H423" s="3"/>
      <c r="I423" s="3"/>
      <c r="J423" s="3"/>
      <c r="K423" s="4"/>
    </row>
    <row r="424" spans="1:11" ht="17.25" customHeight="1">
      <c r="A424" s="3"/>
      <c r="B424" s="3"/>
      <c r="C424" s="3"/>
      <c r="D424" s="3"/>
      <c r="E424" s="3"/>
      <c r="F424" s="3"/>
      <c r="G424" s="3"/>
      <c r="H424" s="3"/>
      <c r="I424" s="3"/>
      <c r="J424" s="3"/>
      <c r="K424" s="4"/>
    </row>
    <row r="425" spans="1:11" ht="17.25" customHeight="1">
      <c r="A425" s="3"/>
      <c r="B425" s="3"/>
      <c r="C425" s="3"/>
      <c r="D425" s="3"/>
      <c r="E425" s="3"/>
      <c r="F425" s="3"/>
      <c r="G425" s="3"/>
      <c r="H425" s="3"/>
      <c r="I425" s="3"/>
      <c r="J425" s="3"/>
      <c r="K425" s="4"/>
    </row>
    <row r="426" spans="1:11" ht="17.25" customHeight="1">
      <c r="A426" s="3"/>
      <c r="B426" s="3"/>
      <c r="C426" s="3"/>
      <c r="D426" s="3"/>
      <c r="E426" s="3"/>
      <c r="F426" s="3"/>
      <c r="G426" s="3"/>
      <c r="H426" s="3"/>
      <c r="I426" s="3"/>
      <c r="J426" s="3"/>
      <c r="K426" s="4"/>
    </row>
    <row r="427" spans="1:11" ht="17.25" customHeight="1">
      <c r="A427" s="3"/>
      <c r="B427" s="3"/>
      <c r="C427" s="3"/>
      <c r="D427" s="3"/>
      <c r="E427" s="3"/>
      <c r="F427" s="3"/>
      <c r="G427" s="3"/>
      <c r="H427" s="3"/>
      <c r="I427" s="3"/>
      <c r="J427" s="3"/>
      <c r="K427" s="4"/>
    </row>
    <row r="428" spans="1:11" ht="17.25" customHeight="1">
      <c r="A428" s="3"/>
      <c r="B428" s="3"/>
      <c r="C428" s="3"/>
      <c r="D428" s="3"/>
      <c r="E428" s="3"/>
      <c r="F428" s="3"/>
      <c r="G428" s="3"/>
      <c r="H428" s="3"/>
      <c r="I428" s="3"/>
      <c r="J428" s="3"/>
      <c r="K428" s="4"/>
    </row>
    <row r="429" spans="1:11" ht="17.25" customHeight="1">
      <c r="A429" s="3"/>
      <c r="B429" s="3"/>
      <c r="C429" s="3"/>
      <c r="D429" s="3"/>
      <c r="E429" s="3"/>
      <c r="F429" s="3"/>
      <c r="G429" s="3"/>
      <c r="H429" s="3"/>
      <c r="I429" s="3"/>
      <c r="J429" s="3"/>
      <c r="K429" s="4"/>
    </row>
    <row r="430" spans="1:11" ht="17.25" customHeight="1">
      <c r="A430" s="3"/>
      <c r="B430" s="3"/>
      <c r="C430" s="3"/>
      <c r="D430" s="3"/>
      <c r="E430" s="3"/>
      <c r="F430" s="3"/>
      <c r="G430" s="3"/>
      <c r="H430" s="3"/>
      <c r="I430" s="3"/>
      <c r="J430" s="3"/>
      <c r="K430" s="4"/>
    </row>
    <row r="431" spans="1:11" ht="17.25" customHeight="1">
      <c r="A431" s="3"/>
      <c r="B431" s="3"/>
      <c r="C431" s="3"/>
      <c r="D431" s="3"/>
      <c r="E431" s="3"/>
      <c r="F431" s="3"/>
      <c r="G431" s="3"/>
      <c r="H431" s="3"/>
      <c r="I431" s="3"/>
      <c r="J431" s="3"/>
      <c r="K431" s="4"/>
    </row>
    <row r="432" spans="1:11" ht="17.25" customHeight="1">
      <c r="A432" s="3"/>
      <c r="B432" s="3"/>
      <c r="C432" s="3"/>
      <c r="D432" s="3"/>
      <c r="E432" s="3"/>
      <c r="F432" s="3"/>
      <c r="G432" s="3"/>
      <c r="H432" s="3"/>
      <c r="I432" s="3"/>
      <c r="J432" s="3"/>
      <c r="K432" s="4"/>
    </row>
    <row r="433" spans="1:11" ht="17.25" customHeight="1">
      <c r="A433" s="3"/>
      <c r="B433" s="3"/>
      <c r="C433" s="3"/>
      <c r="D433" s="3"/>
      <c r="E433" s="3"/>
      <c r="F433" s="3"/>
      <c r="G433" s="3"/>
      <c r="H433" s="3"/>
      <c r="I433" s="3"/>
      <c r="J433" s="3"/>
      <c r="K433" s="4"/>
    </row>
    <row r="434" spans="1:11" ht="17.25" customHeight="1">
      <c r="A434" s="3"/>
      <c r="B434" s="3"/>
      <c r="C434" s="3"/>
      <c r="D434" s="3"/>
      <c r="E434" s="3"/>
      <c r="F434" s="3"/>
      <c r="G434" s="3"/>
      <c r="H434" s="3"/>
      <c r="I434" s="3"/>
      <c r="J434" s="3"/>
      <c r="K434" s="4"/>
    </row>
    <row r="435" spans="1:11" ht="17.25" customHeight="1">
      <c r="A435" s="3"/>
      <c r="B435" s="3"/>
      <c r="C435" s="3"/>
      <c r="D435" s="3"/>
      <c r="E435" s="3"/>
      <c r="F435" s="3"/>
      <c r="G435" s="3"/>
      <c r="H435" s="3"/>
      <c r="I435" s="3"/>
      <c r="J435" s="3"/>
      <c r="K435" s="4"/>
    </row>
    <row r="436" spans="1:11" ht="17.25" customHeight="1">
      <c r="A436" s="3"/>
      <c r="B436" s="3"/>
      <c r="C436" s="3"/>
      <c r="D436" s="3"/>
      <c r="E436" s="3"/>
      <c r="F436" s="3"/>
      <c r="G436" s="3"/>
      <c r="H436" s="3"/>
      <c r="I436" s="3"/>
      <c r="J436" s="3"/>
      <c r="K436" s="4"/>
    </row>
    <row r="437" spans="1:11" ht="17.25" customHeight="1">
      <c r="A437" s="3"/>
      <c r="B437" s="3"/>
      <c r="C437" s="3"/>
      <c r="D437" s="3"/>
      <c r="E437" s="3"/>
      <c r="F437" s="3"/>
      <c r="G437" s="3"/>
      <c r="H437" s="3"/>
      <c r="I437" s="3"/>
      <c r="J437" s="3"/>
      <c r="K437" s="4"/>
    </row>
    <row r="438" spans="1:11" ht="17.25" customHeight="1">
      <c r="A438" s="3"/>
      <c r="B438" s="3"/>
      <c r="C438" s="3"/>
      <c r="D438" s="3"/>
      <c r="E438" s="3"/>
      <c r="F438" s="3"/>
      <c r="G438" s="3"/>
      <c r="H438" s="3"/>
      <c r="I438" s="3"/>
      <c r="J438" s="3"/>
      <c r="K438" s="4"/>
    </row>
    <row r="439" spans="1:11" ht="17.25" customHeight="1">
      <c r="A439" s="3"/>
      <c r="B439" s="3"/>
      <c r="C439" s="3"/>
      <c r="D439" s="3"/>
      <c r="E439" s="3"/>
      <c r="F439" s="3"/>
      <c r="G439" s="3"/>
      <c r="H439" s="3"/>
      <c r="I439" s="3"/>
      <c r="J439" s="3"/>
      <c r="K439" s="4"/>
    </row>
    <row r="440" spans="1:11" ht="17.25" customHeight="1">
      <c r="A440" s="3"/>
      <c r="B440" s="3"/>
      <c r="C440" s="3"/>
      <c r="D440" s="3"/>
      <c r="E440" s="3"/>
      <c r="F440" s="3"/>
      <c r="G440" s="3"/>
      <c r="H440" s="3"/>
      <c r="I440" s="3"/>
      <c r="J440" s="3"/>
      <c r="K440" s="4"/>
    </row>
    <row r="441" spans="1:11" ht="17.25" customHeight="1">
      <c r="A441" s="3"/>
      <c r="B441" s="3"/>
      <c r="C441" s="3"/>
      <c r="D441" s="3"/>
      <c r="E441" s="3"/>
      <c r="F441" s="3"/>
      <c r="G441" s="3"/>
      <c r="H441" s="3"/>
      <c r="I441" s="3"/>
      <c r="J441" s="3"/>
      <c r="K441" s="4"/>
    </row>
    <row r="442" spans="1:11" ht="17.25" customHeight="1">
      <c r="A442" s="3"/>
      <c r="B442" s="3"/>
      <c r="C442" s="3"/>
      <c r="D442" s="3"/>
      <c r="E442" s="3"/>
      <c r="F442" s="3"/>
      <c r="G442" s="3"/>
      <c r="H442" s="3"/>
      <c r="I442" s="3"/>
      <c r="J442" s="3"/>
      <c r="K442" s="4"/>
    </row>
    <row r="443" spans="1:11" ht="17.25" customHeight="1">
      <c r="A443" s="3"/>
      <c r="B443" s="3"/>
      <c r="C443" s="3"/>
      <c r="D443" s="3"/>
      <c r="E443" s="3"/>
      <c r="F443" s="3"/>
      <c r="G443" s="3"/>
      <c r="H443" s="3"/>
      <c r="I443" s="3"/>
      <c r="J443" s="3"/>
      <c r="K443" s="4"/>
    </row>
    <row r="444" spans="1:11" ht="17.25" customHeight="1">
      <c r="A444" s="3"/>
      <c r="B444" s="3"/>
      <c r="C444" s="3"/>
      <c r="D444" s="3"/>
      <c r="E444" s="3"/>
      <c r="F444" s="3"/>
      <c r="G444" s="3"/>
      <c r="H444" s="3"/>
      <c r="I444" s="3"/>
      <c r="J444" s="3"/>
      <c r="K444" s="4"/>
    </row>
    <row r="445" spans="1:11" ht="17.25" customHeight="1">
      <c r="A445" s="3"/>
      <c r="B445" s="3"/>
      <c r="C445" s="3"/>
      <c r="D445" s="3"/>
      <c r="E445" s="3"/>
      <c r="F445" s="3"/>
      <c r="G445" s="3"/>
      <c r="H445" s="3"/>
      <c r="I445" s="3"/>
      <c r="J445" s="3"/>
      <c r="K445" s="4"/>
    </row>
    <row r="446" spans="1:11" ht="17.25" customHeight="1">
      <c r="A446" s="3"/>
      <c r="B446" s="3"/>
      <c r="C446" s="3"/>
      <c r="D446" s="3"/>
      <c r="E446" s="3"/>
      <c r="F446" s="3"/>
      <c r="G446" s="3"/>
      <c r="H446" s="3"/>
      <c r="I446" s="3"/>
      <c r="J446" s="3"/>
      <c r="K446" s="4"/>
    </row>
    <row r="447" spans="1:11" ht="17.25" customHeight="1">
      <c r="A447" s="3"/>
      <c r="B447" s="3"/>
      <c r="C447" s="3"/>
      <c r="D447" s="3"/>
      <c r="E447" s="3"/>
      <c r="F447" s="3"/>
      <c r="G447" s="3"/>
      <c r="H447" s="3"/>
      <c r="I447" s="3"/>
      <c r="J447" s="3"/>
      <c r="K447" s="4"/>
    </row>
    <row r="448" spans="1:11" ht="17.25" customHeight="1">
      <c r="A448" s="3"/>
      <c r="B448" s="3"/>
      <c r="C448" s="3"/>
      <c r="D448" s="3"/>
      <c r="E448" s="3"/>
      <c r="F448" s="3"/>
      <c r="G448" s="3"/>
      <c r="H448" s="3"/>
      <c r="I448" s="3"/>
      <c r="J448" s="3"/>
      <c r="K448" s="4"/>
    </row>
    <row r="449" spans="1:11" ht="17.25" customHeight="1">
      <c r="A449" s="3"/>
      <c r="B449" s="3"/>
      <c r="C449" s="3"/>
      <c r="D449" s="3"/>
      <c r="E449" s="3"/>
      <c r="F449" s="3"/>
      <c r="G449" s="3"/>
      <c r="H449" s="3"/>
      <c r="I449" s="3"/>
      <c r="J449" s="3"/>
      <c r="K449" s="4"/>
    </row>
    <row r="450" spans="1:11" ht="17.25" customHeight="1">
      <c r="A450" s="3"/>
      <c r="B450" s="3"/>
      <c r="C450" s="3"/>
      <c r="D450" s="3"/>
      <c r="E450" s="3"/>
      <c r="F450" s="3"/>
      <c r="G450" s="3"/>
      <c r="H450" s="3"/>
      <c r="I450" s="3"/>
      <c r="J450" s="3"/>
      <c r="K450" s="4"/>
    </row>
    <row r="451" spans="1:11" ht="17.25" customHeight="1">
      <c r="A451" s="3"/>
      <c r="B451" s="3"/>
      <c r="C451" s="3"/>
      <c r="D451" s="3"/>
      <c r="E451" s="3"/>
      <c r="F451" s="3"/>
      <c r="G451" s="3"/>
      <c r="H451" s="3"/>
      <c r="I451" s="3"/>
      <c r="J451" s="3"/>
      <c r="K451" s="4"/>
    </row>
    <row r="452" spans="1:11" ht="17.25" customHeight="1">
      <c r="A452" s="3"/>
      <c r="B452" s="3"/>
      <c r="C452" s="3"/>
      <c r="D452" s="3"/>
      <c r="E452" s="3"/>
      <c r="F452" s="3"/>
      <c r="G452" s="3"/>
      <c r="H452" s="3"/>
      <c r="I452" s="3"/>
      <c r="J452" s="3"/>
      <c r="K452" s="4"/>
    </row>
    <row r="453" spans="1:11" ht="17.25" customHeight="1">
      <c r="A453" s="3"/>
      <c r="B453" s="3"/>
      <c r="C453" s="3"/>
      <c r="D453" s="3"/>
      <c r="E453" s="3"/>
      <c r="F453" s="3"/>
      <c r="G453" s="3"/>
      <c r="H453" s="3"/>
      <c r="I453" s="3"/>
      <c r="J453" s="3"/>
      <c r="K453" s="4"/>
    </row>
    <row r="454" spans="1:11" ht="17.25" customHeight="1">
      <c r="A454" s="3"/>
      <c r="B454" s="3"/>
      <c r="C454" s="3"/>
      <c r="D454" s="3"/>
      <c r="E454" s="3"/>
      <c r="F454" s="3"/>
      <c r="G454" s="3"/>
      <c r="H454" s="3"/>
      <c r="I454" s="3"/>
      <c r="J454" s="3"/>
      <c r="K454" s="4"/>
    </row>
    <row r="455" spans="1:11" ht="17.25" customHeight="1">
      <c r="A455" s="3"/>
      <c r="B455" s="3"/>
      <c r="C455" s="3"/>
      <c r="D455" s="3"/>
      <c r="E455" s="3"/>
      <c r="F455" s="3"/>
      <c r="G455" s="3"/>
      <c r="H455" s="3"/>
      <c r="I455" s="3"/>
      <c r="J455" s="3"/>
      <c r="K455" s="4"/>
    </row>
    <row r="456" spans="1:11" ht="17.25" customHeight="1">
      <c r="A456" s="3"/>
      <c r="B456" s="3"/>
      <c r="C456" s="3"/>
      <c r="D456" s="3"/>
      <c r="E456" s="3"/>
      <c r="F456" s="3"/>
      <c r="G456" s="3"/>
      <c r="H456" s="3"/>
      <c r="I456" s="3"/>
      <c r="J456" s="3"/>
      <c r="K456" s="4"/>
    </row>
    <row r="457" spans="1:11" ht="17.25" customHeight="1">
      <c r="A457" s="3"/>
      <c r="B457" s="3"/>
      <c r="C457" s="3"/>
      <c r="D457" s="3"/>
      <c r="E457" s="3"/>
      <c r="F457" s="3"/>
      <c r="G457" s="3"/>
      <c r="H457" s="3"/>
      <c r="I457" s="3"/>
      <c r="J457" s="3"/>
      <c r="K457" s="4"/>
    </row>
    <row r="458" spans="1:11" ht="17.25" customHeight="1">
      <c r="A458" s="3"/>
      <c r="B458" s="3"/>
      <c r="C458" s="3"/>
      <c r="D458" s="3"/>
      <c r="E458" s="3"/>
      <c r="F458" s="3"/>
      <c r="G458" s="3"/>
      <c r="H458" s="3"/>
      <c r="I458" s="3"/>
      <c r="J458" s="3"/>
      <c r="K458" s="4"/>
    </row>
    <row r="459" spans="1:11" ht="17.25" customHeight="1">
      <c r="A459" s="3"/>
      <c r="B459" s="3"/>
      <c r="C459" s="3"/>
      <c r="D459" s="3"/>
      <c r="E459" s="3"/>
      <c r="F459" s="3"/>
      <c r="G459" s="3"/>
      <c r="H459" s="3"/>
      <c r="I459" s="3"/>
      <c r="J459" s="3"/>
      <c r="K459" s="4"/>
    </row>
    <row r="460" spans="1:11" ht="17.25" customHeight="1">
      <c r="A460" s="3"/>
      <c r="B460" s="3"/>
      <c r="C460" s="3"/>
      <c r="D460" s="3"/>
      <c r="E460" s="3"/>
      <c r="F460" s="3"/>
      <c r="G460" s="3"/>
      <c r="H460" s="3"/>
      <c r="I460" s="3"/>
      <c r="J460" s="3"/>
      <c r="K460" s="4"/>
    </row>
    <row r="461" spans="1:11" ht="17.25" customHeight="1">
      <c r="A461" s="3"/>
      <c r="B461" s="3"/>
      <c r="C461" s="3"/>
      <c r="D461" s="3"/>
      <c r="E461" s="3"/>
      <c r="F461" s="3"/>
      <c r="G461" s="3"/>
      <c r="H461" s="3"/>
      <c r="I461" s="3"/>
      <c r="J461" s="3"/>
      <c r="K461" s="4"/>
    </row>
    <row r="462" spans="1:11" ht="17.25" customHeight="1">
      <c r="A462" s="3"/>
      <c r="B462" s="3"/>
      <c r="C462" s="3"/>
      <c r="D462" s="3"/>
      <c r="E462" s="3"/>
      <c r="F462" s="3"/>
      <c r="G462" s="3"/>
      <c r="H462" s="3"/>
      <c r="I462" s="3"/>
      <c r="J462" s="3"/>
      <c r="K462" s="4"/>
    </row>
    <row r="463" spans="1:11" ht="17.25" customHeight="1">
      <c r="A463" s="3"/>
      <c r="B463" s="3"/>
      <c r="C463" s="3"/>
      <c r="D463" s="3"/>
      <c r="E463" s="3"/>
      <c r="F463" s="3"/>
      <c r="G463" s="3"/>
      <c r="H463" s="3"/>
      <c r="I463" s="3"/>
      <c r="J463" s="3"/>
      <c r="K463" s="4"/>
    </row>
    <row r="464" spans="1:11" ht="17.25" customHeight="1">
      <c r="A464" s="3"/>
      <c r="B464" s="3"/>
      <c r="C464" s="3"/>
      <c r="D464" s="3"/>
      <c r="E464" s="3"/>
      <c r="F464" s="3"/>
      <c r="G464" s="3"/>
      <c r="H464" s="3"/>
      <c r="I464" s="3"/>
      <c r="J464" s="3"/>
      <c r="K464" s="4"/>
    </row>
    <row r="465" spans="1:11" ht="17.25" customHeight="1">
      <c r="A465" s="3"/>
      <c r="B465" s="3"/>
      <c r="C465" s="3"/>
      <c r="D465" s="3"/>
      <c r="E465" s="3"/>
      <c r="F465" s="3"/>
      <c r="G465" s="3"/>
      <c r="H465" s="3"/>
      <c r="I465" s="3"/>
      <c r="J465" s="3"/>
      <c r="K465" s="4"/>
    </row>
    <row r="466" spans="1:11" ht="17.25" customHeight="1">
      <c r="A466" s="3"/>
      <c r="B466" s="3"/>
      <c r="C466" s="3"/>
      <c r="D466" s="3"/>
      <c r="E466" s="3"/>
      <c r="F466" s="3"/>
      <c r="G466" s="3"/>
      <c r="H466" s="3"/>
      <c r="I466" s="3"/>
      <c r="J466" s="3"/>
      <c r="K466" s="4"/>
    </row>
    <row r="467" spans="1:11" ht="17.25" customHeight="1">
      <c r="A467" s="3"/>
      <c r="B467" s="3"/>
      <c r="C467" s="3"/>
      <c r="D467" s="3"/>
      <c r="E467" s="3"/>
      <c r="F467" s="3"/>
      <c r="G467" s="3"/>
      <c r="H467" s="3"/>
      <c r="I467" s="3"/>
      <c r="J467" s="3"/>
      <c r="K467" s="4"/>
    </row>
    <row r="468" spans="1:11" ht="17.25" customHeight="1">
      <c r="A468" s="3"/>
      <c r="B468" s="3"/>
      <c r="C468" s="3"/>
      <c r="D468" s="3"/>
      <c r="E468" s="3"/>
      <c r="F468" s="3"/>
      <c r="G468" s="3"/>
      <c r="H468" s="3"/>
      <c r="I468" s="3"/>
      <c r="J468" s="3"/>
      <c r="K468" s="4"/>
    </row>
    <row r="469" spans="1:11" ht="17.25" customHeight="1">
      <c r="A469" s="3"/>
      <c r="B469" s="3"/>
      <c r="C469" s="3"/>
      <c r="D469" s="3"/>
      <c r="E469" s="3"/>
      <c r="F469" s="3"/>
      <c r="G469" s="3"/>
      <c r="H469" s="3"/>
      <c r="I469" s="3"/>
      <c r="J469" s="3"/>
      <c r="K469" s="4"/>
    </row>
    <row r="470" spans="1:11" ht="17.25" customHeight="1">
      <c r="A470" s="3"/>
      <c r="B470" s="3"/>
      <c r="C470" s="3"/>
      <c r="D470" s="3"/>
      <c r="E470" s="3"/>
      <c r="F470" s="3"/>
      <c r="G470" s="3"/>
      <c r="H470" s="3"/>
      <c r="I470" s="3"/>
      <c r="J470" s="3"/>
      <c r="K470" s="4"/>
    </row>
    <row r="471" spans="1:11" ht="17.25" customHeight="1">
      <c r="A471" s="3"/>
      <c r="B471" s="3"/>
      <c r="C471" s="3"/>
      <c r="D471" s="3"/>
      <c r="E471" s="3"/>
      <c r="F471" s="3"/>
      <c r="G471" s="3"/>
      <c r="H471" s="3"/>
      <c r="I471" s="3"/>
      <c r="J471" s="3"/>
      <c r="K471" s="4"/>
    </row>
    <row r="472" spans="1:11" ht="17.25" customHeight="1">
      <c r="A472" s="3"/>
      <c r="B472" s="3"/>
      <c r="C472" s="3"/>
      <c r="D472" s="3"/>
      <c r="E472" s="3"/>
      <c r="F472" s="3"/>
      <c r="G472" s="3"/>
      <c r="H472" s="3"/>
      <c r="I472" s="3"/>
      <c r="J472" s="3"/>
      <c r="K472" s="4"/>
    </row>
    <row r="473" spans="1:11" ht="17.25" customHeight="1">
      <c r="A473" s="3"/>
      <c r="B473" s="3"/>
      <c r="C473" s="3"/>
      <c r="D473" s="3"/>
      <c r="E473" s="3"/>
      <c r="F473" s="3"/>
      <c r="G473" s="3"/>
      <c r="H473" s="3"/>
      <c r="I473" s="3"/>
      <c r="J473" s="3"/>
      <c r="K473" s="4"/>
    </row>
    <row r="474" spans="1:11" ht="17.25" customHeight="1">
      <c r="A474" s="3"/>
      <c r="B474" s="3"/>
      <c r="C474" s="3"/>
      <c r="D474" s="3"/>
      <c r="E474" s="3"/>
      <c r="F474" s="3"/>
      <c r="G474" s="3"/>
      <c r="H474" s="3"/>
      <c r="I474" s="3"/>
      <c r="J474" s="3"/>
      <c r="K474" s="4"/>
    </row>
    <row r="475" spans="1:11" ht="17.25" customHeight="1">
      <c r="A475" s="3"/>
      <c r="B475" s="3"/>
      <c r="C475" s="3"/>
      <c r="D475" s="3"/>
      <c r="E475" s="3"/>
      <c r="F475" s="3"/>
      <c r="G475" s="3"/>
      <c r="H475" s="3"/>
      <c r="I475" s="3"/>
      <c r="J475" s="3"/>
      <c r="K475" s="4"/>
    </row>
    <row r="476" spans="1:11" ht="17.25" customHeight="1">
      <c r="A476" s="3"/>
      <c r="B476" s="3"/>
      <c r="C476" s="3"/>
      <c r="D476" s="3"/>
      <c r="E476" s="3"/>
      <c r="F476" s="3"/>
      <c r="G476" s="3"/>
      <c r="H476" s="3"/>
      <c r="I476" s="3"/>
      <c r="J476" s="3"/>
      <c r="K476" s="4"/>
    </row>
    <row r="477" spans="1:11" ht="17.25" customHeight="1">
      <c r="A477" s="3"/>
      <c r="B477" s="3"/>
      <c r="C477" s="3"/>
      <c r="D477" s="3"/>
      <c r="E477" s="3"/>
      <c r="F477" s="3"/>
      <c r="G477" s="3"/>
      <c r="H477" s="3"/>
      <c r="I477" s="3"/>
      <c r="J477" s="3"/>
      <c r="K477" s="4"/>
    </row>
    <row r="478" spans="1:11" ht="17.25" customHeight="1">
      <c r="A478" s="3"/>
      <c r="B478" s="3"/>
      <c r="C478" s="3"/>
      <c r="D478" s="3"/>
      <c r="E478" s="3"/>
      <c r="F478" s="3"/>
      <c r="G478" s="3"/>
      <c r="H478" s="3"/>
      <c r="I478" s="3"/>
      <c r="J478" s="3"/>
      <c r="K478" s="4"/>
    </row>
    <row r="479" spans="1:11" ht="17.25" customHeight="1">
      <c r="A479" s="3"/>
      <c r="B479" s="3"/>
      <c r="C479" s="3"/>
      <c r="D479" s="3"/>
      <c r="E479" s="3"/>
      <c r="F479" s="3"/>
      <c r="G479" s="3"/>
      <c r="H479" s="3"/>
      <c r="I479" s="3"/>
      <c r="J479" s="3"/>
      <c r="K479" s="4"/>
    </row>
    <row r="480" spans="1:11" ht="17.25" customHeight="1">
      <c r="A480" s="3"/>
      <c r="B480" s="3"/>
      <c r="C480" s="3"/>
      <c r="D480" s="3"/>
      <c r="E480" s="3"/>
      <c r="F480" s="3"/>
      <c r="G480" s="3"/>
      <c r="H480" s="3"/>
      <c r="I480" s="3"/>
      <c r="J480" s="3"/>
      <c r="K480" s="4"/>
    </row>
    <row r="481" spans="1:11" ht="17.25" customHeight="1">
      <c r="A481" s="3"/>
      <c r="B481" s="3"/>
      <c r="C481" s="3"/>
      <c r="D481" s="3"/>
      <c r="E481" s="3"/>
      <c r="F481" s="3"/>
      <c r="G481" s="3"/>
      <c r="H481" s="3"/>
      <c r="I481" s="3"/>
      <c r="J481" s="3"/>
      <c r="K481" s="4"/>
    </row>
    <row r="482" spans="1:11" ht="17.25" customHeight="1">
      <c r="A482" s="3"/>
      <c r="B482" s="3"/>
      <c r="C482" s="3"/>
      <c r="D482" s="3"/>
      <c r="E482" s="3"/>
      <c r="F482" s="3"/>
      <c r="G482" s="3"/>
      <c r="H482" s="3"/>
      <c r="I482" s="3"/>
      <c r="J482" s="3"/>
      <c r="K482" s="4"/>
    </row>
    <row r="483" spans="1:11" ht="17.25" customHeight="1">
      <c r="A483" s="3"/>
      <c r="B483" s="3"/>
      <c r="C483" s="3"/>
      <c r="D483" s="3"/>
      <c r="E483" s="3"/>
      <c r="F483" s="3"/>
      <c r="G483" s="3"/>
      <c r="H483" s="3"/>
      <c r="I483" s="3"/>
      <c r="J483" s="3"/>
      <c r="K483" s="4"/>
    </row>
    <row r="484" spans="1:11" ht="17.25" customHeight="1">
      <c r="A484" s="3"/>
      <c r="B484" s="3"/>
      <c r="C484" s="3"/>
      <c r="D484" s="3"/>
      <c r="E484" s="3"/>
      <c r="F484" s="3"/>
      <c r="G484" s="3"/>
      <c r="H484" s="3"/>
      <c r="I484" s="3"/>
      <c r="J484" s="3"/>
      <c r="K484" s="4"/>
    </row>
    <row r="485" spans="1:11" ht="17.25" customHeight="1">
      <c r="A485" s="3"/>
      <c r="B485" s="3"/>
      <c r="C485" s="3"/>
      <c r="D485" s="3"/>
      <c r="E485" s="3"/>
      <c r="F485" s="3"/>
      <c r="G485" s="3"/>
      <c r="H485" s="3"/>
      <c r="I485" s="3"/>
      <c r="J485" s="3"/>
      <c r="K485" s="4"/>
    </row>
    <row r="486" spans="1:11" ht="17.25" customHeight="1">
      <c r="A486" s="3"/>
      <c r="B486" s="3"/>
      <c r="C486" s="3"/>
      <c r="D486" s="3"/>
      <c r="E486" s="3"/>
      <c r="F486" s="3"/>
      <c r="G486" s="3"/>
      <c r="H486" s="3"/>
      <c r="I486" s="3"/>
      <c r="J486" s="3"/>
      <c r="K486" s="4"/>
    </row>
    <row r="487" spans="1:11" ht="17.25" customHeight="1">
      <c r="A487" s="3"/>
      <c r="B487" s="3"/>
      <c r="C487" s="3"/>
      <c r="D487" s="3"/>
      <c r="E487" s="3"/>
      <c r="F487" s="3"/>
      <c r="G487" s="3"/>
      <c r="H487" s="3"/>
      <c r="I487" s="3"/>
      <c r="J487" s="3"/>
      <c r="K487" s="4"/>
    </row>
    <row r="488" spans="1:11" ht="17.25" customHeight="1">
      <c r="A488" s="3"/>
      <c r="B488" s="3"/>
      <c r="C488" s="3"/>
      <c r="D488" s="3"/>
      <c r="E488" s="3"/>
      <c r="F488" s="3"/>
      <c r="G488" s="3"/>
      <c r="H488" s="3"/>
      <c r="I488" s="3"/>
      <c r="J488" s="3"/>
      <c r="K488" s="4"/>
    </row>
    <row r="489" spans="1:11" ht="17.25" customHeight="1">
      <c r="A489" s="3"/>
      <c r="B489" s="3"/>
      <c r="C489" s="3"/>
      <c r="D489" s="3"/>
      <c r="E489" s="3"/>
      <c r="F489" s="3"/>
      <c r="G489" s="3"/>
      <c r="H489" s="3"/>
      <c r="I489" s="3"/>
      <c r="J489" s="3"/>
      <c r="K489" s="4"/>
    </row>
    <row r="490" spans="1:11" ht="17.25" customHeight="1">
      <c r="A490" s="3"/>
      <c r="B490" s="3"/>
      <c r="C490" s="3"/>
      <c r="D490" s="3"/>
      <c r="E490" s="3"/>
      <c r="F490" s="3"/>
      <c r="G490" s="3"/>
      <c r="H490" s="3"/>
      <c r="I490" s="3"/>
      <c r="J490" s="3"/>
      <c r="K490" s="4"/>
    </row>
    <row r="491" spans="1:11" ht="17.25" customHeight="1">
      <c r="A491" s="3"/>
      <c r="B491" s="3"/>
      <c r="C491" s="3"/>
      <c r="D491" s="3"/>
      <c r="E491" s="3"/>
      <c r="F491" s="3"/>
      <c r="G491" s="3"/>
      <c r="H491" s="3"/>
      <c r="I491" s="3"/>
      <c r="J491" s="3"/>
      <c r="K491" s="4"/>
    </row>
    <row r="492" spans="1:11" ht="17.25" customHeight="1">
      <c r="A492" s="3"/>
      <c r="B492" s="3"/>
      <c r="C492" s="3"/>
      <c r="D492" s="3"/>
      <c r="E492" s="3"/>
      <c r="F492" s="3"/>
      <c r="G492" s="3"/>
      <c r="H492" s="3"/>
      <c r="I492" s="3"/>
      <c r="J492" s="3"/>
      <c r="K492" s="4"/>
    </row>
    <row r="493" spans="1:11" ht="17.25" customHeight="1">
      <c r="A493" s="3"/>
      <c r="B493" s="3"/>
      <c r="C493" s="3"/>
      <c r="D493" s="3"/>
      <c r="E493" s="3"/>
      <c r="F493" s="3"/>
      <c r="G493" s="3"/>
      <c r="H493" s="3"/>
      <c r="I493" s="3"/>
      <c r="J493" s="3"/>
      <c r="K493" s="4"/>
    </row>
    <row r="494" spans="1:11" ht="17.25" customHeight="1">
      <c r="A494" s="3"/>
      <c r="B494" s="3"/>
      <c r="C494" s="3"/>
      <c r="D494" s="3"/>
      <c r="E494" s="3"/>
      <c r="F494" s="3"/>
      <c r="G494" s="3"/>
      <c r="H494" s="3"/>
      <c r="I494" s="3"/>
      <c r="J494" s="3"/>
      <c r="K494" s="4"/>
    </row>
    <row r="495" spans="1:11" ht="17.25" customHeight="1">
      <c r="A495" s="3"/>
      <c r="B495" s="3"/>
      <c r="C495" s="3"/>
      <c r="D495" s="3"/>
      <c r="E495" s="3"/>
      <c r="F495" s="3"/>
      <c r="G495" s="3"/>
      <c r="H495" s="3"/>
      <c r="I495" s="3"/>
      <c r="J495" s="3"/>
      <c r="K495" s="4"/>
    </row>
    <row r="496" spans="1:11" ht="17.25" customHeight="1">
      <c r="A496" s="3"/>
      <c r="B496" s="3"/>
      <c r="C496" s="3"/>
      <c r="D496" s="3"/>
      <c r="E496" s="3"/>
      <c r="F496" s="3"/>
      <c r="G496" s="3"/>
      <c r="H496" s="3"/>
      <c r="I496" s="3"/>
      <c r="J496" s="3"/>
      <c r="K496" s="4"/>
    </row>
    <row r="497" spans="1:11" ht="17.25" customHeight="1">
      <c r="A497" s="3"/>
      <c r="B497" s="3"/>
      <c r="C497" s="3"/>
      <c r="D497" s="3"/>
      <c r="E497" s="3"/>
      <c r="F497" s="3"/>
      <c r="G497" s="3"/>
      <c r="H497" s="3"/>
      <c r="I497" s="3"/>
      <c r="J497" s="3"/>
      <c r="K497" s="4"/>
    </row>
    <row r="498" spans="1:11" ht="17.25" customHeight="1">
      <c r="A498" s="3"/>
      <c r="B498" s="3"/>
      <c r="C498" s="3"/>
      <c r="D498" s="3"/>
      <c r="E498" s="3"/>
      <c r="F498" s="3"/>
      <c r="G498" s="3"/>
      <c r="H498" s="3"/>
      <c r="I498" s="3"/>
      <c r="J498" s="3"/>
      <c r="K498" s="4"/>
    </row>
    <row r="499" spans="1:11" ht="17.25" customHeight="1">
      <c r="A499" s="3"/>
      <c r="B499" s="3"/>
      <c r="C499" s="3"/>
      <c r="D499" s="3"/>
      <c r="E499" s="3"/>
      <c r="F499" s="3"/>
      <c r="G499" s="3"/>
      <c r="H499" s="3"/>
      <c r="I499" s="3"/>
      <c r="J499" s="3"/>
      <c r="K499" s="4"/>
    </row>
    <row r="500" spans="1:11" ht="17.25" customHeight="1">
      <c r="A500" s="3"/>
      <c r="B500" s="3"/>
      <c r="C500" s="3"/>
      <c r="D500" s="3"/>
      <c r="E500" s="3"/>
      <c r="F500" s="3"/>
      <c r="G500" s="3"/>
      <c r="H500" s="3"/>
      <c r="I500" s="3"/>
      <c r="J500" s="3"/>
      <c r="K500" s="4"/>
    </row>
    <row r="501" spans="1:11" ht="17.25" customHeight="1">
      <c r="A501" s="3"/>
      <c r="B501" s="3"/>
      <c r="C501" s="3"/>
      <c r="D501" s="3"/>
      <c r="E501" s="3"/>
      <c r="F501" s="3"/>
      <c r="G501" s="3"/>
      <c r="H501" s="3"/>
      <c r="I501" s="3"/>
      <c r="J501" s="3"/>
      <c r="K501" s="4"/>
    </row>
    <row r="502" spans="1:11" ht="17.25" customHeight="1">
      <c r="A502" s="3"/>
      <c r="B502" s="3"/>
      <c r="C502" s="3"/>
      <c r="D502" s="3"/>
      <c r="E502" s="3"/>
      <c r="F502" s="3"/>
      <c r="G502" s="3"/>
      <c r="H502" s="3"/>
      <c r="I502" s="3"/>
      <c r="J502" s="3"/>
      <c r="K502" s="4"/>
    </row>
    <row r="503" spans="1:11" ht="17.25" customHeight="1">
      <c r="A503" s="3"/>
      <c r="B503" s="3"/>
      <c r="C503" s="3"/>
      <c r="D503" s="3"/>
      <c r="E503" s="3"/>
      <c r="F503" s="3"/>
      <c r="G503" s="3"/>
      <c r="H503" s="3"/>
      <c r="I503" s="3"/>
      <c r="J503" s="3"/>
      <c r="K503" s="4"/>
    </row>
    <row r="504" spans="1:11" ht="17.25" customHeight="1">
      <c r="A504" s="3"/>
      <c r="B504" s="3"/>
      <c r="C504" s="3"/>
      <c r="D504" s="3"/>
      <c r="E504" s="3"/>
      <c r="F504" s="3"/>
      <c r="G504" s="3"/>
      <c r="H504" s="3"/>
      <c r="I504" s="3"/>
      <c r="J504" s="3"/>
      <c r="K504" s="4"/>
    </row>
    <row r="505" spans="1:11" ht="17.25" customHeight="1">
      <c r="A505" s="3"/>
      <c r="B505" s="3"/>
      <c r="C505" s="3"/>
      <c r="D505" s="3"/>
      <c r="E505" s="3"/>
      <c r="F505" s="3"/>
      <c r="G505" s="3"/>
      <c r="H505" s="3"/>
      <c r="I505" s="3"/>
      <c r="J505" s="3"/>
      <c r="K505" s="4"/>
    </row>
    <row r="506" spans="1:11" ht="17.25" customHeight="1">
      <c r="A506" s="3"/>
      <c r="B506" s="3"/>
      <c r="C506" s="3"/>
      <c r="D506" s="3"/>
      <c r="E506" s="3"/>
      <c r="F506" s="3"/>
      <c r="G506" s="3"/>
      <c r="H506" s="3"/>
      <c r="I506" s="3"/>
      <c r="J506" s="3"/>
      <c r="K506" s="4"/>
    </row>
    <row r="507" spans="1:11" ht="17.25" customHeight="1">
      <c r="A507" s="3"/>
      <c r="B507" s="3"/>
      <c r="C507" s="3"/>
      <c r="D507" s="3"/>
      <c r="E507" s="3"/>
      <c r="F507" s="3"/>
      <c r="G507" s="3"/>
      <c r="H507" s="3"/>
      <c r="I507" s="3"/>
      <c r="J507" s="3"/>
      <c r="K507" s="4"/>
    </row>
    <row r="508" spans="1:11" ht="17.25" customHeight="1">
      <c r="A508" s="3"/>
      <c r="B508" s="3"/>
      <c r="C508" s="3"/>
      <c r="D508" s="3"/>
      <c r="E508" s="3"/>
      <c r="F508" s="3"/>
      <c r="G508" s="3"/>
      <c r="H508" s="3"/>
      <c r="I508" s="3"/>
      <c r="J508" s="3"/>
      <c r="K508" s="4"/>
    </row>
    <row r="509" spans="1:11" ht="17.25" customHeight="1">
      <c r="A509" s="3"/>
      <c r="B509" s="3"/>
      <c r="C509" s="3"/>
      <c r="D509" s="3"/>
      <c r="E509" s="3"/>
      <c r="F509" s="3"/>
      <c r="G509" s="3"/>
      <c r="H509" s="3"/>
      <c r="I509" s="3"/>
      <c r="J509" s="3"/>
      <c r="K509" s="4"/>
    </row>
    <row r="510" spans="1:11" ht="17.25" customHeight="1">
      <c r="A510" s="3"/>
      <c r="B510" s="3"/>
      <c r="C510" s="3"/>
      <c r="D510" s="3"/>
      <c r="E510" s="3"/>
      <c r="F510" s="3"/>
      <c r="G510" s="3"/>
      <c r="H510" s="3"/>
      <c r="I510" s="3"/>
      <c r="J510" s="3"/>
      <c r="K510" s="4"/>
    </row>
    <row r="511" spans="1:11" ht="17.25" customHeight="1">
      <c r="A511" s="3"/>
      <c r="B511" s="3"/>
      <c r="C511" s="3"/>
      <c r="D511" s="3"/>
      <c r="E511" s="3"/>
      <c r="F511" s="3"/>
      <c r="G511" s="3"/>
      <c r="H511" s="3"/>
      <c r="I511" s="3"/>
      <c r="J511" s="3"/>
      <c r="K511" s="4"/>
    </row>
    <row r="512" spans="1:11" ht="17.25" customHeight="1">
      <c r="A512" s="3"/>
      <c r="B512" s="3"/>
      <c r="C512" s="3"/>
      <c r="D512" s="3"/>
      <c r="E512" s="3"/>
      <c r="F512" s="3"/>
      <c r="G512" s="3"/>
      <c r="H512" s="3"/>
      <c r="I512" s="3"/>
      <c r="J512" s="3"/>
      <c r="K512" s="4"/>
    </row>
    <row r="513" spans="1:11" ht="17.25" customHeight="1">
      <c r="A513" s="3"/>
      <c r="B513" s="3"/>
      <c r="C513" s="3"/>
      <c r="D513" s="3"/>
      <c r="E513" s="3"/>
      <c r="F513" s="3"/>
      <c r="G513" s="3"/>
      <c r="H513" s="3"/>
      <c r="I513" s="3"/>
      <c r="J513" s="3"/>
      <c r="K513" s="4"/>
    </row>
    <row r="514" spans="1:11" ht="17.25" customHeight="1">
      <c r="A514" s="3"/>
      <c r="B514" s="3"/>
      <c r="C514" s="3"/>
      <c r="D514" s="3"/>
      <c r="E514" s="3"/>
      <c r="F514" s="3"/>
      <c r="G514" s="3"/>
      <c r="H514" s="3"/>
      <c r="I514" s="3"/>
      <c r="J514" s="3"/>
      <c r="K514" s="4"/>
    </row>
    <row r="515" spans="1:11" ht="17.25" customHeight="1">
      <c r="A515" s="3"/>
      <c r="B515" s="3"/>
      <c r="C515" s="3"/>
      <c r="D515" s="3"/>
      <c r="E515" s="3"/>
      <c r="F515" s="3"/>
      <c r="G515" s="3"/>
      <c r="H515" s="3"/>
      <c r="I515" s="3"/>
      <c r="J515" s="3"/>
      <c r="K515" s="4"/>
    </row>
    <row r="516" spans="1:11" ht="17.25" customHeight="1">
      <c r="A516" s="3"/>
      <c r="B516" s="3"/>
      <c r="C516" s="3"/>
      <c r="D516" s="3"/>
      <c r="E516" s="3"/>
      <c r="F516" s="3"/>
      <c r="G516" s="3"/>
      <c r="H516" s="3"/>
      <c r="I516" s="3"/>
      <c r="J516" s="3"/>
      <c r="K516" s="4"/>
    </row>
    <row r="517" spans="1:11" ht="17.25" customHeight="1">
      <c r="A517" s="3"/>
      <c r="B517" s="3"/>
      <c r="C517" s="3"/>
      <c r="D517" s="3"/>
      <c r="E517" s="3"/>
      <c r="F517" s="3"/>
      <c r="G517" s="3"/>
      <c r="H517" s="3"/>
      <c r="I517" s="3"/>
      <c r="J517" s="3"/>
      <c r="K517" s="4"/>
    </row>
    <row r="518" spans="1:11" ht="17.25" customHeight="1">
      <c r="A518" s="3"/>
      <c r="B518" s="3"/>
      <c r="C518" s="3"/>
      <c r="D518" s="3"/>
      <c r="E518" s="3"/>
      <c r="F518" s="3"/>
      <c r="G518" s="3"/>
      <c r="H518" s="3"/>
      <c r="I518" s="3"/>
      <c r="J518" s="3"/>
      <c r="K518" s="4"/>
    </row>
    <row r="519" spans="1:11" ht="17.25" customHeight="1">
      <c r="A519" s="3"/>
      <c r="B519" s="3"/>
      <c r="C519" s="3"/>
      <c r="D519" s="3"/>
      <c r="E519" s="3"/>
      <c r="F519" s="3"/>
      <c r="G519" s="3"/>
      <c r="H519" s="3"/>
      <c r="I519" s="3"/>
      <c r="J519" s="3"/>
      <c r="K519" s="4"/>
    </row>
    <row r="520" spans="1:11" ht="17.25" customHeight="1">
      <c r="A520" s="3"/>
      <c r="B520" s="3"/>
      <c r="C520" s="3"/>
      <c r="D520" s="3"/>
      <c r="E520" s="3"/>
      <c r="F520" s="3"/>
      <c r="G520" s="3"/>
      <c r="H520" s="3"/>
      <c r="I520" s="3"/>
      <c r="J520" s="3"/>
      <c r="K520" s="4"/>
    </row>
    <row r="521" spans="1:11" ht="17.25" customHeight="1">
      <c r="A521" s="3"/>
      <c r="B521" s="3"/>
      <c r="C521" s="3"/>
      <c r="D521" s="3"/>
      <c r="E521" s="3"/>
      <c r="F521" s="3"/>
      <c r="G521" s="3"/>
      <c r="H521" s="3"/>
      <c r="I521" s="3"/>
      <c r="J521" s="3"/>
      <c r="K521" s="4"/>
    </row>
    <row r="522" spans="1:11" ht="17.25" customHeight="1">
      <c r="A522" s="3"/>
      <c r="B522" s="3"/>
      <c r="C522" s="3"/>
      <c r="D522" s="3"/>
      <c r="E522" s="3"/>
      <c r="F522" s="3"/>
      <c r="G522" s="3"/>
      <c r="H522" s="3"/>
      <c r="I522" s="3"/>
      <c r="J522" s="3"/>
      <c r="K522" s="4"/>
    </row>
    <row r="523" spans="1:11" ht="17.25" customHeight="1">
      <c r="A523" s="3"/>
      <c r="B523" s="3"/>
      <c r="C523" s="3"/>
      <c r="D523" s="3"/>
      <c r="E523" s="3"/>
      <c r="F523" s="3"/>
      <c r="G523" s="3"/>
      <c r="H523" s="3"/>
      <c r="I523" s="3"/>
      <c r="J523" s="3"/>
      <c r="K523" s="4"/>
    </row>
    <row r="524" spans="1:11" ht="17.25" customHeight="1">
      <c r="A524" s="3"/>
      <c r="B524" s="3"/>
      <c r="C524" s="3"/>
      <c r="D524" s="3"/>
      <c r="E524" s="3"/>
      <c r="F524" s="3"/>
      <c r="G524" s="3"/>
      <c r="H524" s="3"/>
      <c r="I524" s="3"/>
      <c r="J524" s="3"/>
      <c r="K524" s="4"/>
    </row>
    <row r="525" spans="1:11" ht="17.25" customHeight="1">
      <c r="A525" s="3"/>
      <c r="B525" s="3"/>
      <c r="C525" s="3"/>
      <c r="D525" s="3"/>
      <c r="E525" s="3"/>
      <c r="F525" s="3"/>
      <c r="G525" s="3"/>
      <c r="H525" s="3"/>
      <c r="I525" s="3"/>
      <c r="J525" s="3"/>
      <c r="K525" s="4"/>
    </row>
    <row r="526" spans="1:11" ht="17.25" customHeight="1">
      <c r="A526" s="3"/>
      <c r="B526" s="3"/>
      <c r="C526" s="3"/>
      <c r="D526" s="3"/>
      <c r="E526" s="3"/>
      <c r="F526" s="3"/>
      <c r="G526" s="3"/>
      <c r="H526" s="3"/>
      <c r="I526" s="3"/>
      <c r="J526" s="3"/>
      <c r="K526" s="4"/>
    </row>
    <row r="527" spans="1:11" ht="17.25" customHeight="1">
      <c r="A527" s="3"/>
      <c r="B527" s="3"/>
      <c r="C527" s="3"/>
      <c r="D527" s="3"/>
      <c r="E527" s="3"/>
      <c r="F527" s="3"/>
      <c r="G527" s="3"/>
      <c r="H527" s="3"/>
      <c r="I527" s="3"/>
      <c r="J527" s="3"/>
      <c r="K527" s="4"/>
    </row>
    <row r="528" spans="1:11" ht="17.25" customHeight="1">
      <c r="A528" s="3"/>
      <c r="B528" s="3"/>
      <c r="C528" s="3"/>
      <c r="D528" s="3"/>
      <c r="E528" s="3"/>
      <c r="F528" s="3"/>
      <c r="G528" s="3"/>
      <c r="H528" s="3"/>
      <c r="I528" s="3"/>
      <c r="J528" s="3"/>
      <c r="K528" s="4"/>
    </row>
    <row r="529" spans="1:11" ht="17.25" customHeight="1">
      <c r="A529" s="3"/>
      <c r="B529" s="3"/>
      <c r="C529" s="3"/>
      <c r="D529" s="3"/>
      <c r="E529" s="3"/>
      <c r="F529" s="3"/>
      <c r="G529" s="3"/>
      <c r="H529" s="3"/>
      <c r="I529" s="3"/>
      <c r="J529" s="3"/>
      <c r="K529" s="4"/>
    </row>
    <row r="530" spans="1:11" ht="17.25" customHeight="1">
      <c r="A530" s="3"/>
      <c r="B530" s="3"/>
      <c r="C530" s="3"/>
      <c r="D530" s="3"/>
      <c r="E530" s="3"/>
      <c r="F530" s="3"/>
      <c r="G530" s="3"/>
      <c r="H530" s="3"/>
      <c r="I530" s="3"/>
      <c r="J530" s="3"/>
      <c r="K530" s="4"/>
    </row>
    <row r="531" spans="1:11" ht="17.25" customHeight="1">
      <c r="A531" s="3"/>
      <c r="B531" s="3"/>
      <c r="C531" s="3"/>
      <c r="D531" s="3"/>
      <c r="E531" s="3"/>
      <c r="F531" s="3"/>
      <c r="G531" s="3"/>
      <c r="H531" s="3"/>
      <c r="I531" s="3"/>
      <c r="J531" s="3"/>
      <c r="K531" s="4"/>
    </row>
    <row r="532" spans="1:11" ht="17.25" customHeight="1">
      <c r="A532" s="3"/>
      <c r="B532" s="3"/>
      <c r="C532" s="3"/>
      <c r="D532" s="3"/>
      <c r="E532" s="3"/>
      <c r="F532" s="3"/>
      <c r="G532" s="3"/>
      <c r="H532" s="3"/>
      <c r="I532" s="3"/>
      <c r="J532" s="3"/>
      <c r="K532" s="4"/>
    </row>
    <row r="533" spans="1:11" ht="17.25" customHeight="1">
      <c r="A533" s="3"/>
      <c r="B533" s="3"/>
      <c r="C533" s="3"/>
      <c r="D533" s="3"/>
      <c r="E533" s="3"/>
      <c r="F533" s="3"/>
      <c r="G533" s="3"/>
      <c r="H533" s="3"/>
      <c r="I533" s="3"/>
      <c r="J533" s="3"/>
      <c r="K533" s="4"/>
    </row>
    <row r="534" spans="1:11" ht="17.25" customHeight="1">
      <c r="A534" s="3"/>
      <c r="B534" s="3"/>
      <c r="C534" s="3"/>
      <c r="D534" s="3"/>
      <c r="E534" s="3"/>
      <c r="F534" s="3"/>
      <c r="G534" s="3"/>
      <c r="H534" s="3"/>
      <c r="I534" s="3"/>
      <c r="J534" s="3"/>
      <c r="K534" s="4"/>
    </row>
    <row r="535" spans="1:11" ht="17.25" customHeight="1">
      <c r="A535" s="3"/>
      <c r="B535" s="3"/>
      <c r="C535" s="3"/>
      <c r="D535" s="3"/>
      <c r="E535" s="3"/>
      <c r="F535" s="3"/>
      <c r="G535" s="3"/>
      <c r="H535" s="3"/>
      <c r="I535" s="3"/>
      <c r="J535" s="3"/>
      <c r="K535" s="4"/>
    </row>
    <row r="536" spans="1:11" ht="17.25" customHeight="1">
      <c r="A536" s="3"/>
      <c r="B536" s="3"/>
      <c r="C536" s="3"/>
      <c r="D536" s="3"/>
      <c r="E536" s="3"/>
      <c r="F536" s="3"/>
      <c r="G536" s="3"/>
      <c r="H536" s="3"/>
      <c r="I536" s="3"/>
      <c r="J536" s="3"/>
      <c r="K536" s="4"/>
    </row>
    <row r="537" spans="1:11" ht="17.25" customHeight="1">
      <c r="A537" s="3"/>
      <c r="B537" s="3"/>
      <c r="C537" s="3"/>
      <c r="D537" s="3"/>
      <c r="E537" s="3"/>
      <c r="F537" s="3"/>
      <c r="G537" s="3"/>
      <c r="H537" s="3"/>
      <c r="I537" s="3"/>
      <c r="J537" s="3"/>
      <c r="K537" s="4"/>
    </row>
    <row r="538" spans="1:11" ht="17.25" customHeight="1">
      <c r="A538" s="3"/>
      <c r="B538" s="3"/>
      <c r="C538" s="3"/>
      <c r="D538" s="3"/>
      <c r="E538" s="3"/>
      <c r="F538" s="3"/>
      <c r="G538" s="3"/>
      <c r="H538" s="3"/>
      <c r="I538" s="3"/>
      <c r="J538" s="3"/>
      <c r="K538" s="4"/>
    </row>
    <row r="539" spans="1:11" ht="17.25" customHeight="1">
      <c r="A539" s="3"/>
      <c r="B539" s="3"/>
      <c r="C539" s="3"/>
      <c r="D539" s="3"/>
      <c r="E539" s="3"/>
      <c r="F539" s="3"/>
      <c r="G539" s="3"/>
      <c r="H539" s="3"/>
      <c r="I539" s="3"/>
      <c r="J539" s="3"/>
      <c r="K539" s="4"/>
    </row>
    <row r="540" spans="1:11" ht="17.25" customHeight="1">
      <c r="A540" s="3"/>
      <c r="B540" s="3"/>
      <c r="C540" s="3"/>
      <c r="D540" s="3"/>
      <c r="E540" s="3"/>
      <c r="F540" s="3"/>
      <c r="G540" s="3"/>
      <c r="H540" s="3"/>
      <c r="I540" s="3"/>
      <c r="J540" s="3"/>
      <c r="K540" s="4"/>
    </row>
    <row r="541" spans="1:11" ht="17.25" customHeight="1">
      <c r="A541" s="3"/>
      <c r="B541" s="3"/>
      <c r="C541" s="3"/>
      <c r="D541" s="3"/>
      <c r="E541" s="3"/>
      <c r="F541" s="3"/>
      <c r="G541" s="3"/>
      <c r="H541" s="3"/>
      <c r="I541" s="3"/>
      <c r="J541" s="3"/>
      <c r="K541" s="4"/>
    </row>
    <row r="542" spans="1:11" ht="17.25" customHeight="1">
      <c r="A542" s="3"/>
      <c r="B542" s="3"/>
      <c r="C542" s="3"/>
      <c r="D542" s="3"/>
      <c r="E542" s="3"/>
      <c r="F542" s="3"/>
      <c r="G542" s="3"/>
      <c r="H542" s="3"/>
      <c r="I542" s="3"/>
      <c r="J542" s="3"/>
      <c r="K542" s="4"/>
    </row>
    <row r="543" spans="1:11" ht="17.25" customHeight="1">
      <c r="A543" s="3"/>
      <c r="B543" s="3"/>
      <c r="C543" s="3"/>
      <c r="D543" s="3"/>
      <c r="E543" s="3"/>
      <c r="F543" s="3"/>
      <c r="G543" s="3"/>
      <c r="H543" s="3"/>
      <c r="I543" s="3"/>
      <c r="J543" s="3"/>
      <c r="K543" s="4"/>
    </row>
    <row r="544" spans="1:11" ht="17.25" customHeight="1">
      <c r="A544" s="3"/>
      <c r="B544" s="3"/>
      <c r="C544" s="3"/>
      <c r="D544" s="3"/>
      <c r="E544" s="3"/>
      <c r="F544" s="3"/>
      <c r="G544" s="3"/>
      <c r="H544" s="3"/>
      <c r="I544" s="3"/>
      <c r="J544" s="3"/>
      <c r="K544" s="4"/>
    </row>
    <row r="545" spans="1:11" ht="17.25" customHeight="1">
      <c r="A545" s="3"/>
      <c r="B545" s="3"/>
      <c r="C545" s="3"/>
      <c r="D545" s="3"/>
      <c r="E545" s="3"/>
      <c r="F545" s="3"/>
      <c r="G545" s="3"/>
      <c r="H545" s="3"/>
      <c r="I545" s="3"/>
      <c r="J545" s="3"/>
      <c r="K545" s="4"/>
    </row>
    <row r="546" spans="1:11" ht="17.25" customHeight="1">
      <c r="A546" s="3"/>
      <c r="B546" s="3"/>
      <c r="C546" s="3"/>
      <c r="D546" s="3"/>
      <c r="E546" s="3"/>
      <c r="F546" s="3"/>
      <c r="G546" s="3"/>
      <c r="H546" s="3"/>
      <c r="I546" s="3"/>
      <c r="J546" s="3"/>
      <c r="K546" s="4"/>
    </row>
    <row r="547" spans="1:11" ht="17.25" customHeight="1">
      <c r="A547" s="3"/>
      <c r="B547" s="3"/>
      <c r="C547" s="3"/>
      <c r="D547" s="3"/>
      <c r="E547" s="3"/>
      <c r="F547" s="3"/>
      <c r="G547" s="3"/>
      <c r="H547" s="3"/>
      <c r="I547" s="3"/>
      <c r="J547" s="3"/>
      <c r="K547" s="4"/>
    </row>
    <row r="548" spans="1:11" ht="17.25" customHeight="1">
      <c r="A548" s="3"/>
      <c r="B548" s="3"/>
      <c r="C548" s="3"/>
      <c r="D548" s="3"/>
      <c r="E548" s="3"/>
      <c r="F548" s="3"/>
      <c r="G548" s="3"/>
      <c r="H548" s="3"/>
      <c r="I548" s="3"/>
      <c r="J548" s="3"/>
      <c r="K548" s="4"/>
    </row>
    <row r="549" spans="1:11" ht="17.25" customHeight="1">
      <c r="A549" s="3"/>
      <c r="B549" s="3"/>
      <c r="C549" s="3"/>
      <c r="D549" s="3"/>
      <c r="E549" s="3"/>
      <c r="F549" s="3"/>
      <c r="G549" s="3"/>
      <c r="H549" s="3"/>
      <c r="I549" s="3"/>
      <c r="J549" s="3"/>
      <c r="K549" s="4"/>
    </row>
    <row r="550" spans="1:11" ht="17.25" customHeight="1">
      <c r="A550" s="3"/>
      <c r="B550" s="3"/>
      <c r="C550" s="3"/>
      <c r="D550" s="3"/>
      <c r="E550" s="3"/>
      <c r="F550" s="3"/>
      <c r="G550" s="3"/>
      <c r="H550" s="3"/>
      <c r="I550" s="3"/>
      <c r="J550" s="3"/>
      <c r="K550" s="4"/>
    </row>
    <row r="551" spans="1:11" ht="17.25" customHeight="1">
      <c r="A551" s="3"/>
      <c r="B551" s="3"/>
      <c r="C551" s="3"/>
      <c r="D551" s="3"/>
      <c r="E551" s="3"/>
      <c r="F551" s="3"/>
      <c r="G551" s="3"/>
      <c r="H551" s="3"/>
      <c r="I551" s="3"/>
      <c r="J551" s="3"/>
      <c r="K551" s="4"/>
    </row>
    <row r="552" spans="1:11" ht="17.25" customHeight="1">
      <c r="A552" s="3"/>
      <c r="B552" s="3"/>
      <c r="C552" s="3"/>
      <c r="D552" s="3"/>
      <c r="E552" s="3"/>
      <c r="F552" s="3"/>
      <c r="G552" s="3"/>
      <c r="H552" s="3"/>
      <c r="I552" s="3"/>
      <c r="J552" s="3"/>
      <c r="K552" s="4"/>
    </row>
    <row r="553" spans="1:11" ht="17.25" customHeight="1">
      <c r="A553" s="3"/>
      <c r="B553" s="3"/>
      <c r="C553" s="3"/>
      <c r="D553" s="3"/>
      <c r="E553" s="3"/>
      <c r="F553" s="3"/>
      <c r="G553" s="3"/>
      <c r="H553" s="3"/>
      <c r="I553" s="3"/>
      <c r="J553" s="3"/>
      <c r="K553" s="4"/>
    </row>
    <row r="554" spans="1:11" ht="17.25" customHeight="1">
      <c r="A554" s="3"/>
      <c r="B554" s="3"/>
      <c r="C554" s="3"/>
      <c r="D554" s="3"/>
      <c r="E554" s="3"/>
      <c r="F554" s="3"/>
      <c r="G554" s="3"/>
      <c r="H554" s="3"/>
      <c r="I554" s="3"/>
      <c r="J554" s="3"/>
      <c r="K554" s="4"/>
    </row>
    <row r="555" spans="1:11" ht="17.25" customHeight="1">
      <c r="A555" s="3"/>
      <c r="B555" s="3"/>
      <c r="C555" s="3"/>
      <c r="D555" s="3"/>
      <c r="E555" s="3"/>
      <c r="F555" s="3"/>
      <c r="G555" s="3"/>
      <c r="H555" s="3"/>
      <c r="I555" s="3"/>
      <c r="J555" s="3"/>
      <c r="K555" s="4"/>
    </row>
    <row r="556" spans="1:11" ht="17.25" customHeight="1">
      <c r="A556" s="3"/>
      <c r="B556" s="3"/>
      <c r="C556" s="3"/>
      <c r="D556" s="3"/>
      <c r="E556" s="3"/>
      <c r="F556" s="3"/>
      <c r="G556" s="3"/>
      <c r="H556" s="3"/>
      <c r="I556" s="3"/>
      <c r="J556" s="3"/>
      <c r="K556" s="4"/>
    </row>
    <row r="557" spans="1:11" ht="17.25" customHeight="1">
      <c r="A557" s="3"/>
      <c r="B557" s="3"/>
      <c r="C557" s="3"/>
      <c r="D557" s="3"/>
      <c r="E557" s="3"/>
      <c r="F557" s="3"/>
      <c r="G557" s="3"/>
      <c r="H557" s="3"/>
      <c r="I557" s="3"/>
      <c r="J557" s="3"/>
      <c r="K557" s="4"/>
    </row>
    <row r="558" spans="1:11" ht="17.25" customHeight="1">
      <c r="A558" s="3"/>
      <c r="B558" s="3"/>
      <c r="C558" s="3"/>
      <c r="D558" s="3"/>
      <c r="E558" s="3"/>
      <c r="F558" s="3"/>
      <c r="G558" s="3"/>
      <c r="H558" s="3"/>
      <c r="I558" s="3"/>
      <c r="J558" s="3"/>
      <c r="K558" s="4"/>
    </row>
    <row r="559" spans="1:11" ht="17.25" customHeight="1">
      <c r="A559" s="3"/>
      <c r="B559" s="3"/>
      <c r="C559" s="3"/>
      <c r="D559" s="3"/>
      <c r="E559" s="3"/>
      <c r="F559" s="3"/>
      <c r="G559" s="3"/>
      <c r="H559" s="3"/>
      <c r="I559" s="3"/>
      <c r="J559" s="3"/>
      <c r="K559" s="4"/>
    </row>
    <row r="560" spans="1:11" ht="17.25" customHeight="1">
      <c r="A560" s="3"/>
      <c r="B560" s="3"/>
      <c r="C560" s="3"/>
      <c r="D560" s="3"/>
      <c r="E560" s="3"/>
      <c r="F560" s="3"/>
      <c r="G560" s="3"/>
      <c r="H560" s="3"/>
      <c r="I560" s="3"/>
      <c r="J560" s="3"/>
      <c r="K560" s="4"/>
    </row>
    <row r="561" spans="1:11" ht="17.25" customHeight="1">
      <c r="A561" s="3"/>
      <c r="B561" s="3"/>
      <c r="C561" s="3"/>
      <c r="D561" s="3"/>
      <c r="E561" s="3"/>
      <c r="F561" s="3"/>
      <c r="G561" s="3"/>
      <c r="H561" s="3"/>
      <c r="I561" s="3"/>
      <c r="J561" s="3"/>
      <c r="K561" s="4"/>
    </row>
    <row r="562" spans="1:11" ht="17.25" customHeight="1">
      <c r="A562" s="3"/>
      <c r="B562" s="3"/>
      <c r="C562" s="3"/>
      <c r="D562" s="3"/>
      <c r="E562" s="3"/>
      <c r="F562" s="3"/>
      <c r="G562" s="3"/>
      <c r="H562" s="3"/>
      <c r="I562" s="3"/>
      <c r="J562" s="3"/>
      <c r="K562" s="4"/>
    </row>
    <row r="563" spans="1:11" ht="17.25" customHeight="1">
      <c r="A563" s="3"/>
      <c r="B563" s="3"/>
      <c r="C563" s="3"/>
      <c r="D563" s="3"/>
      <c r="E563" s="3"/>
      <c r="F563" s="3"/>
      <c r="G563" s="3"/>
      <c r="H563" s="3"/>
      <c r="I563" s="3"/>
      <c r="J563" s="3"/>
      <c r="K563" s="4"/>
    </row>
    <row r="564" spans="1:11" ht="17.25" customHeight="1">
      <c r="A564" s="3"/>
      <c r="B564" s="3"/>
      <c r="C564" s="3"/>
      <c r="D564" s="3"/>
      <c r="E564" s="3"/>
      <c r="F564" s="3"/>
      <c r="G564" s="3"/>
      <c r="H564" s="3"/>
      <c r="I564" s="3"/>
      <c r="J564" s="3"/>
      <c r="K564" s="4"/>
    </row>
    <row r="565" spans="1:11" ht="17.25" customHeight="1">
      <c r="A565" s="3"/>
      <c r="B565" s="3"/>
      <c r="C565" s="3"/>
      <c r="D565" s="3"/>
      <c r="E565" s="3"/>
      <c r="F565" s="3"/>
      <c r="G565" s="3"/>
      <c r="H565" s="3"/>
      <c r="I565" s="3"/>
      <c r="J565" s="3"/>
      <c r="K565" s="4"/>
    </row>
    <row r="566" spans="1:11" ht="17.25" customHeight="1">
      <c r="A566" s="3"/>
      <c r="B566" s="3"/>
      <c r="C566" s="3"/>
      <c r="D566" s="3"/>
      <c r="E566" s="3"/>
      <c r="F566" s="3"/>
      <c r="G566" s="3"/>
      <c r="H566" s="3"/>
      <c r="I566" s="3"/>
      <c r="J566" s="3"/>
      <c r="K566" s="4"/>
    </row>
    <row r="567" spans="1:11" ht="17.25" customHeight="1">
      <c r="A567" s="3"/>
      <c r="B567" s="3"/>
      <c r="C567" s="3"/>
      <c r="D567" s="3"/>
      <c r="E567" s="3"/>
      <c r="F567" s="3"/>
      <c r="G567" s="3"/>
      <c r="H567" s="3"/>
      <c r="I567" s="3"/>
      <c r="J567" s="3"/>
      <c r="K567" s="4"/>
    </row>
    <row r="568" spans="1:11" ht="17.25" customHeight="1">
      <c r="A568" s="3"/>
      <c r="B568" s="3"/>
      <c r="C568" s="3"/>
      <c r="D568" s="3"/>
      <c r="E568" s="3"/>
      <c r="F568" s="3"/>
      <c r="G568" s="3"/>
      <c r="H568" s="3"/>
      <c r="I568" s="3"/>
      <c r="J568" s="3"/>
      <c r="K568" s="4"/>
    </row>
    <row r="569" spans="1:11" ht="17.25" customHeight="1">
      <c r="A569" s="3"/>
      <c r="B569" s="3"/>
      <c r="C569" s="3"/>
      <c r="D569" s="3"/>
      <c r="E569" s="3"/>
      <c r="F569" s="3"/>
      <c r="G569" s="3"/>
      <c r="H569" s="3"/>
      <c r="I569" s="3"/>
      <c r="J569" s="3"/>
      <c r="K569" s="4"/>
    </row>
    <row r="570" spans="1:11" ht="17.25" customHeight="1">
      <c r="A570" s="3"/>
      <c r="B570" s="3"/>
      <c r="C570" s="3"/>
      <c r="D570" s="3"/>
      <c r="E570" s="3"/>
      <c r="F570" s="3"/>
      <c r="G570" s="3"/>
      <c r="H570" s="3"/>
      <c r="I570" s="3"/>
      <c r="J570" s="3"/>
      <c r="K570" s="4"/>
    </row>
    <row r="571" spans="1:11" ht="17.25" customHeight="1">
      <c r="A571" s="3"/>
      <c r="B571" s="3"/>
      <c r="C571" s="3"/>
      <c r="D571" s="3"/>
      <c r="E571" s="3"/>
      <c r="F571" s="3"/>
      <c r="G571" s="3"/>
      <c r="H571" s="3"/>
      <c r="I571" s="3"/>
      <c r="J571" s="3"/>
      <c r="K571" s="4"/>
    </row>
    <row r="572" spans="1:11" ht="17.25" customHeight="1">
      <c r="A572" s="3"/>
      <c r="B572" s="3"/>
      <c r="C572" s="3"/>
      <c r="D572" s="3"/>
      <c r="E572" s="3"/>
      <c r="F572" s="3"/>
      <c r="G572" s="3"/>
      <c r="H572" s="3"/>
      <c r="I572" s="3"/>
      <c r="J572" s="3"/>
      <c r="K572" s="4"/>
    </row>
    <row r="573" spans="1:11" ht="17.25" customHeight="1">
      <c r="A573" s="3"/>
      <c r="B573" s="3"/>
      <c r="C573" s="3"/>
      <c r="D573" s="3"/>
      <c r="E573" s="3"/>
      <c r="F573" s="3"/>
      <c r="G573" s="3"/>
      <c r="H573" s="3"/>
      <c r="I573" s="3"/>
      <c r="J573" s="3"/>
      <c r="K573" s="4"/>
    </row>
    <row r="574" spans="1:11" ht="17.25" customHeight="1">
      <c r="A574" s="3"/>
      <c r="B574" s="3"/>
      <c r="C574" s="3"/>
      <c r="D574" s="3"/>
      <c r="E574" s="3"/>
      <c r="F574" s="3"/>
      <c r="G574" s="3"/>
      <c r="H574" s="3"/>
      <c r="I574" s="3"/>
      <c r="J574" s="3"/>
      <c r="K574" s="4"/>
    </row>
    <row r="575" spans="1:11" ht="17.25" customHeight="1">
      <c r="A575" s="3"/>
      <c r="B575" s="3"/>
      <c r="C575" s="3"/>
      <c r="D575" s="3"/>
      <c r="E575" s="3"/>
      <c r="F575" s="3"/>
      <c r="G575" s="3"/>
      <c r="H575" s="3"/>
      <c r="I575" s="3"/>
      <c r="J575" s="3"/>
      <c r="K575" s="4"/>
    </row>
    <row r="576" spans="1:11" ht="17.25" customHeight="1">
      <c r="A576" s="3"/>
      <c r="B576" s="3"/>
      <c r="C576" s="3"/>
      <c r="D576" s="3"/>
      <c r="E576" s="3"/>
      <c r="F576" s="3"/>
      <c r="G576" s="3"/>
      <c r="H576" s="3"/>
      <c r="I576" s="3"/>
      <c r="J576" s="3"/>
      <c r="K576" s="4"/>
    </row>
    <row r="577" spans="1:11" ht="17.25" customHeight="1">
      <c r="A577" s="3"/>
      <c r="B577" s="3"/>
      <c r="C577" s="3"/>
      <c r="D577" s="3"/>
      <c r="E577" s="3"/>
      <c r="F577" s="3"/>
      <c r="G577" s="3"/>
      <c r="H577" s="3"/>
      <c r="I577" s="3"/>
      <c r="J577" s="3"/>
      <c r="K577" s="4"/>
    </row>
    <row r="578" spans="1:11" ht="17.25" customHeight="1">
      <c r="A578" s="3"/>
      <c r="B578" s="3"/>
      <c r="C578" s="3"/>
      <c r="D578" s="3"/>
      <c r="E578" s="3"/>
      <c r="F578" s="3"/>
      <c r="G578" s="3"/>
      <c r="H578" s="3"/>
      <c r="I578" s="3"/>
      <c r="J578" s="3"/>
      <c r="K578" s="4"/>
    </row>
    <row r="579" spans="1:11" ht="17.25" customHeight="1">
      <c r="A579" s="3"/>
      <c r="B579" s="3"/>
      <c r="C579" s="3"/>
      <c r="D579" s="3"/>
      <c r="E579" s="3"/>
      <c r="F579" s="3"/>
      <c r="G579" s="3"/>
      <c r="H579" s="3"/>
      <c r="I579" s="3"/>
      <c r="J579" s="3"/>
      <c r="K579" s="4"/>
    </row>
    <row r="580" spans="1:11" ht="17.25" customHeight="1">
      <c r="A580" s="3"/>
      <c r="B580" s="3"/>
      <c r="C580" s="3"/>
      <c r="D580" s="3"/>
      <c r="E580" s="3"/>
      <c r="F580" s="3"/>
      <c r="G580" s="3"/>
      <c r="H580" s="3"/>
      <c r="I580" s="3"/>
      <c r="J580" s="3"/>
      <c r="K580" s="4"/>
    </row>
    <row r="581" spans="1:11" ht="17.25" customHeight="1">
      <c r="A581" s="3"/>
      <c r="B581" s="3"/>
      <c r="C581" s="3"/>
      <c r="D581" s="3"/>
      <c r="E581" s="3"/>
      <c r="F581" s="3"/>
      <c r="G581" s="3"/>
      <c r="H581" s="3"/>
      <c r="I581" s="3"/>
      <c r="J581" s="3"/>
      <c r="K581" s="4"/>
    </row>
    <row r="582" spans="1:11" ht="17.25" customHeight="1">
      <c r="A582" s="3"/>
      <c r="B582" s="3"/>
      <c r="C582" s="3"/>
      <c r="D582" s="3"/>
      <c r="E582" s="3"/>
      <c r="F582" s="3"/>
      <c r="G582" s="3"/>
      <c r="H582" s="3"/>
      <c r="I582" s="3"/>
      <c r="J582" s="3"/>
      <c r="K582" s="4"/>
    </row>
    <row r="583" spans="1:11" ht="17.25" customHeight="1">
      <c r="A583" s="3"/>
      <c r="B583" s="3"/>
      <c r="C583" s="3"/>
      <c r="D583" s="3"/>
      <c r="E583" s="3"/>
      <c r="F583" s="3"/>
      <c r="G583" s="3"/>
      <c r="H583" s="3"/>
      <c r="I583" s="3"/>
      <c r="J583" s="3"/>
      <c r="K583" s="4"/>
    </row>
    <row r="584" spans="1:11" ht="17.25" customHeight="1">
      <c r="A584" s="3"/>
      <c r="B584" s="3"/>
      <c r="C584" s="3"/>
      <c r="D584" s="3"/>
      <c r="E584" s="3"/>
      <c r="F584" s="3"/>
      <c r="G584" s="3"/>
      <c r="H584" s="3"/>
      <c r="I584" s="3"/>
      <c r="J584" s="3"/>
      <c r="K584" s="4"/>
    </row>
    <row r="585" spans="1:11" ht="17.25" customHeight="1">
      <c r="A585" s="3"/>
      <c r="B585" s="3"/>
      <c r="C585" s="3"/>
      <c r="D585" s="3"/>
      <c r="E585" s="3"/>
      <c r="F585" s="3"/>
      <c r="G585" s="3"/>
      <c r="H585" s="3"/>
      <c r="I585" s="3"/>
      <c r="J585" s="3"/>
      <c r="K585" s="4"/>
    </row>
    <row r="586" spans="1:11" ht="17.25" customHeight="1">
      <c r="A586" s="3"/>
      <c r="B586" s="3"/>
      <c r="C586" s="3"/>
      <c r="D586" s="3"/>
      <c r="E586" s="3"/>
      <c r="F586" s="3"/>
      <c r="G586" s="3"/>
      <c r="H586" s="3"/>
      <c r="I586" s="3"/>
      <c r="J586" s="3"/>
      <c r="K586" s="4"/>
    </row>
    <row r="587" spans="1:11" ht="17.25" customHeight="1">
      <c r="A587" s="3"/>
      <c r="B587" s="3"/>
      <c r="C587" s="3"/>
      <c r="D587" s="3"/>
      <c r="E587" s="3"/>
      <c r="F587" s="3"/>
      <c r="G587" s="3"/>
      <c r="H587" s="3"/>
      <c r="I587" s="3"/>
      <c r="J587" s="3"/>
      <c r="K587" s="4"/>
    </row>
    <row r="588" spans="1:11" ht="17.25" customHeight="1">
      <c r="A588" s="3"/>
      <c r="B588" s="3"/>
      <c r="C588" s="3"/>
      <c r="D588" s="3"/>
      <c r="E588" s="3"/>
      <c r="F588" s="3"/>
      <c r="G588" s="3"/>
      <c r="H588" s="3"/>
      <c r="I588" s="3"/>
      <c r="J588" s="3"/>
      <c r="K588" s="4"/>
    </row>
    <row r="589" spans="1:11" ht="17.25" customHeight="1">
      <c r="A589" s="3"/>
      <c r="B589" s="3"/>
      <c r="C589" s="3"/>
      <c r="D589" s="3"/>
      <c r="E589" s="3"/>
      <c r="F589" s="3"/>
      <c r="G589" s="3"/>
      <c r="H589" s="3"/>
      <c r="I589" s="3"/>
      <c r="J589" s="3"/>
      <c r="K589" s="4"/>
    </row>
    <row r="590" spans="1:11" ht="17.25" customHeight="1">
      <c r="A590" s="3"/>
      <c r="B590" s="3"/>
      <c r="C590" s="3"/>
      <c r="D590" s="3"/>
      <c r="E590" s="3"/>
      <c r="F590" s="3"/>
      <c r="G590" s="3"/>
      <c r="H590" s="3"/>
      <c r="I590" s="3"/>
      <c r="J590" s="3"/>
      <c r="K590" s="4"/>
    </row>
    <row r="591" spans="1:11" ht="17.25" customHeight="1">
      <c r="A591" s="3"/>
      <c r="B591" s="3"/>
      <c r="C591" s="3"/>
      <c r="D591" s="3"/>
      <c r="E591" s="3"/>
      <c r="F591" s="3"/>
      <c r="G591" s="3"/>
      <c r="H591" s="3"/>
      <c r="I591" s="3"/>
      <c r="J591" s="3"/>
      <c r="K591" s="4"/>
    </row>
    <row r="592" spans="1:11" ht="17.25" customHeight="1">
      <c r="A592" s="3"/>
      <c r="B592" s="3"/>
      <c r="C592" s="3"/>
      <c r="D592" s="3"/>
      <c r="E592" s="3"/>
      <c r="F592" s="3"/>
      <c r="G592" s="3"/>
      <c r="H592" s="3"/>
      <c r="I592" s="3"/>
      <c r="J592" s="3"/>
      <c r="K592" s="4"/>
    </row>
    <row r="593" spans="1:11" ht="17.25" customHeight="1">
      <c r="A593" s="3"/>
      <c r="B593" s="3"/>
      <c r="C593" s="3"/>
      <c r="D593" s="3"/>
      <c r="E593" s="3"/>
      <c r="F593" s="3"/>
      <c r="G593" s="3"/>
      <c r="H593" s="3"/>
      <c r="I593" s="3"/>
      <c r="J593" s="3"/>
      <c r="K593" s="4"/>
    </row>
    <row r="594" spans="1:11" ht="17.25" customHeight="1">
      <c r="A594" s="3"/>
      <c r="B594" s="3"/>
      <c r="C594" s="3"/>
      <c r="D594" s="3"/>
      <c r="E594" s="3"/>
      <c r="F594" s="3"/>
      <c r="G594" s="3"/>
      <c r="H594" s="3"/>
      <c r="I594" s="3"/>
      <c r="J594" s="3"/>
      <c r="K594" s="4"/>
    </row>
    <row r="595" spans="1:11" ht="17.25" customHeight="1">
      <c r="A595" s="3"/>
      <c r="B595" s="3"/>
      <c r="C595" s="3"/>
      <c r="D595" s="3"/>
      <c r="E595" s="3"/>
      <c r="F595" s="3"/>
      <c r="G595" s="3"/>
      <c r="H595" s="3"/>
      <c r="I595" s="3"/>
      <c r="J595" s="3"/>
      <c r="K595" s="4"/>
    </row>
    <row r="596" spans="1:11" ht="17.25" customHeight="1">
      <c r="A596" s="3"/>
      <c r="B596" s="3"/>
      <c r="C596" s="3"/>
      <c r="D596" s="3"/>
      <c r="E596" s="3"/>
      <c r="F596" s="3"/>
      <c r="G596" s="3"/>
      <c r="H596" s="3"/>
      <c r="I596" s="3"/>
      <c r="J596" s="3"/>
      <c r="K596" s="4"/>
    </row>
    <row r="597" spans="1:11" ht="17.25" customHeight="1">
      <c r="A597" s="3"/>
      <c r="B597" s="3"/>
      <c r="C597" s="3"/>
      <c r="D597" s="3"/>
      <c r="E597" s="3"/>
      <c r="F597" s="3"/>
      <c r="G597" s="3"/>
      <c r="H597" s="3"/>
      <c r="I597" s="3"/>
      <c r="J597" s="3"/>
      <c r="K597" s="4"/>
    </row>
    <row r="598" spans="1:11" ht="17.25" customHeight="1">
      <c r="A598" s="3"/>
      <c r="B598" s="3"/>
      <c r="C598" s="3"/>
      <c r="D598" s="3"/>
      <c r="E598" s="3"/>
      <c r="F598" s="3"/>
      <c r="G598" s="3"/>
      <c r="H598" s="3"/>
      <c r="I598" s="3"/>
      <c r="J598" s="3"/>
      <c r="K598" s="4"/>
    </row>
    <row r="599" spans="1:11" ht="17.25" customHeight="1">
      <c r="A599" s="3"/>
      <c r="B599" s="3"/>
      <c r="C599" s="3"/>
      <c r="D599" s="3"/>
      <c r="E599" s="3"/>
      <c r="F599" s="3"/>
      <c r="G599" s="3"/>
      <c r="H599" s="3"/>
      <c r="I599" s="3"/>
      <c r="J599" s="3"/>
      <c r="K599" s="4"/>
    </row>
    <row r="600" spans="1:11" ht="17.25" customHeight="1">
      <c r="A600" s="3"/>
      <c r="B600" s="3"/>
      <c r="C600" s="3"/>
      <c r="D600" s="3"/>
      <c r="E600" s="3"/>
      <c r="F600" s="3"/>
      <c r="G600" s="3"/>
      <c r="H600" s="3"/>
      <c r="I600" s="3"/>
      <c r="J600" s="3"/>
      <c r="K600" s="4"/>
    </row>
    <row r="601" spans="1:11" ht="17.25" customHeight="1">
      <c r="A601" s="3"/>
      <c r="B601" s="3"/>
      <c r="C601" s="3"/>
      <c r="D601" s="3"/>
      <c r="E601" s="3"/>
      <c r="F601" s="3"/>
      <c r="G601" s="3"/>
      <c r="H601" s="3"/>
      <c r="I601" s="3"/>
      <c r="J601" s="3"/>
      <c r="K601" s="4"/>
    </row>
    <row r="602" spans="1:11" ht="17.25" customHeight="1">
      <c r="A602" s="3"/>
      <c r="B602" s="3"/>
      <c r="C602" s="3"/>
      <c r="D602" s="3"/>
      <c r="E602" s="3"/>
      <c r="F602" s="3"/>
      <c r="G602" s="3"/>
      <c r="H602" s="3"/>
      <c r="I602" s="3"/>
      <c r="J602" s="3"/>
      <c r="K602" s="4"/>
    </row>
    <row r="603" spans="1:11" ht="17.25" customHeight="1">
      <c r="A603" s="3"/>
      <c r="B603" s="3"/>
      <c r="C603" s="3"/>
      <c r="D603" s="3"/>
      <c r="E603" s="3"/>
      <c r="F603" s="3"/>
      <c r="G603" s="3"/>
      <c r="H603" s="3"/>
      <c r="I603" s="3"/>
      <c r="J603" s="3"/>
      <c r="K603" s="4"/>
    </row>
    <row r="604" spans="1:11" ht="17.25" customHeight="1">
      <c r="A604" s="3"/>
      <c r="B604" s="3"/>
      <c r="C604" s="3"/>
      <c r="D604" s="3"/>
      <c r="E604" s="3"/>
      <c r="F604" s="3"/>
      <c r="G604" s="3"/>
      <c r="H604" s="3"/>
      <c r="I604" s="3"/>
      <c r="J604" s="3"/>
      <c r="K604" s="4"/>
    </row>
    <row r="605" spans="1:11" ht="17.25" customHeight="1">
      <c r="A605" s="3"/>
      <c r="B605" s="3"/>
      <c r="C605" s="3"/>
      <c r="D605" s="3"/>
      <c r="E605" s="3"/>
      <c r="F605" s="3"/>
      <c r="G605" s="3"/>
      <c r="H605" s="3"/>
      <c r="I605" s="3"/>
      <c r="J605" s="3"/>
      <c r="K605" s="4"/>
    </row>
    <row r="606" spans="1:11" ht="17.25" customHeight="1">
      <c r="A606" s="3"/>
      <c r="B606" s="3"/>
      <c r="C606" s="3"/>
      <c r="D606" s="3"/>
      <c r="E606" s="3"/>
      <c r="F606" s="3"/>
      <c r="G606" s="3"/>
      <c r="H606" s="3"/>
      <c r="I606" s="3"/>
      <c r="J606" s="3"/>
      <c r="K606" s="4"/>
    </row>
    <row r="607" spans="1:11" ht="17.25" customHeight="1">
      <c r="A607" s="3"/>
      <c r="B607" s="3"/>
      <c r="C607" s="3"/>
      <c r="D607" s="3"/>
      <c r="E607" s="3"/>
      <c r="F607" s="3"/>
      <c r="G607" s="3"/>
      <c r="H607" s="3"/>
      <c r="I607" s="3"/>
      <c r="J607" s="3"/>
      <c r="K607" s="4"/>
    </row>
    <row r="608" spans="1:11" ht="17.25" customHeight="1">
      <c r="A608" s="3"/>
      <c r="B608" s="3"/>
      <c r="C608" s="3"/>
      <c r="D608" s="3"/>
      <c r="E608" s="3"/>
      <c r="F608" s="3"/>
      <c r="G608" s="3"/>
      <c r="H608" s="3"/>
      <c r="I608" s="3"/>
      <c r="J608" s="3"/>
      <c r="K608" s="4"/>
    </row>
    <row r="609" spans="1:11" ht="17.25" customHeight="1">
      <c r="A609" s="3"/>
      <c r="B609" s="3"/>
      <c r="C609" s="3"/>
      <c r="D609" s="3"/>
      <c r="E609" s="3"/>
      <c r="F609" s="3"/>
      <c r="G609" s="3"/>
      <c r="H609" s="3"/>
      <c r="I609" s="3"/>
      <c r="J609" s="3"/>
      <c r="K609" s="4"/>
    </row>
    <row r="610" spans="1:11" ht="17.25" customHeight="1">
      <c r="A610" s="3"/>
      <c r="B610" s="3"/>
      <c r="C610" s="3"/>
      <c r="D610" s="3"/>
      <c r="E610" s="3"/>
      <c r="F610" s="3"/>
      <c r="G610" s="3"/>
      <c r="H610" s="3"/>
      <c r="I610" s="3"/>
      <c r="J610" s="3"/>
      <c r="K610" s="4"/>
    </row>
    <row r="611" spans="1:11" ht="17.25" customHeight="1">
      <c r="A611" s="3"/>
      <c r="B611" s="3"/>
      <c r="C611" s="3"/>
      <c r="D611" s="3"/>
      <c r="E611" s="3"/>
      <c r="F611" s="3"/>
      <c r="G611" s="3"/>
      <c r="H611" s="3"/>
      <c r="I611" s="3"/>
      <c r="J611" s="3"/>
      <c r="K611" s="4"/>
    </row>
    <row r="612" spans="1:11" ht="17.25" customHeight="1">
      <c r="A612" s="3"/>
      <c r="B612" s="3"/>
      <c r="C612" s="3"/>
      <c r="D612" s="3"/>
      <c r="E612" s="3"/>
      <c r="F612" s="3"/>
      <c r="G612" s="3"/>
      <c r="H612" s="3"/>
      <c r="I612" s="3"/>
      <c r="J612" s="3"/>
      <c r="K612" s="4"/>
    </row>
    <row r="613" spans="1:11" ht="17.25" customHeight="1">
      <c r="A613" s="3"/>
      <c r="B613" s="3"/>
      <c r="C613" s="3"/>
      <c r="D613" s="3"/>
      <c r="E613" s="3"/>
      <c r="F613" s="3"/>
      <c r="G613" s="3"/>
      <c r="H613" s="3"/>
      <c r="I613" s="3"/>
      <c r="J613" s="3"/>
      <c r="K613" s="4"/>
    </row>
    <row r="614" spans="1:11" ht="17.25" customHeight="1">
      <c r="A614" s="3"/>
      <c r="B614" s="3"/>
      <c r="C614" s="3"/>
      <c r="D614" s="3"/>
      <c r="E614" s="3"/>
      <c r="F614" s="3"/>
      <c r="G614" s="3"/>
      <c r="H614" s="3"/>
      <c r="I614" s="3"/>
      <c r="J614" s="3"/>
      <c r="K614" s="4"/>
    </row>
    <row r="615" spans="1:11" ht="17.25" customHeight="1">
      <c r="A615" s="3"/>
      <c r="B615" s="3"/>
      <c r="C615" s="3"/>
      <c r="D615" s="3"/>
      <c r="E615" s="3"/>
      <c r="F615" s="3"/>
      <c r="G615" s="3"/>
      <c r="H615" s="3"/>
      <c r="I615" s="3"/>
      <c r="J615" s="3"/>
      <c r="K615" s="4"/>
    </row>
    <row r="616" spans="1:11" ht="17.25" customHeight="1">
      <c r="A616" s="3"/>
      <c r="B616" s="3"/>
      <c r="C616" s="3"/>
      <c r="D616" s="3"/>
      <c r="E616" s="3"/>
      <c r="F616" s="3"/>
      <c r="G616" s="3"/>
      <c r="H616" s="3"/>
      <c r="I616" s="3"/>
      <c r="J616" s="3"/>
      <c r="K616" s="4"/>
    </row>
    <row r="617" spans="1:11" ht="17.25" customHeight="1">
      <c r="A617" s="3"/>
      <c r="B617" s="3"/>
      <c r="C617" s="3"/>
      <c r="D617" s="3"/>
      <c r="E617" s="3"/>
      <c r="F617" s="3"/>
      <c r="G617" s="3"/>
      <c r="H617" s="3"/>
      <c r="I617" s="3"/>
      <c r="J617" s="3"/>
      <c r="K617" s="4"/>
    </row>
    <row r="618" spans="1:11" ht="17.25" customHeight="1">
      <c r="A618" s="3"/>
      <c r="B618" s="3"/>
      <c r="C618" s="3"/>
      <c r="D618" s="3"/>
      <c r="E618" s="3"/>
      <c r="F618" s="3"/>
      <c r="G618" s="3"/>
      <c r="H618" s="3"/>
      <c r="I618" s="3"/>
      <c r="J618" s="3"/>
      <c r="K618" s="4"/>
    </row>
    <row r="619" spans="1:11" ht="17.25" customHeight="1">
      <c r="A619" s="3"/>
      <c r="B619" s="3"/>
      <c r="C619" s="3"/>
      <c r="D619" s="3"/>
      <c r="E619" s="3"/>
      <c r="F619" s="3"/>
      <c r="G619" s="3"/>
      <c r="H619" s="3"/>
      <c r="I619" s="3"/>
      <c r="J619" s="3"/>
      <c r="K619" s="4"/>
    </row>
    <row r="620" spans="1:11" ht="17.25" customHeight="1">
      <c r="A620" s="3"/>
      <c r="B620" s="3"/>
      <c r="C620" s="3"/>
      <c r="D620" s="3"/>
      <c r="E620" s="3"/>
      <c r="F620" s="3"/>
      <c r="G620" s="3"/>
      <c r="H620" s="3"/>
      <c r="I620" s="3"/>
      <c r="J620" s="3"/>
      <c r="K620" s="4"/>
    </row>
    <row r="621" spans="1:11" ht="17.25" customHeight="1">
      <c r="A621" s="3"/>
      <c r="B621" s="3"/>
      <c r="C621" s="3"/>
      <c r="D621" s="3"/>
      <c r="E621" s="3"/>
      <c r="F621" s="3"/>
      <c r="G621" s="3"/>
      <c r="H621" s="3"/>
      <c r="I621" s="3"/>
      <c r="J621" s="3"/>
      <c r="K621" s="4"/>
    </row>
    <row r="622" spans="1:11" ht="17.25" customHeight="1">
      <c r="A622" s="3"/>
      <c r="B622" s="3"/>
      <c r="C622" s="3"/>
      <c r="D622" s="3"/>
      <c r="E622" s="3"/>
      <c r="F622" s="3"/>
      <c r="G622" s="3"/>
      <c r="H622" s="3"/>
      <c r="I622" s="3"/>
      <c r="J622" s="3"/>
      <c r="K622" s="4"/>
    </row>
    <row r="623" spans="1:11" ht="17.25" customHeight="1">
      <c r="A623" s="3"/>
      <c r="B623" s="3"/>
      <c r="C623" s="3"/>
      <c r="D623" s="3"/>
      <c r="E623" s="3"/>
      <c r="F623" s="3"/>
      <c r="G623" s="3"/>
      <c r="H623" s="3"/>
      <c r="I623" s="3"/>
      <c r="J623" s="3"/>
      <c r="K623" s="4"/>
    </row>
    <row r="624" spans="1:11" ht="17.25" customHeight="1">
      <c r="A624" s="3"/>
      <c r="B624" s="3"/>
      <c r="C624" s="3"/>
      <c r="D624" s="3"/>
      <c r="E624" s="3"/>
      <c r="F624" s="3"/>
      <c r="G624" s="3"/>
      <c r="H624" s="3"/>
      <c r="I624" s="3"/>
      <c r="J624" s="3"/>
      <c r="K624" s="4"/>
    </row>
    <row r="625" spans="1:11" ht="17.25" customHeight="1">
      <c r="A625" s="3"/>
      <c r="B625" s="3"/>
      <c r="C625" s="3"/>
      <c r="D625" s="3"/>
      <c r="E625" s="3"/>
      <c r="F625" s="3"/>
      <c r="G625" s="3"/>
      <c r="H625" s="3"/>
      <c r="I625" s="3"/>
      <c r="J625" s="3"/>
      <c r="K625" s="4"/>
    </row>
    <row r="626" spans="1:11" ht="17.25" customHeight="1">
      <c r="A626" s="3"/>
      <c r="B626" s="3"/>
      <c r="C626" s="3"/>
      <c r="D626" s="3"/>
      <c r="E626" s="3"/>
      <c r="F626" s="3"/>
      <c r="G626" s="3"/>
      <c r="H626" s="3"/>
      <c r="I626" s="3"/>
      <c r="J626" s="3"/>
      <c r="K626" s="4"/>
    </row>
    <row r="627" spans="1:11" ht="17.25" customHeight="1">
      <c r="A627" s="3"/>
      <c r="B627" s="3"/>
      <c r="C627" s="3"/>
      <c r="D627" s="3"/>
      <c r="E627" s="3"/>
      <c r="F627" s="3"/>
      <c r="G627" s="3"/>
      <c r="H627" s="3"/>
      <c r="I627" s="3"/>
      <c r="J627" s="3"/>
      <c r="K627" s="4"/>
    </row>
    <row r="628" spans="1:11" ht="17.25" customHeight="1">
      <c r="A628" s="3"/>
      <c r="B628" s="3"/>
      <c r="C628" s="3"/>
      <c r="D628" s="3"/>
      <c r="E628" s="3"/>
      <c r="F628" s="3"/>
      <c r="G628" s="3"/>
      <c r="H628" s="3"/>
      <c r="I628" s="3"/>
      <c r="J628" s="3"/>
      <c r="K628" s="4"/>
    </row>
    <row r="629" spans="1:11" ht="17.25" customHeight="1">
      <c r="A629" s="3"/>
      <c r="B629" s="3"/>
      <c r="C629" s="3"/>
      <c r="D629" s="3"/>
      <c r="E629" s="3"/>
      <c r="F629" s="3"/>
      <c r="G629" s="3"/>
      <c r="H629" s="3"/>
      <c r="I629" s="3"/>
      <c r="J629" s="3"/>
      <c r="K629" s="4"/>
    </row>
    <row r="630" spans="1:11" ht="17.25" customHeight="1">
      <c r="A630" s="3"/>
      <c r="B630" s="3"/>
      <c r="C630" s="3"/>
      <c r="D630" s="3"/>
      <c r="E630" s="3"/>
      <c r="F630" s="3"/>
      <c r="G630" s="3"/>
      <c r="H630" s="3"/>
      <c r="I630" s="3"/>
      <c r="J630" s="3"/>
      <c r="K630" s="4"/>
    </row>
    <row r="631" spans="1:11" ht="17.25" customHeight="1">
      <c r="A631" s="3"/>
      <c r="B631" s="3"/>
      <c r="C631" s="3"/>
      <c r="D631" s="3"/>
      <c r="E631" s="3"/>
      <c r="F631" s="3"/>
      <c r="G631" s="3"/>
      <c r="H631" s="3"/>
      <c r="I631" s="3"/>
      <c r="J631" s="3"/>
      <c r="K631" s="4"/>
    </row>
    <row r="632" spans="1:11" ht="17.25" customHeight="1">
      <c r="A632" s="3"/>
      <c r="B632" s="3"/>
      <c r="C632" s="3"/>
      <c r="D632" s="3"/>
      <c r="E632" s="3"/>
      <c r="F632" s="3"/>
      <c r="G632" s="3"/>
      <c r="H632" s="3"/>
      <c r="I632" s="3"/>
      <c r="J632" s="3"/>
      <c r="K632" s="4"/>
    </row>
    <row r="633" spans="1:11" ht="17.25" customHeight="1">
      <c r="A633" s="3"/>
      <c r="B633" s="3"/>
      <c r="C633" s="3"/>
      <c r="D633" s="3"/>
      <c r="E633" s="3"/>
      <c r="F633" s="3"/>
      <c r="G633" s="3"/>
      <c r="H633" s="3"/>
      <c r="I633" s="3"/>
      <c r="J633" s="3"/>
      <c r="K633" s="4"/>
    </row>
    <row r="634" spans="1:11" ht="17.25" customHeight="1">
      <c r="A634" s="3"/>
      <c r="B634" s="3"/>
      <c r="C634" s="3"/>
      <c r="D634" s="3"/>
      <c r="E634" s="3"/>
      <c r="F634" s="3"/>
      <c r="G634" s="3"/>
      <c r="H634" s="3"/>
      <c r="I634" s="3"/>
      <c r="J634" s="3"/>
      <c r="K634" s="4"/>
    </row>
    <row r="635" spans="1:11" ht="17.25" customHeight="1">
      <c r="A635" s="3"/>
      <c r="B635" s="3"/>
      <c r="C635" s="3"/>
      <c r="D635" s="3"/>
      <c r="E635" s="3"/>
      <c r="F635" s="3"/>
      <c r="G635" s="3"/>
      <c r="H635" s="3"/>
      <c r="I635" s="3"/>
      <c r="J635" s="3"/>
      <c r="K635" s="4"/>
    </row>
    <row r="636" spans="1:11" ht="17.25" customHeight="1">
      <c r="A636" s="3"/>
      <c r="B636" s="3"/>
      <c r="C636" s="3"/>
      <c r="D636" s="3"/>
      <c r="E636" s="3"/>
      <c r="F636" s="3"/>
      <c r="G636" s="3"/>
      <c r="H636" s="3"/>
      <c r="I636" s="3"/>
      <c r="J636" s="3"/>
      <c r="K636" s="4"/>
    </row>
    <row r="637" spans="1:11" ht="17.25" customHeight="1">
      <c r="A637" s="3"/>
      <c r="B637" s="3"/>
      <c r="C637" s="3"/>
      <c r="D637" s="3"/>
      <c r="E637" s="3"/>
      <c r="F637" s="3"/>
      <c r="G637" s="3"/>
      <c r="H637" s="3"/>
      <c r="I637" s="3"/>
      <c r="J637" s="3"/>
      <c r="K637" s="4"/>
    </row>
    <row r="638" spans="1:11" ht="17.25" customHeight="1">
      <c r="A638" s="3"/>
      <c r="B638" s="3"/>
      <c r="C638" s="3"/>
      <c r="D638" s="3"/>
      <c r="E638" s="3"/>
      <c r="F638" s="3"/>
      <c r="G638" s="3"/>
      <c r="H638" s="3"/>
      <c r="I638" s="3"/>
      <c r="J638" s="3"/>
      <c r="K638" s="4"/>
    </row>
    <row r="639" spans="1:11" ht="17.25" customHeight="1">
      <c r="A639" s="3"/>
      <c r="B639" s="3"/>
      <c r="C639" s="3"/>
      <c r="D639" s="3"/>
      <c r="E639" s="3"/>
      <c r="F639" s="3"/>
      <c r="G639" s="3"/>
      <c r="H639" s="3"/>
      <c r="I639" s="3"/>
      <c r="J639" s="3"/>
      <c r="K639" s="4"/>
    </row>
    <row r="640" spans="1:11" ht="17.25" customHeight="1">
      <c r="A640" s="3"/>
      <c r="B640" s="3"/>
      <c r="C640" s="3"/>
      <c r="D640" s="3"/>
      <c r="E640" s="3"/>
      <c r="F640" s="3"/>
      <c r="G640" s="3"/>
      <c r="H640" s="3"/>
      <c r="I640" s="3"/>
      <c r="J640" s="3"/>
      <c r="K640" s="4"/>
    </row>
    <row r="641" spans="1:11" ht="17.25" customHeight="1">
      <c r="A641" s="3"/>
      <c r="B641" s="3"/>
      <c r="C641" s="3"/>
      <c r="D641" s="3"/>
      <c r="E641" s="3"/>
      <c r="F641" s="3"/>
      <c r="G641" s="3"/>
      <c r="H641" s="3"/>
      <c r="I641" s="3"/>
      <c r="J641" s="3"/>
      <c r="K641" s="4"/>
    </row>
    <row r="642" spans="1:11" ht="17.25" customHeight="1">
      <c r="A642" s="3"/>
      <c r="B642" s="3"/>
      <c r="C642" s="3"/>
      <c r="D642" s="3"/>
      <c r="E642" s="3"/>
      <c r="F642" s="3"/>
      <c r="G642" s="3"/>
      <c r="H642" s="3"/>
      <c r="I642" s="3"/>
      <c r="J642" s="3"/>
      <c r="K642" s="4"/>
    </row>
    <row r="643" spans="1:11" ht="17.25" customHeight="1">
      <c r="A643" s="3"/>
      <c r="B643" s="3"/>
      <c r="C643" s="3"/>
      <c r="D643" s="3"/>
      <c r="E643" s="3"/>
      <c r="F643" s="3"/>
      <c r="G643" s="3"/>
      <c r="H643" s="3"/>
      <c r="I643" s="3"/>
      <c r="J643" s="3"/>
      <c r="K643" s="4"/>
    </row>
    <row r="644" spans="1:11" ht="17.25" customHeight="1">
      <c r="A644" s="3"/>
      <c r="B644" s="3"/>
      <c r="C644" s="3"/>
      <c r="D644" s="3"/>
      <c r="E644" s="3"/>
      <c r="F644" s="3"/>
      <c r="G644" s="3"/>
      <c r="H644" s="3"/>
      <c r="I644" s="3"/>
      <c r="J644" s="3"/>
      <c r="K644" s="4"/>
    </row>
    <row r="645" spans="1:11" ht="17.25" customHeight="1">
      <c r="A645" s="3"/>
      <c r="B645" s="3"/>
      <c r="C645" s="3"/>
      <c r="D645" s="3"/>
      <c r="E645" s="3"/>
      <c r="F645" s="3"/>
      <c r="G645" s="3"/>
      <c r="H645" s="3"/>
      <c r="I645" s="3"/>
      <c r="J645" s="3"/>
      <c r="K645" s="4"/>
    </row>
    <row r="646" spans="1:11" ht="17.25" customHeight="1">
      <c r="A646" s="3"/>
      <c r="B646" s="3"/>
      <c r="C646" s="3"/>
      <c r="D646" s="3"/>
      <c r="E646" s="3"/>
      <c r="F646" s="3"/>
      <c r="G646" s="3"/>
      <c r="H646" s="3"/>
      <c r="I646" s="3"/>
      <c r="J646" s="3"/>
      <c r="K646" s="4"/>
    </row>
    <row r="647" spans="1:11" ht="17.25" customHeight="1">
      <c r="A647" s="3"/>
      <c r="B647" s="3"/>
      <c r="C647" s="3"/>
      <c r="D647" s="3"/>
      <c r="E647" s="3"/>
      <c r="F647" s="3"/>
      <c r="G647" s="3"/>
      <c r="H647" s="3"/>
      <c r="I647" s="3"/>
      <c r="J647" s="3"/>
      <c r="K647" s="4"/>
    </row>
    <row r="648" spans="1:11" ht="17.25" customHeight="1">
      <c r="A648" s="3"/>
      <c r="B648" s="3"/>
      <c r="C648" s="3"/>
      <c r="D648" s="3"/>
      <c r="E648" s="3"/>
      <c r="F648" s="3"/>
      <c r="G648" s="3"/>
      <c r="H648" s="3"/>
      <c r="I648" s="3"/>
      <c r="J648" s="3"/>
      <c r="K648" s="4"/>
    </row>
    <row r="649" spans="1:11" ht="17.25" customHeight="1">
      <c r="A649" s="3"/>
      <c r="B649" s="3"/>
      <c r="C649" s="3"/>
      <c r="D649" s="3"/>
      <c r="E649" s="3"/>
      <c r="F649" s="3"/>
      <c r="G649" s="3"/>
      <c r="H649" s="3"/>
      <c r="I649" s="3"/>
      <c r="J649" s="3"/>
      <c r="K649" s="4"/>
    </row>
    <row r="650" spans="1:11" ht="17.25" customHeight="1">
      <c r="A650" s="3"/>
      <c r="B650" s="3"/>
      <c r="C650" s="3"/>
      <c r="D650" s="3"/>
      <c r="E650" s="3"/>
      <c r="F650" s="3"/>
      <c r="G650" s="3"/>
      <c r="H650" s="3"/>
      <c r="I650" s="3"/>
      <c r="J650" s="3"/>
      <c r="K650" s="4"/>
    </row>
    <row r="651" spans="1:11" ht="17.25" customHeight="1">
      <c r="A651" s="3"/>
      <c r="B651" s="3"/>
      <c r="C651" s="3"/>
      <c r="D651" s="3"/>
      <c r="E651" s="3"/>
      <c r="F651" s="3"/>
      <c r="G651" s="3"/>
      <c r="H651" s="3"/>
      <c r="I651" s="3"/>
      <c r="J651" s="3"/>
      <c r="K651" s="4"/>
    </row>
    <row r="652" spans="1:11" ht="17.25" customHeight="1">
      <c r="A652" s="3"/>
      <c r="B652" s="3"/>
      <c r="C652" s="3"/>
      <c r="D652" s="3"/>
      <c r="E652" s="3"/>
      <c r="F652" s="3"/>
      <c r="G652" s="3"/>
      <c r="H652" s="3"/>
      <c r="I652" s="3"/>
      <c r="J652" s="3"/>
      <c r="K652" s="4"/>
    </row>
    <row r="653" spans="1:11" ht="17.25" customHeight="1">
      <c r="A653" s="3"/>
      <c r="B653" s="3"/>
      <c r="C653" s="3"/>
      <c r="D653" s="3"/>
      <c r="E653" s="3"/>
      <c r="F653" s="3"/>
      <c r="G653" s="3"/>
      <c r="H653" s="3"/>
      <c r="I653" s="3"/>
      <c r="J653" s="3"/>
      <c r="K653" s="4"/>
    </row>
    <row r="654" spans="1:11" ht="17.25" customHeight="1">
      <c r="A654" s="3"/>
      <c r="B654" s="3"/>
      <c r="C654" s="3"/>
      <c r="D654" s="3"/>
      <c r="E654" s="3"/>
      <c r="F654" s="3"/>
      <c r="G654" s="3"/>
      <c r="H654" s="3"/>
      <c r="I654" s="3"/>
      <c r="J654" s="3"/>
      <c r="K654" s="4"/>
    </row>
    <row r="655" spans="1:11" ht="17.25" customHeight="1">
      <c r="A655" s="3"/>
      <c r="B655" s="3"/>
      <c r="C655" s="3"/>
      <c r="D655" s="3"/>
      <c r="E655" s="3"/>
      <c r="F655" s="3"/>
      <c r="G655" s="3"/>
      <c r="H655" s="3"/>
      <c r="I655" s="3"/>
      <c r="J655" s="3"/>
      <c r="K655" s="4"/>
    </row>
    <row r="656" spans="1:11" ht="17.25" customHeight="1">
      <c r="A656" s="3"/>
      <c r="B656" s="3"/>
      <c r="C656" s="3"/>
      <c r="D656" s="3"/>
      <c r="E656" s="3"/>
      <c r="F656" s="3"/>
      <c r="G656" s="3"/>
      <c r="H656" s="3"/>
      <c r="I656" s="3"/>
      <c r="J656" s="3"/>
      <c r="K656" s="4"/>
    </row>
    <row r="657" spans="1:11" ht="17.25" customHeight="1">
      <c r="A657" s="3"/>
      <c r="B657" s="3"/>
      <c r="C657" s="3"/>
      <c r="D657" s="3"/>
      <c r="E657" s="3"/>
      <c r="F657" s="3"/>
      <c r="G657" s="3"/>
      <c r="H657" s="3"/>
      <c r="I657" s="3"/>
      <c r="J657" s="3"/>
      <c r="K657" s="4"/>
    </row>
    <row r="658" spans="1:11" ht="17.25" customHeight="1">
      <c r="A658" s="3"/>
      <c r="B658" s="3"/>
      <c r="C658" s="3"/>
      <c r="D658" s="3"/>
      <c r="E658" s="3"/>
      <c r="F658" s="3"/>
      <c r="G658" s="3"/>
      <c r="H658" s="3"/>
      <c r="I658" s="3"/>
      <c r="J658" s="3"/>
      <c r="K658" s="4"/>
    </row>
    <row r="659" spans="1:11" ht="17.25" customHeight="1">
      <c r="A659" s="3"/>
      <c r="B659" s="3"/>
      <c r="C659" s="3"/>
      <c r="D659" s="3"/>
      <c r="E659" s="3"/>
      <c r="F659" s="3"/>
      <c r="G659" s="3"/>
      <c r="H659" s="3"/>
      <c r="I659" s="3"/>
      <c r="J659" s="3"/>
      <c r="K659" s="4"/>
    </row>
    <row r="660" spans="1:11" ht="17.25" customHeight="1">
      <c r="A660" s="3"/>
      <c r="B660" s="3"/>
      <c r="C660" s="3"/>
      <c r="D660" s="3"/>
      <c r="E660" s="3"/>
      <c r="F660" s="3"/>
      <c r="G660" s="3"/>
      <c r="H660" s="3"/>
      <c r="I660" s="3"/>
      <c r="J660" s="3"/>
      <c r="K660" s="4"/>
    </row>
    <row r="661" spans="1:11" ht="17.25" customHeight="1">
      <c r="A661" s="3"/>
      <c r="B661" s="3"/>
      <c r="C661" s="3"/>
      <c r="D661" s="3"/>
      <c r="E661" s="3"/>
      <c r="F661" s="3"/>
      <c r="G661" s="3"/>
      <c r="H661" s="3"/>
      <c r="I661" s="3"/>
      <c r="J661" s="3"/>
      <c r="K661" s="4"/>
    </row>
    <row r="662" spans="1:11" ht="17.25" customHeight="1">
      <c r="A662" s="3"/>
      <c r="B662" s="3"/>
      <c r="C662" s="3"/>
      <c r="D662" s="3"/>
      <c r="E662" s="3"/>
      <c r="F662" s="3"/>
      <c r="G662" s="3"/>
      <c r="H662" s="3"/>
      <c r="I662" s="3"/>
      <c r="J662" s="3"/>
      <c r="K662" s="4"/>
    </row>
    <row r="663" spans="1:11" ht="17.25" customHeight="1">
      <c r="A663" s="3"/>
      <c r="B663" s="3"/>
      <c r="C663" s="3"/>
      <c r="D663" s="3"/>
      <c r="E663" s="3"/>
      <c r="F663" s="3"/>
      <c r="G663" s="3"/>
      <c r="H663" s="3"/>
      <c r="I663" s="3"/>
      <c r="J663" s="3"/>
      <c r="K663" s="4"/>
    </row>
    <row r="664" spans="1:11" ht="17.25" customHeight="1">
      <c r="A664" s="3"/>
      <c r="B664" s="3"/>
      <c r="C664" s="3"/>
      <c r="D664" s="3"/>
      <c r="E664" s="3"/>
      <c r="F664" s="3"/>
      <c r="G664" s="3"/>
      <c r="H664" s="3"/>
      <c r="I664" s="3"/>
      <c r="J664" s="3"/>
      <c r="K664" s="4"/>
    </row>
    <row r="665" spans="1:11" ht="17.25" customHeight="1">
      <c r="A665" s="3"/>
      <c r="B665" s="3"/>
      <c r="C665" s="3"/>
      <c r="D665" s="3"/>
      <c r="E665" s="3"/>
      <c r="F665" s="3"/>
      <c r="G665" s="3"/>
      <c r="H665" s="3"/>
      <c r="I665" s="3"/>
      <c r="J665" s="3"/>
      <c r="K665" s="4"/>
    </row>
    <row r="666" spans="1:11" ht="17.25" customHeight="1">
      <c r="A666" s="3"/>
      <c r="B666" s="3"/>
      <c r="C666" s="3"/>
      <c r="D666" s="3"/>
      <c r="E666" s="3"/>
      <c r="F666" s="3"/>
      <c r="G666" s="3"/>
      <c r="H666" s="3"/>
      <c r="I666" s="3"/>
      <c r="J666" s="3"/>
      <c r="K666" s="4"/>
    </row>
    <row r="667" spans="1:11" ht="17.25" customHeight="1">
      <c r="A667" s="3"/>
      <c r="B667" s="3"/>
      <c r="C667" s="3"/>
      <c r="D667" s="3"/>
      <c r="E667" s="3"/>
      <c r="F667" s="3"/>
      <c r="G667" s="3"/>
      <c r="H667" s="3"/>
      <c r="I667" s="3"/>
      <c r="J667" s="3"/>
      <c r="K667" s="4"/>
    </row>
    <row r="668" spans="1:11" ht="17.25" customHeight="1">
      <c r="A668" s="3"/>
      <c r="B668" s="3"/>
      <c r="C668" s="3"/>
      <c r="D668" s="3"/>
      <c r="E668" s="3"/>
      <c r="F668" s="3"/>
      <c r="G668" s="3"/>
      <c r="H668" s="3"/>
      <c r="I668" s="3"/>
      <c r="J668" s="3"/>
      <c r="K668" s="4"/>
    </row>
    <row r="669" spans="1:11" ht="17.25" customHeight="1">
      <c r="A669" s="3"/>
      <c r="B669" s="3"/>
      <c r="C669" s="3"/>
      <c r="D669" s="3"/>
      <c r="E669" s="3"/>
      <c r="F669" s="3"/>
      <c r="G669" s="3"/>
      <c r="H669" s="3"/>
      <c r="I669" s="3"/>
      <c r="J669" s="3"/>
      <c r="K669" s="4"/>
    </row>
    <row r="670" spans="1:11" ht="17.25" customHeight="1">
      <c r="A670" s="3"/>
      <c r="B670" s="3"/>
      <c r="C670" s="3"/>
      <c r="D670" s="3"/>
      <c r="E670" s="3"/>
      <c r="F670" s="3"/>
      <c r="G670" s="3"/>
      <c r="H670" s="3"/>
      <c r="I670" s="3"/>
      <c r="J670" s="3"/>
      <c r="K670" s="4"/>
    </row>
    <row r="671" spans="1:11" ht="17.25" customHeight="1">
      <c r="A671" s="3"/>
      <c r="B671" s="3"/>
      <c r="C671" s="3"/>
      <c r="D671" s="3"/>
      <c r="E671" s="3"/>
      <c r="F671" s="3"/>
      <c r="G671" s="3"/>
      <c r="H671" s="3"/>
      <c r="I671" s="3"/>
      <c r="J671" s="3"/>
      <c r="K671" s="4"/>
    </row>
    <row r="672" spans="1:11" ht="17.25" customHeight="1">
      <c r="A672" s="3"/>
      <c r="B672" s="3"/>
      <c r="C672" s="3"/>
      <c r="D672" s="3"/>
      <c r="E672" s="3"/>
      <c r="F672" s="3"/>
      <c r="G672" s="3"/>
      <c r="H672" s="3"/>
      <c r="I672" s="3"/>
      <c r="J672" s="3"/>
      <c r="K672" s="4"/>
    </row>
    <row r="673" spans="1:11" ht="17.25" customHeight="1">
      <c r="A673" s="3"/>
      <c r="B673" s="3"/>
      <c r="C673" s="3"/>
      <c r="D673" s="3"/>
      <c r="E673" s="3"/>
      <c r="F673" s="3"/>
      <c r="G673" s="3"/>
      <c r="H673" s="3"/>
      <c r="I673" s="3"/>
      <c r="J673" s="3"/>
      <c r="K673" s="4"/>
    </row>
    <row r="674" spans="1:11" ht="17.25" customHeight="1">
      <c r="A674" s="3"/>
      <c r="B674" s="3"/>
      <c r="C674" s="3"/>
      <c r="D674" s="3"/>
      <c r="E674" s="3"/>
      <c r="F674" s="3"/>
      <c r="G674" s="3"/>
      <c r="H674" s="3"/>
      <c r="I674" s="3"/>
      <c r="J674" s="3"/>
      <c r="K674" s="4"/>
    </row>
    <row r="675" spans="1:11" ht="17.25" customHeight="1">
      <c r="A675" s="3"/>
      <c r="B675" s="3"/>
      <c r="C675" s="3"/>
      <c r="D675" s="3"/>
      <c r="E675" s="3"/>
      <c r="F675" s="3"/>
      <c r="G675" s="3"/>
      <c r="H675" s="3"/>
      <c r="I675" s="3"/>
      <c r="J675" s="3"/>
      <c r="K675" s="4"/>
    </row>
    <row r="676" spans="1:11" ht="17.25" customHeight="1">
      <c r="A676" s="3"/>
      <c r="B676" s="3"/>
      <c r="C676" s="3"/>
      <c r="D676" s="3"/>
      <c r="E676" s="3"/>
      <c r="F676" s="3"/>
      <c r="G676" s="3"/>
      <c r="H676" s="3"/>
      <c r="I676" s="3"/>
      <c r="J676" s="3"/>
      <c r="K676" s="4"/>
    </row>
    <row r="677" spans="1:11" ht="17.25" customHeight="1">
      <c r="A677" s="3"/>
      <c r="B677" s="3"/>
      <c r="C677" s="3"/>
      <c r="D677" s="3"/>
      <c r="E677" s="3"/>
      <c r="F677" s="3"/>
      <c r="G677" s="3"/>
      <c r="H677" s="3"/>
      <c r="I677" s="3"/>
      <c r="J677" s="3"/>
      <c r="K677" s="4"/>
    </row>
    <row r="678" spans="1:11" ht="17.25" customHeight="1">
      <c r="A678" s="3"/>
      <c r="B678" s="3"/>
      <c r="C678" s="3"/>
      <c r="D678" s="3"/>
      <c r="E678" s="3"/>
      <c r="F678" s="3"/>
      <c r="G678" s="3"/>
      <c r="H678" s="3"/>
      <c r="I678" s="3"/>
      <c r="J678" s="3"/>
      <c r="K678" s="4"/>
    </row>
    <row r="679" spans="1:11" ht="17.25" customHeight="1">
      <c r="A679" s="3"/>
      <c r="B679" s="3"/>
      <c r="C679" s="3"/>
      <c r="D679" s="3"/>
      <c r="E679" s="3"/>
      <c r="F679" s="3"/>
      <c r="G679" s="3"/>
      <c r="H679" s="3"/>
      <c r="I679" s="3"/>
      <c r="J679" s="3"/>
      <c r="K679" s="4"/>
    </row>
    <row r="680" spans="1:11" ht="17.25" customHeight="1">
      <c r="A680" s="3"/>
      <c r="B680" s="3"/>
      <c r="C680" s="3"/>
      <c r="D680" s="3"/>
      <c r="E680" s="3"/>
      <c r="F680" s="3"/>
      <c r="G680" s="3"/>
      <c r="H680" s="3"/>
      <c r="I680" s="3"/>
      <c r="J680" s="3"/>
      <c r="K680" s="4"/>
    </row>
    <row r="681" spans="1:11" ht="17.25" customHeight="1">
      <c r="A681" s="3"/>
      <c r="B681" s="3"/>
      <c r="C681" s="3"/>
      <c r="D681" s="3"/>
      <c r="E681" s="3"/>
      <c r="F681" s="3"/>
      <c r="G681" s="3"/>
      <c r="H681" s="3"/>
      <c r="I681" s="3"/>
      <c r="J681" s="3"/>
      <c r="K681" s="4"/>
    </row>
    <row r="682" spans="1:11" ht="17.25" customHeight="1">
      <c r="A682" s="3"/>
      <c r="B682" s="3"/>
      <c r="C682" s="3"/>
      <c r="D682" s="3"/>
      <c r="E682" s="3"/>
      <c r="F682" s="3"/>
      <c r="G682" s="3"/>
      <c r="H682" s="3"/>
      <c r="I682" s="3"/>
      <c r="J682" s="3"/>
      <c r="K682" s="4"/>
    </row>
    <row r="683" spans="1:11" ht="17.25" customHeight="1">
      <c r="A683" s="3"/>
      <c r="B683" s="3"/>
      <c r="C683" s="3"/>
      <c r="D683" s="3"/>
      <c r="E683" s="3"/>
      <c r="F683" s="3"/>
      <c r="G683" s="3"/>
      <c r="H683" s="3"/>
      <c r="I683" s="3"/>
      <c r="J683" s="3"/>
      <c r="K683" s="4"/>
    </row>
    <row r="684" spans="1:11" ht="17.25" customHeight="1">
      <c r="A684" s="3"/>
      <c r="B684" s="3"/>
      <c r="C684" s="3"/>
      <c r="D684" s="3"/>
      <c r="E684" s="3"/>
      <c r="F684" s="3"/>
      <c r="G684" s="3"/>
      <c r="H684" s="3"/>
      <c r="I684" s="3"/>
      <c r="J684" s="3"/>
      <c r="K684" s="4"/>
    </row>
    <row r="685" spans="1:11" ht="17.25" customHeight="1">
      <c r="A685" s="3"/>
      <c r="B685" s="3"/>
      <c r="C685" s="3"/>
      <c r="D685" s="3"/>
      <c r="E685" s="3"/>
      <c r="F685" s="3"/>
      <c r="G685" s="3"/>
      <c r="H685" s="3"/>
      <c r="I685" s="3"/>
      <c r="J685" s="3"/>
      <c r="K685" s="4"/>
    </row>
    <row r="686" spans="1:11" ht="17.25" customHeight="1">
      <c r="A686" s="3"/>
      <c r="B686" s="3"/>
      <c r="C686" s="3"/>
      <c r="D686" s="3"/>
      <c r="E686" s="3"/>
      <c r="F686" s="3"/>
      <c r="G686" s="3"/>
      <c r="H686" s="3"/>
      <c r="I686" s="3"/>
      <c r="J686" s="3"/>
      <c r="K686" s="4"/>
    </row>
    <row r="687" spans="1:11" ht="17.25" customHeight="1">
      <c r="A687" s="3"/>
      <c r="B687" s="3"/>
      <c r="C687" s="3"/>
      <c r="D687" s="3"/>
      <c r="E687" s="3"/>
      <c r="F687" s="3"/>
      <c r="G687" s="3"/>
      <c r="H687" s="3"/>
      <c r="I687" s="3"/>
      <c r="J687" s="3"/>
      <c r="K687" s="4"/>
    </row>
    <row r="688" spans="1:11" ht="17.25" customHeight="1">
      <c r="A688" s="3"/>
      <c r="B688" s="3"/>
      <c r="C688" s="3"/>
      <c r="D688" s="3"/>
      <c r="E688" s="3"/>
      <c r="F688" s="3"/>
      <c r="G688" s="3"/>
      <c r="H688" s="3"/>
      <c r="I688" s="3"/>
      <c r="J688" s="3"/>
      <c r="K688" s="4"/>
    </row>
    <row r="689" spans="1:11" ht="17.25" customHeight="1">
      <c r="A689" s="3"/>
      <c r="B689" s="3"/>
      <c r="C689" s="3"/>
      <c r="D689" s="3"/>
      <c r="E689" s="3"/>
      <c r="F689" s="3"/>
      <c r="G689" s="3"/>
      <c r="H689" s="3"/>
      <c r="I689" s="3"/>
      <c r="J689" s="3"/>
      <c r="K689" s="4"/>
    </row>
    <row r="690" spans="1:11" ht="17.25" customHeight="1">
      <c r="A690" s="3"/>
      <c r="B690" s="3"/>
      <c r="C690" s="3"/>
      <c r="D690" s="3"/>
      <c r="E690" s="3"/>
      <c r="F690" s="3"/>
      <c r="G690" s="3"/>
      <c r="H690" s="3"/>
      <c r="I690" s="3"/>
      <c r="J690" s="3"/>
      <c r="K690" s="4"/>
    </row>
    <row r="691" spans="1:11" ht="17.25" customHeight="1">
      <c r="A691" s="3"/>
      <c r="B691" s="3"/>
      <c r="C691" s="3"/>
      <c r="D691" s="3"/>
      <c r="E691" s="3"/>
      <c r="F691" s="3"/>
      <c r="G691" s="3"/>
      <c r="H691" s="3"/>
      <c r="I691" s="3"/>
      <c r="J691" s="3"/>
      <c r="K691" s="4"/>
    </row>
    <row r="692" spans="1:11" ht="17.25" customHeight="1">
      <c r="A692" s="3"/>
      <c r="B692" s="3"/>
      <c r="C692" s="3"/>
      <c r="D692" s="3"/>
      <c r="E692" s="3"/>
      <c r="F692" s="3"/>
      <c r="G692" s="3"/>
      <c r="H692" s="3"/>
      <c r="I692" s="3"/>
      <c r="J692" s="3"/>
      <c r="K692" s="4"/>
    </row>
    <row r="693" spans="1:11" ht="17.25" customHeight="1">
      <c r="A693" s="3"/>
      <c r="B693" s="3"/>
      <c r="C693" s="3"/>
      <c r="D693" s="3"/>
      <c r="E693" s="3"/>
      <c r="F693" s="3"/>
      <c r="G693" s="3"/>
      <c r="H693" s="3"/>
      <c r="I693" s="3"/>
      <c r="J693" s="3"/>
      <c r="K693" s="4"/>
    </row>
    <row r="694" spans="1:11" ht="17.25" customHeight="1">
      <c r="A694" s="3"/>
      <c r="B694" s="3"/>
      <c r="C694" s="3"/>
      <c r="D694" s="3"/>
      <c r="E694" s="3"/>
      <c r="F694" s="3"/>
      <c r="G694" s="3"/>
      <c r="H694" s="3"/>
      <c r="I694" s="3"/>
      <c r="J694" s="3"/>
      <c r="K694" s="4"/>
    </row>
    <row r="695" spans="1:11" ht="17.25" customHeight="1">
      <c r="A695" s="3"/>
      <c r="B695" s="3"/>
      <c r="C695" s="3"/>
      <c r="D695" s="3"/>
      <c r="E695" s="3"/>
      <c r="F695" s="3"/>
      <c r="G695" s="3"/>
      <c r="H695" s="3"/>
      <c r="I695" s="3"/>
      <c r="J695" s="3"/>
      <c r="K695" s="4"/>
    </row>
    <row r="696" spans="1:11" ht="17.25" customHeight="1">
      <c r="A696" s="3"/>
      <c r="B696" s="3"/>
      <c r="C696" s="3"/>
      <c r="D696" s="3"/>
      <c r="E696" s="3"/>
      <c r="F696" s="3"/>
      <c r="G696" s="3"/>
      <c r="H696" s="3"/>
      <c r="I696" s="3"/>
      <c r="J696" s="3"/>
      <c r="K696" s="4"/>
    </row>
    <row r="697" spans="1:11" ht="17.25" customHeight="1">
      <c r="A697" s="3"/>
      <c r="B697" s="3"/>
      <c r="C697" s="3"/>
      <c r="D697" s="3"/>
      <c r="E697" s="3"/>
      <c r="F697" s="3"/>
      <c r="G697" s="3"/>
      <c r="H697" s="3"/>
      <c r="I697" s="3"/>
      <c r="J697" s="3"/>
      <c r="K697" s="4"/>
    </row>
    <row r="698" spans="1:11" ht="17.25" customHeight="1">
      <c r="A698" s="3"/>
      <c r="B698" s="3"/>
      <c r="C698" s="3"/>
      <c r="D698" s="3"/>
      <c r="E698" s="3"/>
      <c r="F698" s="3"/>
      <c r="G698" s="3"/>
      <c r="H698" s="3"/>
      <c r="I698" s="3"/>
      <c r="J698" s="3"/>
      <c r="K698" s="4"/>
    </row>
    <row r="699" spans="1:11" ht="17.25" customHeight="1">
      <c r="A699" s="3"/>
      <c r="B699" s="3"/>
      <c r="C699" s="3"/>
      <c r="D699" s="3"/>
      <c r="E699" s="3"/>
      <c r="F699" s="3"/>
      <c r="G699" s="3"/>
      <c r="H699" s="3"/>
      <c r="I699" s="3"/>
      <c r="J699" s="3"/>
      <c r="K699" s="4"/>
    </row>
    <row r="700" spans="1:11" ht="17.25" customHeight="1">
      <c r="A700" s="3"/>
      <c r="B700" s="3"/>
      <c r="C700" s="3"/>
      <c r="D700" s="3"/>
      <c r="E700" s="3"/>
      <c r="F700" s="3"/>
      <c r="G700" s="3"/>
      <c r="H700" s="3"/>
      <c r="I700" s="3"/>
      <c r="J700" s="3"/>
      <c r="K700" s="4"/>
    </row>
    <row r="701" spans="1:11" ht="17.25" customHeight="1">
      <c r="A701" s="3"/>
      <c r="B701" s="3"/>
      <c r="C701" s="3"/>
      <c r="D701" s="3"/>
      <c r="E701" s="3"/>
      <c r="F701" s="3"/>
      <c r="G701" s="3"/>
      <c r="H701" s="3"/>
      <c r="I701" s="3"/>
      <c r="J701" s="3"/>
      <c r="K701" s="4"/>
    </row>
    <row r="702" spans="1:11" ht="17.25" customHeight="1">
      <c r="A702" s="3"/>
      <c r="B702" s="3"/>
      <c r="C702" s="3"/>
      <c r="D702" s="3"/>
      <c r="E702" s="3"/>
      <c r="F702" s="3"/>
      <c r="G702" s="3"/>
      <c r="H702" s="3"/>
      <c r="I702" s="3"/>
      <c r="J702" s="3"/>
      <c r="K702" s="4"/>
    </row>
    <row r="703" spans="1:11" ht="17.25" customHeight="1">
      <c r="A703" s="3"/>
      <c r="B703" s="3"/>
      <c r="C703" s="3"/>
      <c r="D703" s="3"/>
      <c r="E703" s="3"/>
      <c r="F703" s="3"/>
      <c r="G703" s="3"/>
      <c r="H703" s="3"/>
      <c r="I703" s="3"/>
      <c r="J703" s="3"/>
      <c r="K703" s="4"/>
    </row>
    <row r="704" spans="1:11" ht="17.25" customHeight="1">
      <c r="A704" s="3"/>
      <c r="B704" s="3"/>
      <c r="C704" s="3"/>
      <c r="D704" s="3"/>
      <c r="E704" s="3"/>
      <c r="F704" s="3"/>
      <c r="G704" s="3"/>
      <c r="H704" s="3"/>
      <c r="I704" s="3"/>
      <c r="J704" s="3"/>
      <c r="K704" s="4"/>
    </row>
    <row r="705" spans="1:11" ht="17.25" customHeight="1">
      <c r="A705" s="3"/>
      <c r="B705" s="3"/>
      <c r="C705" s="3"/>
      <c r="D705" s="3"/>
      <c r="E705" s="3"/>
      <c r="F705" s="3"/>
      <c r="G705" s="3"/>
      <c r="H705" s="3"/>
      <c r="I705" s="3"/>
      <c r="J705" s="3"/>
      <c r="K705" s="4"/>
    </row>
    <row r="706" spans="1:11" ht="17.25" customHeight="1">
      <c r="A706" s="3"/>
      <c r="B706" s="3"/>
      <c r="C706" s="3"/>
      <c r="D706" s="3"/>
      <c r="E706" s="3"/>
      <c r="F706" s="3"/>
      <c r="G706" s="3"/>
      <c r="H706" s="3"/>
      <c r="I706" s="3"/>
      <c r="J706" s="3"/>
      <c r="K706" s="4"/>
    </row>
    <row r="707" spans="1:11" ht="17.25" customHeight="1">
      <c r="A707" s="3"/>
      <c r="B707" s="3"/>
      <c r="C707" s="3"/>
      <c r="D707" s="3"/>
      <c r="E707" s="3"/>
      <c r="F707" s="3"/>
      <c r="G707" s="3"/>
      <c r="H707" s="3"/>
      <c r="I707" s="3"/>
      <c r="J707" s="3"/>
      <c r="K707" s="4"/>
    </row>
    <row r="708" spans="1:11" ht="17.25" customHeight="1">
      <c r="A708" s="3"/>
      <c r="B708" s="3"/>
      <c r="C708" s="3"/>
      <c r="D708" s="3"/>
      <c r="E708" s="3"/>
      <c r="F708" s="3"/>
      <c r="G708" s="3"/>
      <c r="H708" s="3"/>
      <c r="I708" s="3"/>
      <c r="J708" s="3"/>
      <c r="K708" s="4"/>
    </row>
    <row r="709" spans="1:11" ht="17.25" customHeight="1">
      <c r="A709" s="3"/>
      <c r="B709" s="3"/>
      <c r="C709" s="3"/>
      <c r="D709" s="3"/>
      <c r="E709" s="3"/>
      <c r="F709" s="3"/>
      <c r="G709" s="3"/>
      <c r="H709" s="3"/>
      <c r="I709" s="3"/>
      <c r="J709" s="3"/>
      <c r="K709" s="4"/>
    </row>
    <row r="710" spans="1:11" ht="17.25" customHeight="1">
      <c r="A710" s="3"/>
      <c r="B710" s="3"/>
      <c r="C710" s="3"/>
      <c r="D710" s="3"/>
      <c r="E710" s="3"/>
      <c r="F710" s="3"/>
      <c r="G710" s="3"/>
      <c r="H710" s="3"/>
      <c r="I710" s="3"/>
      <c r="J710" s="3"/>
      <c r="K710" s="4"/>
    </row>
    <row r="711" spans="1:11" ht="17.25" customHeight="1">
      <c r="A711" s="3"/>
      <c r="B711" s="3"/>
      <c r="C711" s="3"/>
      <c r="D711" s="3"/>
      <c r="E711" s="3"/>
      <c r="F711" s="3"/>
      <c r="G711" s="3"/>
      <c r="H711" s="3"/>
      <c r="I711" s="3"/>
      <c r="J711" s="3"/>
      <c r="K711" s="4"/>
    </row>
    <row r="712" spans="1:11" ht="17.25" customHeight="1">
      <c r="A712" s="3"/>
      <c r="B712" s="3"/>
      <c r="C712" s="3"/>
      <c r="D712" s="3"/>
      <c r="E712" s="3"/>
      <c r="F712" s="3"/>
      <c r="G712" s="3"/>
      <c r="H712" s="3"/>
      <c r="I712" s="3"/>
      <c r="J712" s="3"/>
      <c r="K712" s="4"/>
    </row>
    <row r="713" spans="1:11" ht="17.25" customHeight="1">
      <c r="A713" s="3"/>
      <c r="B713" s="3"/>
      <c r="C713" s="3"/>
      <c r="D713" s="3"/>
      <c r="E713" s="3"/>
      <c r="F713" s="3"/>
      <c r="G713" s="3"/>
      <c r="H713" s="3"/>
      <c r="I713" s="3"/>
      <c r="J713" s="3"/>
      <c r="K713" s="4"/>
    </row>
    <row r="714" spans="1:11" ht="17.25" customHeight="1">
      <c r="A714" s="3"/>
      <c r="B714" s="3"/>
      <c r="C714" s="3"/>
      <c r="D714" s="3"/>
      <c r="E714" s="3"/>
      <c r="F714" s="3"/>
      <c r="G714" s="3"/>
      <c r="H714" s="3"/>
      <c r="I714" s="3"/>
      <c r="J714" s="3"/>
      <c r="K714" s="4"/>
    </row>
    <row r="715" spans="1:11" ht="17.25" customHeight="1">
      <c r="A715" s="3"/>
      <c r="B715" s="3"/>
      <c r="C715" s="3"/>
      <c r="D715" s="3"/>
      <c r="E715" s="3"/>
      <c r="F715" s="3"/>
      <c r="G715" s="3"/>
      <c r="H715" s="3"/>
      <c r="I715" s="3"/>
      <c r="J715" s="3"/>
      <c r="K715" s="4"/>
    </row>
    <row r="716" spans="1:11" ht="17.25" customHeight="1">
      <c r="A716" s="3"/>
      <c r="B716" s="3"/>
      <c r="C716" s="3"/>
      <c r="D716" s="3"/>
      <c r="E716" s="3"/>
      <c r="F716" s="3"/>
      <c r="G716" s="3"/>
      <c r="H716" s="3"/>
      <c r="I716" s="3"/>
      <c r="J716" s="3"/>
      <c r="K716" s="4"/>
    </row>
    <row r="717" spans="1:11" ht="17.25" customHeight="1">
      <c r="A717" s="3"/>
      <c r="B717" s="3"/>
      <c r="C717" s="3"/>
      <c r="D717" s="3"/>
      <c r="E717" s="3"/>
      <c r="F717" s="3"/>
      <c r="G717" s="3"/>
      <c r="H717" s="3"/>
      <c r="I717" s="3"/>
      <c r="J717" s="3"/>
      <c r="K717" s="4"/>
    </row>
    <row r="718" spans="1:11" ht="17.25" customHeight="1">
      <c r="A718" s="3"/>
      <c r="B718" s="3"/>
      <c r="C718" s="3"/>
      <c r="D718" s="3"/>
      <c r="E718" s="3"/>
      <c r="F718" s="3"/>
      <c r="G718" s="3"/>
      <c r="H718" s="3"/>
      <c r="I718" s="3"/>
      <c r="J718" s="3"/>
      <c r="K718" s="4"/>
    </row>
    <row r="719" spans="1:11" ht="17.25" customHeight="1">
      <c r="A719" s="3"/>
      <c r="B719" s="3"/>
      <c r="C719" s="3"/>
      <c r="D719" s="3"/>
      <c r="E719" s="3"/>
      <c r="F719" s="3"/>
      <c r="G719" s="3"/>
      <c r="H719" s="3"/>
      <c r="I719" s="3"/>
      <c r="J719" s="3"/>
      <c r="K719" s="4"/>
    </row>
    <row r="720" spans="1:11" ht="17.25" customHeight="1">
      <c r="A720" s="3"/>
      <c r="B720" s="3"/>
      <c r="C720" s="3"/>
      <c r="D720" s="3"/>
      <c r="E720" s="3"/>
      <c r="F720" s="3"/>
      <c r="G720" s="3"/>
      <c r="H720" s="3"/>
      <c r="I720" s="3"/>
      <c r="J720" s="3"/>
      <c r="K720" s="4"/>
    </row>
    <row r="721" spans="1:11" ht="17.25" customHeight="1">
      <c r="A721" s="3"/>
      <c r="B721" s="3"/>
      <c r="C721" s="3"/>
      <c r="D721" s="3"/>
      <c r="E721" s="3"/>
      <c r="F721" s="3"/>
      <c r="G721" s="3"/>
      <c r="H721" s="3"/>
      <c r="I721" s="3"/>
      <c r="J721" s="3"/>
      <c r="K721" s="4"/>
    </row>
    <row r="722" spans="1:11" ht="17.25" customHeight="1">
      <c r="A722" s="3"/>
      <c r="B722" s="3"/>
      <c r="C722" s="3"/>
      <c r="D722" s="3"/>
      <c r="E722" s="3"/>
      <c r="F722" s="3"/>
      <c r="G722" s="3"/>
      <c r="H722" s="3"/>
      <c r="I722" s="3"/>
      <c r="J722" s="3"/>
      <c r="K722" s="4"/>
    </row>
    <row r="723" spans="1:11" ht="17.25" customHeight="1">
      <c r="A723" s="3"/>
      <c r="B723" s="3"/>
      <c r="C723" s="3"/>
      <c r="D723" s="3"/>
      <c r="E723" s="3"/>
      <c r="F723" s="3"/>
      <c r="G723" s="3"/>
      <c r="H723" s="3"/>
      <c r="I723" s="3"/>
      <c r="J723" s="3"/>
      <c r="K723" s="4"/>
    </row>
    <row r="724" spans="1:11" ht="17.25" customHeight="1">
      <c r="A724" s="3"/>
      <c r="B724" s="3"/>
      <c r="C724" s="3"/>
      <c r="D724" s="3"/>
      <c r="E724" s="3"/>
      <c r="F724" s="3"/>
      <c r="G724" s="3"/>
      <c r="H724" s="3"/>
      <c r="I724" s="3"/>
      <c r="J724" s="3"/>
      <c r="K724" s="4"/>
    </row>
    <row r="725" spans="1:11" ht="17.25" customHeight="1">
      <c r="A725" s="3"/>
      <c r="B725" s="3"/>
      <c r="C725" s="3"/>
      <c r="D725" s="3"/>
      <c r="E725" s="3"/>
      <c r="F725" s="3"/>
      <c r="G725" s="3"/>
      <c r="H725" s="3"/>
      <c r="I725" s="3"/>
      <c r="J725" s="3"/>
      <c r="K725" s="4"/>
    </row>
    <row r="726" spans="1:11" ht="17.25" customHeight="1">
      <c r="A726" s="3"/>
      <c r="B726" s="3"/>
      <c r="C726" s="3"/>
      <c r="D726" s="3"/>
      <c r="E726" s="3"/>
      <c r="F726" s="3"/>
      <c r="G726" s="3"/>
      <c r="H726" s="3"/>
      <c r="I726" s="3"/>
      <c r="J726" s="3"/>
      <c r="K726" s="4"/>
    </row>
    <row r="727" spans="1:11" ht="17.25" customHeight="1">
      <c r="A727" s="3"/>
      <c r="B727" s="3"/>
      <c r="C727" s="3"/>
      <c r="D727" s="3"/>
      <c r="E727" s="3"/>
      <c r="F727" s="3"/>
      <c r="G727" s="3"/>
      <c r="H727" s="3"/>
      <c r="I727" s="3"/>
      <c r="J727" s="3"/>
      <c r="K727" s="4"/>
    </row>
    <row r="728" spans="1:11" ht="17.25" customHeight="1">
      <c r="A728" s="3"/>
      <c r="B728" s="3"/>
      <c r="C728" s="3"/>
      <c r="D728" s="3"/>
      <c r="E728" s="3"/>
      <c r="F728" s="3"/>
      <c r="G728" s="3"/>
      <c r="H728" s="3"/>
      <c r="I728" s="3"/>
      <c r="J728" s="3"/>
      <c r="K728" s="4"/>
    </row>
    <row r="729" spans="1:11" ht="17.25" customHeight="1">
      <c r="A729" s="3"/>
      <c r="B729" s="3"/>
      <c r="C729" s="3"/>
      <c r="D729" s="3"/>
      <c r="E729" s="3"/>
      <c r="F729" s="3"/>
      <c r="G729" s="3"/>
      <c r="H729" s="3"/>
      <c r="I729" s="3"/>
      <c r="J729" s="3"/>
      <c r="K729" s="4"/>
    </row>
    <row r="730" spans="1:11" ht="17.25" customHeight="1">
      <c r="A730" s="3"/>
      <c r="B730" s="3"/>
      <c r="C730" s="3"/>
      <c r="D730" s="3"/>
      <c r="E730" s="3"/>
      <c r="F730" s="3"/>
      <c r="G730" s="3"/>
      <c r="H730" s="3"/>
      <c r="I730" s="3"/>
      <c r="J730" s="3"/>
      <c r="K730" s="4"/>
    </row>
    <row r="731" spans="1:11" ht="17.25" customHeight="1">
      <c r="A731" s="3"/>
      <c r="B731" s="3"/>
      <c r="C731" s="3"/>
      <c r="D731" s="3"/>
      <c r="E731" s="3"/>
      <c r="F731" s="3"/>
      <c r="G731" s="3"/>
      <c r="H731" s="3"/>
      <c r="I731" s="3"/>
      <c r="J731" s="3"/>
      <c r="K731" s="4"/>
    </row>
    <row r="732" spans="1:11" ht="17.25" customHeight="1">
      <c r="A732" s="3"/>
      <c r="B732" s="3"/>
      <c r="C732" s="3"/>
      <c r="D732" s="3"/>
      <c r="E732" s="3"/>
      <c r="F732" s="3"/>
      <c r="G732" s="3"/>
      <c r="H732" s="3"/>
      <c r="I732" s="3"/>
      <c r="J732" s="3"/>
      <c r="K732" s="4"/>
    </row>
    <row r="733" spans="1:11" ht="17.25" customHeight="1">
      <c r="A733" s="3"/>
      <c r="B733" s="3"/>
      <c r="C733" s="3"/>
      <c r="D733" s="3"/>
      <c r="E733" s="3"/>
      <c r="F733" s="3"/>
      <c r="G733" s="3"/>
      <c r="H733" s="3"/>
      <c r="I733" s="3"/>
      <c r="J733" s="3"/>
      <c r="K733" s="4"/>
    </row>
    <row r="734" spans="1:11" ht="17.25" customHeight="1">
      <c r="A734" s="3"/>
      <c r="B734" s="3"/>
      <c r="C734" s="3"/>
      <c r="D734" s="3"/>
      <c r="E734" s="3"/>
      <c r="F734" s="3"/>
      <c r="G734" s="3"/>
      <c r="H734" s="3"/>
      <c r="I734" s="3"/>
      <c r="J734" s="3"/>
      <c r="K734" s="4"/>
    </row>
    <row r="735" spans="1:11" ht="17.25" customHeight="1">
      <c r="A735" s="3"/>
      <c r="B735" s="3"/>
      <c r="C735" s="3"/>
      <c r="D735" s="3"/>
      <c r="E735" s="3"/>
      <c r="F735" s="3"/>
      <c r="G735" s="3"/>
      <c r="H735" s="3"/>
      <c r="I735" s="3"/>
      <c r="J735" s="3"/>
      <c r="K735" s="4"/>
    </row>
    <row r="736" spans="1:11" ht="17.25" customHeight="1">
      <c r="A736" s="3"/>
      <c r="B736" s="3"/>
      <c r="C736" s="3"/>
      <c r="D736" s="3"/>
      <c r="E736" s="3"/>
      <c r="F736" s="3"/>
      <c r="G736" s="3"/>
      <c r="H736" s="3"/>
      <c r="I736" s="3"/>
      <c r="J736" s="3"/>
      <c r="K736" s="4"/>
    </row>
    <row r="737" spans="1:11" ht="17.25" customHeight="1">
      <c r="A737" s="3"/>
      <c r="B737" s="3"/>
      <c r="C737" s="3"/>
      <c r="D737" s="3"/>
      <c r="E737" s="3"/>
      <c r="F737" s="3"/>
      <c r="G737" s="3"/>
      <c r="H737" s="3"/>
      <c r="I737" s="3"/>
      <c r="J737" s="3"/>
      <c r="K737" s="4"/>
    </row>
    <row r="738" spans="1:11" ht="17.25" customHeight="1">
      <c r="A738" s="3"/>
      <c r="B738" s="3"/>
      <c r="C738" s="3"/>
      <c r="D738" s="3"/>
      <c r="E738" s="3"/>
      <c r="F738" s="3"/>
      <c r="G738" s="3"/>
      <c r="H738" s="3"/>
      <c r="I738" s="3"/>
      <c r="J738" s="3"/>
      <c r="K738" s="4"/>
    </row>
    <row r="739" spans="1:11" ht="17.25" customHeight="1">
      <c r="A739" s="3"/>
      <c r="B739" s="3"/>
      <c r="C739" s="3"/>
      <c r="D739" s="3"/>
      <c r="E739" s="3"/>
      <c r="F739" s="3"/>
      <c r="G739" s="3"/>
      <c r="H739" s="3"/>
      <c r="I739" s="3"/>
      <c r="J739" s="3"/>
      <c r="K739" s="4"/>
    </row>
    <row r="740" spans="1:11" ht="17.25" customHeight="1">
      <c r="A740" s="3"/>
      <c r="B740" s="3"/>
      <c r="C740" s="3"/>
      <c r="D740" s="3"/>
      <c r="E740" s="3"/>
      <c r="F740" s="3"/>
      <c r="G740" s="3"/>
      <c r="H740" s="3"/>
      <c r="I740" s="3"/>
      <c r="J740" s="3"/>
      <c r="K740" s="4"/>
    </row>
    <row r="741" spans="1:11" ht="17.25" customHeight="1">
      <c r="A741" s="3"/>
      <c r="B741" s="3"/>
      <c r="C741" s="3"/>
      <c r="D741" s="3"/>
      <c r="E741" s="3"/>
      <c r="F741" s="3"/>
      <c r="G741" s="3"/>
      <c r="H741" s="3"/>
      <c r="I741" s="3"/>
      <c r="J741" s="3"/>
      <c r="K741" s="4"/>
    </row>
    <row r="742" spans="1:11" ht="17.25" customHeight="1">
      <c r="A742" s="3"/>
      <c r="B742" s="3"/>
      <c r="C742" s="3"/>
      <c r="D742" s="3"/>
      <c r="E742" s="3"/>
      <c r="F742" s="3"/>
      <c r="G742" s="3"/>
      <c r="H742" s="3"/>
      <c r="I742" s="3"/>
      <c r="J742" s="3"/>
      <c r="K742" s="4"/>
    </row>
    <row r="743" spans="1:11" ht="17.25" customHeight="1">
      <c r="A743" s="3"/>
      <c r="B743" s="3"/>
      <c r="C743" s="3"/>
      <c r="D743" s="3"/>
      <c r="E743" s="3"/>
      <c r="F743" s="3"/>
      <c r="G743" s="3"/>
      <c r="H743" s="3"/>
      <c r="I743" s="3"/>
      <c r="J743" s="3"/>
      <c r="K743" s="4"/>
    </row>
    <row r="744" spans="1:11" ht="17.25" customHeight="1">
      <c r="A744" s="3"/>
      <c r="B744" s="3"/>
      <c r="C744" s="3"/>
      <c r="D744" s="3"/>
      <c r="E744" s="3"/>
      <c r="F744" s="3"/>
      <c r="G744" s="3"/>
      <c r="H744" s="3"/>
      <c r="I744" s="3"/>
      <c r="J744" s="3"/>
      <c r="K744" s="4"/>
    </row>
    <row r="745" spans="1:11" ht="17.25" customHeight="1">
      <c r="A745" s="3"/>
      <c r="B745" s="3"/>
      <c r="C745" s="3"/>
      <c r="D745" s="3"/>
      <c r="E745" s="3"/>
      <c r="F745" s="3"/>
      <c r="G745" s="3"/>
      <c r="H745" s="3"/>
      <c r="I745" s="3"/>
      <c r="J745" s="3"/>
      <c r="K745" s="4"/>
    </row>
    <row r="746" spans="1:11" ht="17.25" customHeight="1">
      <c r="A746" s="3"/>
      <c r="B746" s="3"/>
      <c r="C746" s="3"/>
      <c r="D746" s="3"/>
      <c r="E746" s="3"/>
      <c r="F746" s="3"/>
      <c r="G746" s="3"/>
      <c r="H746" s="3"/>
      <c r="I746" s="3"/>
      <c r="J746" s="3"/>
      <c r="K746" s="4"/>
    </row>
    <row r="747" spans="1:11" ht="17.25" customHeight="1">
      <c r="A747" s="3"/>
      <c r="B747" s="3"/>
      <c r="C747" s="3"/>
      <c r="D747" s="3"/>
      <c r="E747" s="3"/>
      <c r="F747" s="3"/>
      <c r="G747" s="3"/>
      <c r="H747" s="3"/>
      <c r="I747" s="3"/>
      <c r="J747" s="3"/>
      <c r="K747" s="4"/>
    </row>
    <row r="748" spans="1:11" ht="17.25" customHeight="1">
      <c r="A748" s="3"/>
      <c r="B748" s="3"/>
      <c r="C748" s="3"/>
      <c r="D748" s="3"/>
      <c r="E748" s="3"/>
      <c r="F748" s="3"/>
      <c r="G748" s="3"/>
      <c r="H748" s="3"/>
      <c r="I748" s="3"/>
      <c r="J748" s="3"/>
      <c r="K748" s="4"/>
    </row>
    <row r="749" spans="1:11" ht="17.25" customHeight="1">
      <c r="A749" s="3"/>
      <c r="B749" s="3"/>
      <c r="C749" s="3"/>
      <c r="D749" s="3"/>
      <c r="E749" s="3"/>
      <c r="F749" s="3"/>
      <c r="G749" s="3"/>
      <c r="H749" s="3"/>
      <c r="I749" s="3"/>
      <c r="J749" s="3"/>
      <c r="K749" s="4"/>
    </row>
    <row r="750" spans="1:11" ht="17.25" customHeight="1">
      <c r="A750" s="3"/>
      <c r="B750" s="3"/>
      <c r="C750" s="3"/>
      <c r="D750" s="3"/>
      <c r="E750" s="3"/>
      <c r="F750" s="3"/>
      <c r="G750" s="3"/>
      <c r="H750" s="3"/>
      <c r="I750" s="3"/>
      <c r="J750" s="3"/>
      <c r="K750" s="4"/>
    </row>
    <row r="751" spans="1:11" ht="17.25" customHeight="1">
      <c r="A751" s="3"/>
      <c r="B751" s="3"/>
      <c r="C751" s="3"/>
      <c r="D751" s="3"/>
      <c r="E751" s="3"/>
      <c r="F751" s="3"/>
      <c r="G751" s="3"/>
      <c r="H751" s="3"/>
      <c r="I751" s="3"/>
      <c r="J751" s="3"/>
      <c r="K751" s="4"/>
    </row>
    <row r="752" spans="1:11" ht="17.25" customHeight="1">
      <c r="A752" s="3"/>
      <c r="B752" s="3"/>
      <c r="C752" s="3"/>
      <c r="D752" s="3"/>
      <c r="E752" s="3"/>
      <c r="F752" s="3"/>
      <c r="G752" s="3"/>
      <c r="H752" s="3"/>
      <c r="I752" s="3"/>
      <c r="J752" s="3"/>
      <c r="K752" s="4"/>
    </row>
    <row r="753" spans="1:11" ht="17.25" customHeight="1">
      <c r="A753" s="3"/>
      <c r="B753" s="3"/>
      <c r="C753" s="3"/>
      <c r="D753" s="3"/>
      <c r="E753" s="3"/>
      <c r="F753" s="3"/>
      <c r="G753" s="3"/>
      <c r="H753" s="3"/>
      <c r="I753" s="3"/>
      <c r="J753" s="3"/>
      <c r="K753" s="4"/>
    </row>
    <row r="754" spans="1:11" ht="17.25" customHeight="1">
      <c r="A754" s="3"/>
      <c r="B754" s="3"/>
      <c r="C754" s="3"/>
      <c r="D754" s="3"/>
      <c r="E754" s="3"/>
      <c r="F754" s="3"/>
      <c r="G754" s="3"/>
      <c r="H754" s="3"/>
      <c r="I754" s="3"/>
      <c r="J754" s="3"/>
      <c r="K754" s="4"/>
    </row>
    <row r="755" spans="1:11" ht="17.25" customHeight="1">
      <c r="A755" s="3"/>
      <c r="B755" s="3"/>
      <c r="C755" s="3"/>
      <c r="D755" s="3"/>
      <c r="E755" s="3"/>
      <c r="F755" s="3"/>
      <c r="G755" s="3"/>
      <c r="H755" s="3"/>
      <c r="I755" s="3"/>
      <c r="J755" s="3"/>
      <c r="K755" s="4"/>
    </row>
    <row r="756" spans="1:11" ht="17.25" customHeight="1">
      <c r="A756" s="3"/>
      <c r="B756" s="3"/>
      <c r="C756" s="3"/>
      <c r="D756" s="3"/>
      <c r="E756" s="3"/>
      <c r="F756" s="3"/>
      <c r="G756" s="3"/>
      <c r="H756" s="3"/>
      <c r="I756" s="3"/>
      <c r="J756" s="3"/>
      <c r="K756" s="4"/>
    </row>
    <row r="757" spans="1:11" ht="17.25" customHeight="1">
      <c r="A757" s="3"/>
      <c r="B757" s="3"/>
      <c r="C757" s="3"/>
      <c r="D757" s="3"/>
      <c r="E757" s="3"/>
      <c r="F757" s="3"/>
      <c r="G757" s="3"/>
      <c r="H757" s="3"/>
      <c r="I757" s="3"/>
      <c r="J757" s="3"/>
      <c r="K757" s="4"/>
    </row>
    <row r="758" spans="1:11" ht="17.25" customHeight="1">
      <c r="A758" s="3"/>
      <c r="B758" s="3"/>
      <c r="C758" s="3"/>
      <c r="D758" s="3"/>
      <c r="E758" s="3"/>
      <c r="F758" s="3"/>
      <c r="G758" s="3"/>
      <c r="H758" s="3"/>
      <c r="I758" s="3"/>
      <c r="J758" s="3"/>
      <c r="K758" s="4"/>
    </row>
    <row r="759" spans="1:11" ht="17.25" customHeight="1">
      <c r="A759" s="3"/>
      <c r="B759" s="3"/>
      <c r="C759" s="3"/>
      <c r="D759" s="3"/>
      <c r="E759" s="3"/>
      <c r="F759" s="3"/>
      <c r="G759" s="3"/>
      <c r="H759" s="3"/>
      <c r="I759" s="3"/>
      <c r="J759" s="3"/>
      <c r="K759" s="4"/>
    </row>
    <row r="760" spans="1:11" ht="17.25" customHeight="1">
      <c r="A760" s="3"/>
      <c r="B760" s="3"/>
      <c r="C760" s="3"/>
      <c r="D760" s="3"/>
      <c r="E760" s="3"/>
      <c r="F760" s="3"/>
      <c r="G760" s="3"/>
      <c r="H760" s="3"/>
      <c r="I760" s="3"/>
      <c r="J760" s="3"/>
      <c r="K760" s="4"/>
    </row>
    <row r="761" spans="1:11" ht="17.25" customHeight="1">
      <c r="A761" s="3"/>
      <c r="B761" s="3"/>
      <c r="C761" s="3"/>
      <c r="D761" s="3"/>
      <c r="E761" s="3"/>
      <c r="F761" s="3"/>
      <c r="G761" s="3"/>
      <c r="H761" s="3"/>
      <c r="I761" s="3"/>
      <c r="J761" s="3"/>
      <c r="K761" s="4"/>
    </row>
    <row r="762" spans="1:11" ht="17.25" customHeight="1">
      <c r="A762" s="3"/>
      <c r="B762" s="3"/>
      <c r="C762" s="3"/>
      <c r="D762" s="3"/>
      <c r="E762" s="3"/>
      <c r="F762" s="3"/>
      <c r="G762" s="3"/>
      <c r="H762" s="3"/>
      <c r="I762" s="3"/>
      <c r="J762" s="3"/>
      <c r="K762" s="4"/>
    </row>
    <row r="763" spans="1:11" ht="17.25" customHeight="1">
      <c r="A763" s="3"/>
      <c r="B763" s="3"/>
      <c r="C763" s="3"/>
      <c r="D763" s="3"/>
      <c r="E763" s="3"/>
      <c r="F763" s="3"/>
      <c r="G763" s="3"/>
      <c r="H763" s="3"/>
      <c r="I763" s="3"/>
      <c r="J763" s="3"/>
      <c r="K763" s="4"/>
    </row>
    <row r="764" spans="1:11" ht="17.25" customHeight="1">
      <c r="A764" s="3"/>
      <c r="B764" s="3"/>
      <c r="C764" s="3"/>
      <c r="D764" s="3"/>
      <c r="E764" s="3"/>
      <c r="F764" s="3"/>
      <c r="G764" s="3"/>
      <c r="H764" s="3"/>
      <c r="I764" s="3"/>
      <c r="J764" s="3"/>
      <c r="K764" s="4"/>
    </row>
    <row r="765" spans="1:11" ht="17.25" customHeight="1">
      <c r="A765" s="3"/>
      <c r="B765" s="3"/>
      <c r="C765" s="3"/>
      <c r="D765" s="3"/>
      <c r="E765" s="3"/>
      <c r="F765" s="3"/>
      <c r="G765" s="3"/>
      <c r="H765" s="3"/>
      <c r="I765" s="3"/>
      <c r="J765" s="3"/>
      <c r="K765" s="4"/>
    </row>
    <row r="766" spans="1:11" ht="17.25" customHeight="1">
      <c r="A766" s="3"/>
      <c r="B766" s="3"/>
      <c r="C766" s="3"/>
      <c r="D766" s="3"/>
      <c r="E766" s="3"/>
      <c r="F766" s="3"/>
      <c r="G766" s="3"/>
      <c r="H766" s="3"/>
      <c r="I766" s="3"/>
      <c r="J766" s="3"/>
      <c r="K766" s="4"/>
    </row>
    <row r="767" spans="1:11" ht="17.25" customHeight="1">
      <c r="A767" s="3"/>
      <c r="B767" s="3"/>
      <c r="C767" s="3"/>
      <c r="D767" s="3"/>
      <c r="E767" s="3"/>
      <c r="F767" s="3"/>
      <c r="G767" s="3"/>
      <c r="H767" s="3"/>
      <c r="I767" s="3"/>
      <c r="J767" s="3"/>
      <c r="K767" s="4"/>
    </row>
    <row r="768" spans="1:11" ht="17.25" customHeight="1">
      <c r="A768" s="3"/>
      <c r="B768" s="3"/>
      <c r="C768" s="3"/>
      <c r="D768" s="3"/>
      <c r="E768" s="3"/>
      <c r="F768" s="3"/>
      <c r="G768" s="3"/>
      <c r="H768" s="3"/>
      <c r="I768" s="3"/>
      <c r="J768" s="3"/>
      <c r="K768" s="4"/>
    </row>
    <row r="769" spans="1:11" ht="17.25" customHeight="1">
      <c r="A769" s="3"/>
      <c r="B769" s="3"/>
      <c r="C769" s="3"/>
      <c r="D769" s="3"/>
      <c r="E769" s="3"/>
      <c r="F769" s="3"/>
      <c r="G769" s="3"/>
      <c r="H769" s="3"/>
      <c r="I769" s="3"/>
      <c r="J769" s="3"/>
      <c r="K769" s="4"/>
    </row>
    <row r="770" spans="1:11" ht="17.25" customHeight="1">
      <c r="A770" s="3"/>
      <c r="B770" s="3"/>
      <c r="C770" s="3"/>
      <c r="D770" s="3"/>
      <c r="E770" s="3"/>
      <c r="F770" s="3"/>
      <c r="G770" s="3"/>
      <c r="H770" s="3"/>
      <c r="I770" s="3"/>
      <c r="J770" s="3"/>
      <c r="K770" s="4"/>
    </row>
    <row r="771" spans="1:11" ht="17.25" customHeight="1">
      <c r="A771" s="3"/>
      <c r="B771" s="3"/>
      <c r="C771" s="3"/>
      <c r="D771" s="3"/>
      <c r="E771" s="3"/>
      <c r="F771" s="3"/>
      <c r="G771" s="3"/>
      <c r="H771" s="3"/>
      <c r="I771" s="3"/>
      <c r="J771" s="3"/>
      <c r="K771" s="4"/>
    </row>
    <row r="772" spans="1:11" ht="17.25" customHeight="1">
      <c r="A772" s="3"/>
      <c r="B772" s="3"/>
      <c r="C772" s="3"/>
      <c r="D772" s="3"/>
      <c r="E772" s="3"/>
      <c r="F772" s="3"/>
      <c r="G772" s="3"/>
      <c r="H772" s="3"/>
      <c r="I772" s="3"/>
      <c r="J772" s="3"/>
      <c r="K772" s="4"/>
    </row>
    <row r="773" spans="1:11" ht="17.25" customHeight="1">
      <c r="A773" s="3"/>
      <c r="B773" s="3"/>
      <c r="C773" s="3"/>
      <c r="D773" s="3"/>
      <c r="E773" s="3"/>
      <c r="F773" s="3"/>
      <c r="G773" s="3"/>
      <c r="H773" s="3"/>
      <c r="I773" s="3"/>
      <c r="J773" s="3"/>
      <c r="K773" s="4"/>
    </row>
    <row r="774" spans="1:11" ht="17.25" customHeight="1">
      <c r="A774" s="3"/>
      <c r="B774" s="3"/>
      <c r="C774" s="3"/>
      <c r="D774" s="3"/>
      <c r="E774" s="3"/>
      <c r="F774" s="3"/>
      <c r="G774" s="3"/>
      <c r="H774" s="3"/>
      <c r="I774" s="3"/>
      <c r="J774" s="3"/>
      <c r="K774" s="4"/>
    </row>
    <row r="775" spans="1:11" ht="17.25" customHeight="1">
      <c r="A775" s="3"/>
      <c r="B775" s="3"/>
      <c r="C775" s="3"/>
      <c r="D775" s="3"/>
      <c r="E775" s="3"/>
      <c r="F775" s="3"/>
      <c r="G775" s="3"/>
      <c r="H775" s="3"/>
      <c r="I775" s="3"/>
      <c r="J775" s="3"/>
      <c r="K775" s="4"/>
    </row>
    <row r="776" spans="1:11" ht="17.25" customHeight="1">
      <c r="A776" s="3"/>
      <c r="B776" s="3"/>
      <c r="C776" s="3"/>
      <c r="D776" s="3"/>
      <c r="E776" s="3"/>
      <c r="F776" s="3"/>
      <c r="G776" s="3"/>
      <c r="H776" s="3"/>
      <c r="I776" s="3"/>
      <c r="J776" s="3"/>
      <c r="K776" s="4"/>
    </row>
    <row r="777" spans="1:11" ht="17.25" customHeight="1">
      <c r="A777" s="3"/>
      <c r="B777" s="3"/>
      <c r="C777" s="3"/>
      <c r="D777" s="3"/>
      <c r="E777" s="3"/>
      <c r="F777" s="3"/>
      <c r="G777" s="3"/>
      <c r="H777" s="3"/>
      <c r="I777" s="3"/>
      <c r="J777" s="3"/>
      <c r="K777" s="4"/>
    </row>
    <row r="778" spans="1:11" ht="17.25" customHeight="1">
      <c r="A778" s="3"/>
      <c r="B778" s="3"/>
      <c r="C778" s="3"/>
      <c r="D778" s="3"/>
      <c r="E778" s="3"/>
      <c r="F778" s="3"/>
      <c r="G778" s="3"/>
      <c r="H778" s="3"/>
      <c r="I778" s="3"/>
      <c r="J778" s="3"/>
      <c r="K778" s="4"/>
    </row>
    <row r="779" spans="1:11" ht="17.25" customHeight="1">
      <c r="A779" s="3"/>
      <c r="B779" s="3"/>
      <c r="C779" s="3"/>
      <c r="D779" s="3"/>
      <c r="E779" s="3"/>
      <c r="F779" s="3"/>
      <c r="G779" s="3"/>
      <c r="H779" s="3"/>
      <c r="I779" s="3"/>
      <c r="J779" s="3"/>
      <c r="K779" s="4"/>
    </row>
    <row r="780" spans="1:11" ht="17.25" customHeight="1">
      <c r="A780" s="3"/>
      <c r="B780" s="3"/>
      <c r="C780" s="3"/>
      <c r="D780" s="3"/>
      <c r="E780" s="3"/>
      <c r="F780" s="3"/>
      <c r="G780" s="3"/>
      <c r="H780" s="3"/>
      <c r="I780" s="3"/>
      <c r="J780" s="3"/>
      <c r="K780" s="4"/>
    </row>
    <row r="781" spans="1:11" ht="17.25" customHeight="1">
      <c r="A781" s="3"/>
      <c r="B781" s="3"/>
      <c r="C781" s="3"/>
      <c r="D781" s="3"/>
      <c r="E781" s="3"/>
      <c r="F781" s="3"/>
      <c r="G781" s="3"/>
      <c r="H781" s="3"/>
      <c r="I781" s="3"/>
      <c r="J781" s="3"/>
      <c r="K781" s="4"/>
    </row>
    <row r="782" spans="1:11" ht="17.25" customHeight="1">
      <c r="A782" s="3"/>
      <c r="B782" s="3"/>
      <c r="C782" s="3"/>
      <c r="D782" s="3"/>
      <c r="E782" s="3"/>
      <c r="F782" s="3"/>
      <c r="G782" s="3"/>
      <c r="H782" s="3"/>
      <c r="I782" s="3"/>
      <c r="J782" s="3"/>
      <c r="K782" s="4"/>
    </row>
    <row r="783" spans="1:11" ht="17.25" customHeight="1">
      <c r="A783" s="3"/>
      <c r="B783" s="3"/>
      <c r="C783" s="3"/>
      <c r="D783" s="3"/>
      <c r="E783" s="3"/>
      <c r="F783" s="3"/>
      <c r="G783" s="3"/>
      <c r="H783" s="3"/>
      <c r="I783" s="3"/>
      <c r="J783" s="3"/>
      <c r="K783" s="4"/>
    </row>
    <row r="784" spans="1:11" ht="17.25" customHeight="1">
      <c r="A784" s="3"/>
      <c r="B784" s="3"/>
      <c r="C784" s="3"/>
      <c r="D784" s="3"/>
      <c r="E784" s="3"/>
      <c r="F784" s="3"/>
      <c r="G784" s="3"/>
      <c r="H784" s="3"/>
      <c r="I784" s="3"/>
      <c r="J784" s="3"/>
      <c r="K784" s="4"/>
    </row>
    <row r="785" spans="1:11" ht="17.25" customHeight="1">
      <c r="A785" s="3"/>
      <c r="B785" s="3"/>
      <c r="C785" s="3"/>
      <c r="D785" s="3"/>
      <c r="E785" s="3"/>
      <c r="F785" s="3"/>
      <c r="G785" s="3"/>
      <c r="H785" s="3"/>
      <c r="I785" s="3"/>
      <c r="J785" s="3"/>
      <c r="K785" s="4"/>
    </row>
    <row r="786" spans="1:11" ht="17.25" customHeight="1">
      <c r="A786" s="3"/>
      <c r="B786" s="3"/>
      <c r="C786" s="3"/>
      <c r="D786" s="3"/>
      <c r="E786" s="3"/>
      <c r="F786" s="3"/>
      <c r="G786" s="3"/>
      <c r="H786" s="3"/>
      <c r="I786" s="3"/>
      <c r="J786" s="3"/>
      <c r="K786" s="4"/>
    </row>
    <row r="787" spans="1:11" ht="17.25" customHeight="1">
      <c r="A787" s="3"/>
      <c r="B787" s="3"/>
      <c r="C787" s="3"/>
      <c r="D787" s="3"/>
      <c r="E787" s="3"/>
      <c r="F787" s="3"/>
      <c r="G787" s="3"/>
      <c r="H787" s="3"/>
      <c r="I787" s="3"/>
      <c r="J787" s="3"/>
      <c r="K787" s="4"/>
    </row>
    <row r="788" spans="1:11" ht="17.25" customHeight="1">
      <c r="A788" s="3"/>
      <c r="B788" s="3"/>
      <c r="C788" s="3"/>
      <c r="D788" s="3"/>
      <c r="E788" s="3"/>
      <c r="F788" s="3"/>
      <c r="G788" s="3"/>
      <c r="H788" s="3"/>
      <c r="I788" s="3"/>
      <c r="J788" s="3"/>
      <c r="K788" s="4"/>
    </row>
    <row r="789" spans="1:11" ht="17.25" customHeight="1">
      <c r="A789" s="3"/>
      <c r="B789" s="3"/>
      <c r="C789" s="3"/>
      <c r="D789" s="3"/>
      <c r="E789" s="3"/>
      <c r="F789" s="3"/>
      <c r="G789" s="3"/>
      <c r="H789" s="3"/>
      <c r="I789" s="3"/>
      <c r="J789" s="3"/>
      <c r="K789" s="4"/>
    </row>
    <row r="790" spans="1:11" ht="17.25" customHeight="1">
      <c r="A790" s="3"/>
      <c r="B790" s="3"/>
      <c r="C790" s="3"/>
      <c r="D790" s="3"/>
      <c r="E790" s="3"/>
      <c r="F790" s="3"/>
      <c r="G790" s="3"/>
      <c r="H790" s="3"/>
      <c r="I790" s="3"/>
      <c r="J790" s="3"/>
      <c r="K790" s="4"/>
    </row>
    <row r="791" spans="1:11" ht="17.25" customHeight="1">
      <c r="A791" s="3"/>
      <c r="B791" s="3"/>
      <c r="C791" s="3"/>
      <c r="D791" s="3"/>
      <c r="E791" s="3"/>
      <c r="F791" s="3"/>
      <c r="G791" s="3"/>
      <c r="H791" s="3"/>
      <c r="I791" s="3"/>
      <c r="J791" s="3"/>
      <c r="K791" s="4"/>
    </row>
    <row r="792" spans="1:11" ht="17.25" customHeight="1">
      <c r="A792" s="3"/>
      <c r="B792" s="3"/>
      <c r="C792" s="3"/>
      <c r="D792" s="3"/>
      <c r="E792" s="3"/>
      <c r="F792" s="3"/>
      <c r="G792" s="3"/>
      <c r="H792" s="3"/>
      <c r="I792" s="3"/>
      <c r="J792" s="3"/>
      <c r="K792" s="4"/>
    </row>
    <row r="793" spans="1:11" ht="17.25" customHeight="1">
      <c r="A793" s="3"/>
      <c r="B793" s="3"/>
      <c r="C793" s="3"/>
      <c r="D793" s="3"/>
      <c r="E793" s="3"/>
      <c r="F793" s="3"/>
      <c r="G793" s="3"/>
      <c r="H793" s="3"/>
      <c r="I793" s="3"/>
      <c r="J793" s="3"/>
      <c r="K793" s="4"/>
    </row>
    <row r="794" spans="1:11" ht="17.25" customHeight="1">
      <c r="A794" s="3"/>
      <c r="B794" s="3"/>
      <c r="C794" s="3"/>
      <c r="D794" s="3"/>
      <c r="E794" s="3"/>
      <c r="F794" s="3"/>
      <c r="G794" s="3"/>
      <c r="H794" s="3"/>
      <c r="I794" s="3"/>
      <c r="J794" s="3"/>
      <c r="K794" s="4"/>
    </row>
    <row r="795" spans="1:11" ht="17.25" customHeight="1">
      <c r="A795" s="3"/>
      <c r="B795" s="3"/>
      <c r="C795" s="3"/>
      <c r="D795" s="3"/>
      <c r="E795" s="3"/>
      <c r="F795" s="3"/>
      <c r="G795" s="3"/>
      <c r="H795" s="3"/>
      <c r="I795" s="3"/>
      <c r="J795" s="3"/>
      <c r="K795" s="4"/>
    </row>
    <row r="796" spans="1:11" ht="17.25" customHeight="1">
      <c r="A796" s="3"/>
      <c r="B796" s="3"/>
      <c r="C796" s="3"/>
      <c r="D796" s="3"/>
      <c r="E796" s="3"/>
      <c r="F796" s="3"/>
      <c r="G796" s="3"/>
      <c r="H796" s="3"/>
      <c r="I796" s="3"/>
      <c r="J796" s="3"/>
      <c r="K796" s="4"/>
    </row>
    <row r="797" spans="1:11" ht="17.25" customHeight="1">
      <c r="A797" s="3"/>
      <c r="B797" s="3"/>
      <c r="C797" s="3"/>
      <c r="D797" s="3"/>
      <c r="E797" s="3"/>
      <c r="F797" s="3"/>
      <c r="G797" s="3"/>
      <c r="H797" s="3"/>
      <c r="I797" s="3"/>
      <c r="J797" s="3"/>
      <c r="K797" s="4"/>
    </row>
    <row r="798" spans="1:11" ht="17.25" customHeight="1">
      <c r="A798" s="3"/>
      <c r="B798" s="3"/>
      <c r="C798" s="3"/>
      <c r="D798" s="3"/>
      <c r="E798" s="3"/>
      <c r="F798" s="3"/>
      <c r="G798" s="3"/>
      <c r="H798" s="3"/>
      <c r="I798" s="3"/>
      <c r="J798" s="3"/>
      <c r="K798" s="4"/>
    </row>
    <row r="799" spans="1:11" ht="17.25" customHeight="1">
      <c r="A799" s="3"/>
      <c r="B799" s="3"/>
      <c r="C799" s="3"/>
      <c r="D799" s="3"/>
      <c r="E799" s="3"/>
      <c r="F799" s="3"/>
      <c r="G799" s="3"/>
      <c r="H799" s="3"/>
      <c r="I799" s="3"/>
      <c r="J799" s="3"/>
      <c r="K799" s="4"/>
    </row>
    <row r="800" spans="1:11" ht="17.25" customHeight="1">
      <c r="A800" s="3"/>
      <c r="B800" s="3"/>
      <c r="C800" s="3"/>
      <c r="D800" s="3"/>
      <c r="E800" s="3"/>
      <c r="F800" s="3"/>
      <c r="G800" s="3"/>
      <c r="H800" s="3"/>
      <c r="I800" s="3"/>
      <c r="J800" s="3"/>
      <c r="K800" s="4"/>
    </row>
    <row r="801" spans="1:11" ht="17.25" customHeight="1">
      <c r="A801" s="3"/>
      <c r="B801" s="3"/>
      <c r="C801" s="3"/>
      <c r="D801" s="3"/>
      <c r="E801" s="3"/>
      <c r="F801" s="3"/>
      <c r="G801" s="3"/>
      <c r="H801" s="3"/>
      <c r="I801" s="3"/>
      <c r="J801" s="3"/>
      <c r="K801" s="4"/>
    </row>
    <row r="802" spans="1:11" ht="17.25" customHeight="1">
      <c r="A802" s="3"/>
      <c r="B802" s="3"/>
      <c r="C802" s="3"/>
      <c r="D802" s="3"/>
      <c r="E802" s="3"/>
      <c r="F802" s="3"/>
      <c r="G802" s="3"/>
      <c r="H802" s="3"/>
      <c r="I802" s="3"/>
      <c r="J802" s="3"/>
      <c r="K802" s="4"/>
    </row>
    <row r="803" spans="1:11" ht="17.25" customHeight="1">
      <c r="A803" s="3"/>
      <c r="B803" s="3"/>
      <c r="C803" s="3"/>
      <c r="D803" s="3"/>
      <c r="E803" s="3"/>
      <c r="F803" s="3"/>
      <c r="G803" s="3"/>
      <c r="H803" s="3"/>
      <c r="I803" s="3"/>
      <c r="J803" s="3"/>
      <c r="K803" s="4"/>
    </row>
    <row r="804" spans="1:11" ht="17.25" customHeight="1">
      <c r="A804" s="3"/>
      <c r="B804" s="3"/>
      <c r="C804" s="3"/>
      <c r="D804" s="3"/>
      <c r="E804" s="3"/>
      <c r="F804" s="3"/>
      <c r="G804" s="3"/>
      <c r="H804" s="3"/>
      <c r="I804" s="3"/>
      <c r="J804" s="3"/>
      <c r="K804" s="4"/>
    </row>
    <row r="805" spans="1:11" ht="17.25" customHeight="1">
      <c r="A805" s="3"/>
      <c r="B805" s="3"/>
      <c r="C805" s="3"/>
      <c r="D805" s="3"/>
      <c r="E805" s="3"/>
      <c r="F805" s="3"/>
      <c r="G805" s="3"/>
      <c r="H805" s="3"/>
      <c r="I805" s="3"/>
      <c r="J805" s="3"/>
      <c r="K805" s="4"/>
    </row>
    <row r="806" spans="1:11" ht="17.25" customHeight="1">
      <c r="A806" s="3"/>
      <c r="B806" s="3"/>
      <c r="C806" s="3"/>
      <c r="D806" s="3"/>
      <c r="E806" s="3"/>
      <c r="F806" s="3"/>
      <c r="G806" s="3"/>
      <c r="H806" s="3"/>
      <c r="I806" s="3"/>
      <c r="J806" s="3"/>
      <c r="K806" s="4"/>
    </row>
    <row r="807" spans="1:11" ht="17.25" customHeight="1">
      <c r="A807" s="3"/>
      <c r="B807" s="3"/>
      <c r="C807" s="3"/>
      <c r="D807" s="3"/>
      <c r="E807" s="3"/>
      <c r="F807" s="3"/>
      <c r="G807" s="3"/>
      <c r="H807" s="3"/>
      <c r="I807" s="3"/>
      <c r="J807" s="3"/>
      <c r="K807" s="4"/>
    </row>
    <row r="808" spans="1:11" ht="17.25" customHeight="1">
      <c r="A808" s="3"/>
      <c r="B808" s="3"/>
      <c r="C808" s="3"/>
      <c r="D808" s="3"/>
      <c r="E808" s="3"/>
      <c r="F808" s="3"/>
      <c r="G808" s="3"/>
      <c r="H808" s="3"/>
      <c r="I808" s="3"/>
      <c r="J808" s="3"/>
      <c r="K808" s="4"/>
    </row>
    <row r="809" spans="1:11" ht="17.25" customHeight="1">
      <c r="A809" s="3"/>
      <c r="B809" s="3"/>
      <c r="C809" s="3"/>
      <c r="D809" s="3"/>
      <c r="E809" s="3"/>
      <c r="F809" s="3"/>
      <c r="G809" s="3"/>
      <c r="H809" s="3"/>
      <c r="I809" s="3"/>
      <c r="J809" s="3"/>
      <c r="K809" s="4"/>
    </row>
    <row r="810" spans="1:11" ht="17.25" customHeight="1">
      <c r="A810" s="3"/>
      <c r="B810" s="3"/>
      <c r="C810" s="3"/>
      <c r="D810" s="3"/>
      <c r="E810" s="3"/>
      <c r="F810" s="3"/>
      <c r="G810" s="3"/>
      <c r="H810" s="3"/>
      <c r="I810" s="3"/>
      <c r="J810" s="3"/>
      <c r="K810" s="4"/>
    </row>
    <row r="811" spans="1:11" ht="17.25" customHeight="1">
      <c r="A811" s="3"/>
      <c r="B811" s="3"/>
      <c r="C811" s="3"/>
      <c r="D811" s="3"/>
      <c r="E811" s="3"/>
      <c r="F811" s="3"/>
      <c r="G811" s="3"/>
      <c r="H811" s="3"/>
      <c r="I811" s="3"/>
      <c r="J811" s="3"/>
      <c r="K811" s="4"/>
    </row>
    <row r="812" spans="1:11" ht="17.25" customHeight="1">
      <c r="A812" s="3"/>
      <c r="B812" s="3"/>
      <c r="C812" s="3"/>
      <c r="D812" s="3"/>
      <c r="E812" s="3"/>
      <c r="F812" s="3"/>
      <c r="G812" s="3"/>
      <c r="H812" s="3"/>
      <c r="I812" s="3"/>
      <c r="J812" s="3"/>
      <c r="K812" s="4"/>
    </row>
    <row r="813" spans="1:11" ht="17.25" customHeight="1">
      <c r="A813" s="3"/>
      <c r="B813" s="3"/>
      <c r="C813" s="3"/>
      <c r="D813" s="3"/>
      <c r="E813" s="3"/>
      <c r="F813" s="3"/>
      <c r="G813" s="3"/>
      <c r="H813" s="3"/>
      <c r="I813" s="3"/>
      <c r="J813" s="3"/>
      <c r="K813" s="4"/>
    </row>
    <row r="814" spans="1:11" ht="17.25" customHeight="1">
      <c r="A814" s="3"/>
      <c r="B814" s="3"/>
      <c r="C814" s="3"/>
      <c r="D814" s="3"/>
      <c r="E814" s="3"/>
      <c r="F814" s="3"/>
      <c r="G814" s="3"/>
      <c r="H814" s="3"/>
      <c r="I814" s="3"/>
      <c r="J814" s="3"/>
      <c r="K814" s="4"/>
    </row>
    <row r="815" spans="1:11" ht="17.25" customHeight="1">
      <c r="A815" s="3"/>
      <c r="B815" s="3"/>
      <c r="C815" s="3"/>
      <c r="D815" s="3"/>
      <c r="E815" s="3"/>
      <c r="F815" s="3"/>
      <c r="G815" s="3"/>
      <c r="H815" s="3"/>
      <c r="I815" s="3"/>
      <c r="J815" s="3"/>
      <c r="K815" s="4"/>
    </row>
    <row r="816" spans="1:11" ht="17.25" customHeight="1">
      <c r="A816" s="3"/>
      <c r="B816" s="3"/>
      <c r="C816" s="3"/>
      <c r="D816" s="3"/>
      <c r="E816" s="3"/>
      <c r="F816" s="3"/>
      <c r="G816" s="3"/>
      <c r="H816" s="3"/>
      <c r="I816" s="3"/>
      <c r="J816" s="3"/>
      <c r="K816" s="4"/>
    </row>
    <row r="817" spans="1:11" ht="17.25" customHeight="1">
      <c r="A817" s="3"/>
      <c r="B817" s="3"/>
      <c r="C817" s="3"/>
      <c r="D817" s="3"/>
      <c r="E817" s="3"/>
      <c r="F817" s="3"/>
      <c r="G817" s="3"/>
      <c r="H817" s="3"/>
      <c r="I817" s="3"/>
      <c r="J817" s="3"/>
      <c r="K817" s="4"/>
    </row>
    <row r="818" spans="1:11" ht="17.25" customHeight="1">
      <c r="A818" s="3"/>
      <c r="B818" s="3"/>
      <c r="C818" s="3"/>
      <c r="D818" s="3"/>
      <c r="E818" s="3"/>
      <c r="F818" s="3"/>
      <c r="G818" s="3"/>
      <c r="H818" s="3"/>
      <c r="I818" s="3"/>
      <c r="J818" s="3"/>
      <c r="K818" s="4"/>
    </row>
    <row r="819" spans="1:11" ht="17.25" customHeight="1">
      <c r="A819" s="3"/>
      <c r="B819" s="3"/>
      <c r="C819" s="3"/>
      <c r="D819" s="3"/>
      <c r="E819" s="3"/>
      <c r="F819" s="3"/>
      <c r="G819" s="3"/>
      <c r="H819" s="3"/>
      <c r="I819" s="3"/>
      <c r="J819" s="3"/>
      <c r="K819" s="4"/>
    </row>
    <row r="820" spans="1:11" ht="17.25" customHeight="1">
      <c r="A820" s="3"/>
      <c r="B820" s="3"/>
      <c r="C820" s="3"/>
      <c r="D820" s="3"/>
      <c r="E820" s="3"/>
      <c r="F820" s="3"/>
      <c r="G820" s="3"/>
      <c r="H820" s="3"/>
      <c r="I820" s="3"/>
      <c r="J820" s="3"/>
      <c r="K820" s="4"/>
    </row>
    <row r="821" spans="1:11" ht="17.25" customHeight="1">
      <c r="A821" s="3"/>
      <c r="B821" s="3"/>
      <c r="C821" s="3"/>
      <c r="D821" s="3"/>
      <c r="E821" s="3"/>
      <c r="F821" s="3"/>
      <c r="G821" s="3"/>
      <c r="H821" s="3"/>
      <c r="I821" s="3"/>
      <c r="J821" s="3"/>
      <c r="K821" s="4"/>
    </row>
    <row r="822" spans="1:11" ht="17.25" customHeight="1">
      <c r="A822" s="3"/>
      <c r="B822" s="3"/>
      <c r="C822" s="3"/>
      <c r="D822" s="3"/>
      <c r="E822" s="3"/>
      <c r="F822" s="3"/>
      <c r="G822" s="3"/>
      <c r="H822" s="3"/>
      <c r="I822" s="3"/>
      <c r="J822" s="3"/>
      <c r="K822" s="4"/>
    </row>
    <row r="823" spans="1:11" ht="17.25" customHeight="1">
      <c r="A823" s="3"/>
      <c r="B823" s="3"/>
      <c r="C823" s="3"/>
      <c r="D823" s="3"/>
      <c r="E823" s="3"/>
      <c r="F823" s="3"/>
      <c r="G823" s="3"/>
      <c r="H823" s="3"/>
      <c r="I823" s="3"/>
      <c r="J823" s="3"/>
      <c r="K823" s="4"/>
    </row>
    <row r="824" spans="1:11" ht="17.25" customHeight="1">
      <c r="A824" s="3"/>
      <c r="B824" s="3"/>
      <c r="C824" s="3"/>
      <c r="D824" s="3"/>
      <c r="E824" s="3"/>
      <c r="F824" s="3"/>
      <c r="G824" s="3"/>
      <c r="H824" s="3"/>
      <c r="I824" s="3"/>
      <c r="J824" s="3"/>
      <c r="K824" s="4"/>
    </row>
    <row r="825" spans="1:11" ht="17.25" customHeight="1">
      <c r="A825" s="3"/>
      <c r="B825" s="3"/>
      <c r="C825" s="3"/>
      <c r="D825" s="3"/>
      <c r="E825" s="3"/>
      <c r="F825" s="3"/>
      <c r="G825" s="3"/>
      <c r="H825" s="3"/>
      <c r="I825" s="3"/>
      <c r="J825" s="3"/>
      <c r="K825" s="4"/>
    </row>
    <row r="826" spans="1:11" ht="17.25" customHeight="1">
      <c r="A826" s="3"/>
      <c r="B826" s="3"/>
      <c r="C826" s="3"/>
      <c r="D826" s="3"/>
      <c r="E826" s="3"/>
      <c r="F826" s="3"/>
      <c r="G826" s="3"/>
      <c r="H826" s="3"/>
      <c r="I826" s="3"/>
      <c r="J826" s="3"/>
      <c r="K826" s="4"/>
    </row>
    <row r="827" spans="1:11" ht="17.25" customHeight="1">
      <c r="A827" s="3"/>
      <c r="B827" s="3"/>
      <c r="C827" s="3"/>
      <c r="D827" s="3"/>
      <c r="E827" s="3"/>
      <c r="F827" s="3"/>
      <c r="G827" s="3"/>
      <c r="H827" s="3"/>
      <c r="I827" s="3"/>
      <c r="J827" s="3"/>
      <c r="K827" s="4"/>
    </row>
    <row r="828" spans="1:11" ht="17.25" customHeight="1">
      <c r="A828" s="3"/>
      <c r="B828" s="3"/>
      <c r="C828" s="3"/>
      <c r="D828" s="3"/>
      <c r="E828" s="3"/>
      <c r="F828" s="3"/>
      <c r="G828" s="3"/>
      <c r="H828" s="3"/>
      <c r="I828" s="3"/>
      <c r="J828" s="3"/>
      <c r="K828" s="4"/>
    </row>
    <row r="829" spans="1:11" ht="17.25" customHeight="1">
      <c r="A829" s="3"/>
      <c r="B829" s="3"/>
      <c r="C829" s="3"/>
      <c r="D829" s="3"/>
      <c r="E829" s="3"/>
      <c r="F829" s="3"/>
      <c r="G829" s="3"/>
      <c r="H829" s="3"/>
      <c r="I829" s="3"/>
      <c r="J829" s="3"/>
      <c r="K829" s="4"/>
    </row>
    <row r="830" spans="1:11" ht="17.25" customHeight="1">
      <c r="A830" s="3"/>
      <c r="B830" s="3"/>
      <c r="C830" s="3"/>
      <c r="D830" s="3"/>
      <c r="E830" s="3"/>
      <c r="F830" s="3"/>
      <c r="G830" s="3"/>
      <c r="H830" s="3"/>
      <c r="I830" s="3"/>
      <c r="J830" s="3"/>
      <c r="K830" s="4"/>
    </row>
    <row r="831" spans="1:11" ht="17.25" customHeight="1">
      <c r="A831" s="3"/>
      <c r="B831" s="3"/>
      <c r="C831" s="3"/>
      <c r="D831" s="3"/>
      <c r="E831" s="3"/>
      <c r="F831" s="3"/>
      <c r="G831" s="3"/>
      <c r="H831" s="3"/>
      <c r="I831" s="3"/>
      <c r="J831" s="3"/>
      <c r="K831" s="4"/>
    </row>
    <row r="832" spans="1:11" ht="17.25" customHeight="1">
      <c r="A832" s="3"/>
      <c r="B832" s="3"/>
      <c r="C832" s="3"/>
      <c r="D832" s="3"/>
      <c r="E832" s="3"/>
      <c r="F832" s="3"/>
      <c r="G832" s="3"/>
      <c r="H832" s="3"/>
      <c r="I832" s="3"/>
      <c r="J832" s="3"/>
      <c r="K832" s="4"/>
    </row>
    <row r="833" spans="1:11" ht="17.25" customHeight="1">
      <c r="A833" s="3"/>
      <c r="B833" s="3"/>
      <c r="C833" s="3"/>
      <c r="D833" s="3"/>
      <c r="E833" s="3"/>
      <c r="F833" s="3"/>
      <c r="G833" s="3"/>
      <c r="H833" s="3"/>
      <c r="I833" s="3"/>
      <c r="J833" s="3"/>
      <c r="K833" s="4"/>
    </row>
    <row r="834" spans="1:11" ht="17.25" customHeight="1">
      <c r="A834" s="3"/>
      <c r="B834" s="3"/>
      <c r="C834" s="3"/>
      <c r="D834" s="3"/>
      <c r="E834" s="3"/>
      <c r="F834" s="3"/>
      <c r="G834" s="3"/>
      <c r="H834" s="3"/>
      <c r="I834" s="3"/>
      <c r="J834" s="3"/>
      <c r="K834" s="4"/>
    </row>
    <row r="835" spans="1:11" ht="17.25" customHeight="1">
      <c r="A835" s="3"/>
      <c r="B835" s="3"/>
      <c r="C835" s="3"/>
      <c r="D835" s="3"/>
      <c r="E835" s="3"/>
      <c r="F835" s="3"/>
      <c r="G835" s="3"/>
      <c r="H835" s="3"/>
      <c r="I835" s="3"/>
      <c r="J835" s="3"/>
      <c r="K835" s="4"/>
    </row>
    <row r="836" spans="1:11" ht="17.25" customHeight="1">
      <c r="A836" s="3"/>
      <c r="B836" s="3"/>
      <c r="C836" s="3"/>
      <c r="D836" s="3"/>
      <c r="E836" s="3"/>
      <c r="F836" s="3"/>
      <c r="G836" s="3"/>
      <c r="H836" s="3"/>
      <c r="I836" s="3"/>
      <c r="J836" s="3"/>
      <c r="K836" s="4"/>
    </row>
    <row r="837" spans="1:11" ht="17.25" customHeight="1">
      <c r="A837" s="3"/>
      <c r="B837" s="3"/>
      <c r="C837" s="3"/>
      <c r="D837" s="3"/>
      <c r="E837" s="3"/>
      <c r="F837" s="3"/>
      <c r="G837" s="3"/>
      <c r="H837" s="3"/>
      <c r="I837" s="3"/>
      <c r="J837" s="3"/>
      <c r="K837" s="4"/>
    </row>
    <row r="838" spans="1:11" ht="17.25" customHeight="1">
      <c r="A838" s="3"/>
      <c r="B838" s="3"/>
      <c r="C838" s="3"/>
      <c r="D838" s="3"/>
      <c r="E838" s="3"/>
      <c r="F838" s="3"/>
      <c r="G838" s="3"/>
      <c r="H838" s="3"/>
      <c r="I838" s="3"/>
      <c r="J838" s="3"/>
      <c r="K838" s="4"/>
    </row>
    <row r="839" spans="1:11" ht="17.25" customHeight="1">
      <c r="A839" s="3"/>
      <c r="B839" s="3"/>
      <c r="C839" s="3"/>
      <c r="D839" s="3"/>
      <c r="E839" s="3"/>
      <c r="F839" s="3"/>
      <c r="G839" s="3"/>
      <c r="H839" s="3"/>
      <c r="I839" s="3"/>
      <c r="J839" s="3"/>
      <c r="K839" s="4"/>
    </row>
    <row r="840" spans="1:11" ht="17.25" customHeight="1">
      <c r="A840" s="3"/>
      <c r="B840" s="3"/>
      <c r="C840" s="3"/>
      <c r="D840" s="3"/>
      <c r="E840" s="3"/>
      <c r="F840" s="3"/>
      <c r="G840" s="3"/>
      <c r="H840" s="3"/>
      <c r="I840" s="3"/>
      <c r="J840" s="3"/>
      <c r="K840" s="4"/>
    </row>
    <row r="841" spans="1:11" ht="17.25" customHeight="1">
      <c r="A841" s="3"/>
      <c r="B841" s="3"/>
      <c r="C841" s="3"/>
      <c r="D841" s="3"/>
      <c r="E841" s="3"/>
      <c r="F841" s="3"/>
      <c r="G841" s="3"/>
      <c r="H841" s="3"/>
      <c r="I841" s="3"/>
      <c r="J841" s="3"/>
      <c r="K841" s="4"/>
    </row>
    <row r="842" spans="1:11" ht="17.25" customHeight="1">
      <c r="A842" s="3"/>
      <c r="B842" s="3"/>
      <c r="C842" s="3"/>
      <c r="D842" s="3"/>
      <c r="E842" s="3"/>
      <c r="F842" s="3"/>
      <c r="G842" s="3"/>
      <c r="H842" s="3"/>
      <c r="I842" s="3"/>
      <c r="J842" s="3"/>
      <c r="K842" s="4"/>
    </row>
    <row r="843" spans="1:11" ht="17.25" customHeight="1">
      <c r="A843" s="3"/>
      <c r="B843" s="3"/>
      <c r="C843" s="3"/>
      <c r="D843" s="3"/>
      <c r="E843" s="3"/>
      <c r="F843" s="3"/>
      <c r="G843" s="3"/>
      <c r="H843" s="3"/>
      <c r="I843" s="3"/>
      <c r="J843" s="3"/>
      <c r="K843" s="4"/>
    </row>
    <row r="844" spans="1:11" ht="17.25" customHeight="1">
      <c r="A844" s="3"/>
      <c r="B844" s="3"/>
      <c r="C844" s="3"/>
      <c r="D844" s="3"/>
      <c r="E844" s="3"/>
      <c r="F844" s="3"/>
      <c r="G844" s="3"/>
      <c r="H844" s="3"/>
      <c r="I844" s="3"/>
      <c r="J844" s="3"/>
      <c r="K844" s="4"/>
    </row>
    <row r="845" spans="1:11" ht="17.25" customHeight="1">
      <c r="A845" s="3"/>
      <c r="B845" s="3"/>
      <c r="C845" s="3"/>
      <c r="D845" s="3"/>
      <c r="E845" s="3"/>
      <c r="F845" s="3"/>
      <c r="G845" s="3"/>
      <c r="H845" s="3"/>
      <c r="I845" s="3"/>
      <c r="J845" s="3"/>
      <c r="K845" s="4"/>
    </row>
    <row r="846" spans="1:11" ht="17.25" customHeight="1">
      <c r="A846" s="3"/>
      <c r="B846" s="3"/>
      <c r="C846" s="3"/>
      <c r="D846" s="3"/>
      <c r="E846" s="3"/>
      <c r="F846" s="3"/>
      <c r="G846" s="3"/>
      <c r="H846" s="3"/>
      <c r="I846" s="3"/>
      <c r="J846" s="3"/>
      <c r="K846" s="4"/>
    </row>
    <row r="847" spans="1:11" ht="17.25" customHeight="1">
      <c r="A847" s="3"/>
      <c r="B847" s="3"/>
      <c r="C847" s="3"/>
      <c r="D847" s="3"/>
      <c r="E847" s="3"/>
      <c r="F847" s="3"/>
      <c r="G847" s="3"/>
      <c r="H847" s="3"/>
      <c r="I847" s="3"/>
      <c r="J847" s="3"/>
      <c r="K847" s="4"/>
    </row>
    <row r="848" spans="1:11" ht="17.25" customHeight="1">
      <c r="A848" s="3"/>
      <c r="B848" s="3"/>
      <c r="C848" s="3"/>
      <c r="D848" s="3"/>
      <c r="E848" s="3"/>
      <c r="F848" s="3"/>
      <c r="G848" s="3"/>
      <c r="H848" s="3"/>
      <c r="I848" s="3"/>
      <c r="J848" s="3"/>
      <c r="K848" s="4"/>
    </row>
    <row r="849" spans="1:11" ht="17.25" customHeight="1">
      <c r="A849" s="3"/>
      <c r="B849" s="3"/>
      <c r="C849" s="3"/>
      <c r="D849" s="3"/>
      <c r="E849" s="3"/>
      <c r="F849" s="3"/>
      <c r="G849" s="3"/>
      <c r="H849" s="3"/>
      <c r="I849" s="3"/>
      <c r="J849" s="3"/>
      <c r="K849" s="4"/>
    </row>
    <row r="850" spans="1:11" ht="17.25" customHeight="1">
      <c r="A850" s="3"/>
      <c r="B850" s="3"/>
      <c r="C850" s="3"/>
      <c r="D850" s="3"/>
      <c r="E850" s="3"/>
      <c r="F850" s="3"/>
      <c r="G850" s="3"/>
      <c r="H850" s="3"/>
      <c r="I850" s="3"/>
      <c r="J850" s="3"/>
      <c r="K850" s="4"/>
    </row>
    <row r="851" spans="1:11" ht="17.25" customHeight="1">
      <c r="A851" s="3"/>
      <c r="B851" s="3"/>
      <c r="C851" s="3"/>
      <c r="D851" s="3"/>
      <c r="E851" s="3"/>
      <c r="F851" s="3"/>
      <c r="G851" s="3"/>
      <c r="H851" s="3"/>
      <c r="I851" s="3"/>
      <c r="J851" s="3"/>
      <c r="K851" s="4"/>
    </row>
    <row r="852" spans="1:11" ht="17.25" customHeight="1">
      <c r="A852" s="3"/>
      <c r="B852" s="3"/>
      <c r="C852" s="3"/>
      <c r="D852" s="3"/>
      <c r="E852" s="3"/>
      <c r="F852" s="3"/>
      <c r="G852" s="3"/>
      <c r="H852" s="3"/>
      <c r="I852" s="3"/>
      <c r="J852" s="3"/>
      <c r="K852" s="4"/>
    </row>
    <row r="853" spans="1:11" ht="17.25" customHeight="1">
      <c r="A853" s="3"/>
      <c r="B853" s="3"/>
      <c r="C853" s="3"/>
      <c r="D853" s="3"/>
      <c r="E853" s="3"/>
      <c r="F853" s="3"/>
      <c r="G853" s="3"/>
      <c r="H853" s="3"/>
      <c r="I853" s="3"/>
      <c r="J853" s="3"/>
      <c r="K853" s="4"/>
    </row>
    <row r="854" spans="1:11" ht="17.25" customHeight="1">
      <c r="A854" s="3"/>
      <c r="B854" s="3"/>
      <c r="C854" s="3"/>
      <c r="D854" s="3"/>
      <c r="E854" s="3"/>
      <c r="F854" s="3"/>
      <c r="G854" s="3"/>
      <c r="H854" s="3"/>
      <c r="I854" s="3"/>
      <c r="J854" s="3"/>
      <c r="K854" s="4"/>
    </row>
    <row r="855" spans="1:11" ht="17.25" customHeight="1">
      <c r="A855" s="3"/>
      <c r="B855" s="3"/>
      <c r="C855" s="3"/>
      <c r="D855" s="3"/>
      <c r="E855" s="3"/>
      <c r="F855" s="3"/>
      <c r="G855" s="3"/>
      <c r="H855" s="3"/>
      <c r="I855" s="3"/>
      <c r="J855" s="3"/>
      <c r="K855" s="4"/>
    </row>
    <row r="856" spans="1:11" ht="17.25" customHeight="1">
      <c r="A856" s="3"/>
      <c r="B856" s="3"/>
      <c r="C856" s="3"/>
      <c r="D856" s="3"/>
      <c r="E856" s="3"/>
      <c r="F856" s="3"/>
      <c r="G856" s="3"/>
      <c r="H856" s="3"/>
      <c r="I856" s="3"/>
      <c r="J856" s="3"/>
      <c r="K856" s="4"/>
    </row>
    <row r="857" spans="1:11" ht="17.25" customHeight="1">
      <c r="A857" s="3"/>
      <c r="B857" s="3"/>
      <c r="C857" s="3"/>
      <c r="D857" s="3"/>
      <c r="E857" s="3"/>
      <c r="F857" s="3"/>
      <c r="G857" s="3"/>
      <c r="H857" s="3"/>
      <c r="I857" s="3"/>
      <c r="J857" s="3"/>
      <c r="K857" s="4"/>
    </row>
    <row r="858" spans="1:11" ht="17.25" customHeight="1">
      <c r="A858" s="3"/>
      <c r="B858" s="3"/>
      <c r="C858" s="3"/>
      <c r="D858" s="3"/>
      <c r="E858" s="3"/>
      <c r="F858" s="3"/>
      <c r="G858" s="3"/>
      <c r="H858" s="3"/>
      <c r="I858" s="3"/>
      <c r="J858" s="3"/>
      <c r="K858" s="4"/>
    </row>
    <row r="859" spans="1:11" ht="17.25" customHeight="1">
      <c r="A859" s="3"/>
      <c r="B859" s="3"/>
      <c r="C859" s="3"/>
      <c r="D859" s="3"/>
      <c r="E859" s="3"/>
      <c r="F859" s="3"/>
      <c r="G859" s="3"/>
      <c r="H859" s="3"/>
      <c r="I859" s="3"/>
      <c r="J859" s="3"/>
      <c r="K859" s="4"/>
    </row>
    <row r="860" spans="1:11" ht="17.25" customHeight="1">
      <c r="A860" s="3"/>
      <c r="B860" s="3"/>
      <c r="C860" s="3"/>
      <c r="D860" s="3"/>
      <c r="E860" s="3"/>
      <c r="F860" s="3"/>
      <c r="G860" s="3"/>
      <c r="H860" s="3"/>
      <c r="I860" s="3"/>
      <c r="J860" s="3"/>
      <c r="K860" s="4"/>
    </row>
    <row r="861" spans="1:11" ht="17.25" customHeight="1">
      <c r="A861" s="3"/>
      <c r="B861" s="3"/>
      <c r="C861" s="3"/>
      <c r="D861" s="3"/>
      <c r="E861" s="3"/>
      <c r="F861" s="3"/>
      <c r="G861" s="3"/>
      <c r="H861" s="3"/>
      <c r="I861" s="3"/>
      <c r="J861" s="3"/>
      <c r="K861" s="4"/>
    </row>
    <row r="862" spans="1:11" ht="17.25" customHeight="1">
      <c r="A862" s="3"/>
      <c r="B862" s="3"/>
      <c r="C862" s="3"/>
      <c r="D862" s="3"/>
      <c r="E862" s="3"/>
      <c r="F862" s="3"/>
      <c r="G862" s="3"/>
      <c r="H862" s="3"/>
      <c r="I862" s="3"/>
      <c r="J862" s="3"/>
      <c r="K862" s="4"/>
    </row>
    <row r="863" spans="1:11" ht="17.25" customHeight="1">
      <c r="A863" s="3"/>
      <c r="B863" s="3"/>
      <c r="C863" s="3"/>
      <c r="D863" s="3"/>
      <c r="E863" s="3"/>
      <c r="F863" s="3"/>
      <c r="G863" s="3"/>
      <c r="H863" s="3"/>
      <c r="I863" s="3"/>
      <c r="J863" s="3"/>
      <c r="K863" s="4"/>
    </row>
    <row r="864" spans="1:11" ht="17.25" customHeight="1">
      <c r="A864" s="3"/>
      <c r="B864" s="3"/>
      <c r="C864" s="3"/>
      <c r="D864" s="3"/>
      <c r="E864" s="3"/>
      <c r="F864" s="3"/>
      <c r="G864" s="3"/>
      <c r="H864" s="3"/>
      <c r="I864" s="3"/>
      <c r="J864" s="3"/>
      <c r="K864" s="4"/>
    </row>
    <row r="865" spans="1:11" ht="17.25" customHeight="1">
      <c r="A865" s="3"/>
      <c r="B865" s="3"/>
      <c r="C865" s="3"/>
      <c r="D865" s="3"/>
      <c r="E865" s="3"/>
      <c r="F865" s="3"/>
      <c r="G865" s="3"/>
      <c r="H865" s="3"/>
      <c r="I865" s="3"/>
      <c r="J865" s="3"/>
      <c r="K865" s="4"/>
    </row>
    <row r="866" spans="1:11" ht="17.25" customHeight="1">
      <c r="A866" s="3"/>
      <c r="B866" s="3"/>
      <c r="C866" s="3"/>
      <c r="D866" s="3"/>
      <c r="E866" s="3"/>
      <c r="F866" s="3"/>
      <c r="G866" s="3"/>
      <c r="H866" s="3"/>
      <c r="I866" s="3"/>
      <c r="J866" s="3"/>
      <c r="K866" s="4"/>
    </row>
    <row r="867" spans="1:11" ht="17.25" customHeight="1">
      <c r="A867" s="3"/>
      <c r="B867" s="3"/>
      <c r="C867" s="3"/>
      <c r="D867" s="3"/>
      <c r="E867" s="3"/>
      <c r="F867" s="3"/>
      <c r="G867" s="3"/>
      <c r="H867" s="3"/>
      <c r="I867" s="3"/>
      <c r="J867" s="3"/>
      <c r="K867" s="4"/>
    </row>
    <row r="868" spans="1:11" ht="17.25" customHeight="1">
      <c r="A868" s="3"/>
      <c r="B868" s="3"/>
      <c r="C868" s="3"/>
      <c r="D868" s="3"/>
      <c r="E868" s="3"/>
      <c r="F868" s="3"/>
      <c r="G868" s="3"/>
      <c r="H868" s="3"/>
      <c r="I868" s="3"/>
      <c r="J868" s="3"/>
      <c r="K868" s="4"/>
    </row>
    <row r="869" spans="1:11" ht="17.25" customHeight="1">
      <c r="A869" s="3"/>
      <c r="B869" s="3"/>
      <c r="C869" s="3"/>
      <c r="D869" s="3"/>
      <c r="E869" s="3"/>
      <c r="F869" s="3"/>
      <c r="G869" s="3"/>
      <c r="H869" s="3"/>
      <c r="I869" s="3"/>
      <c r="J869" s="3"/>
      <c r="K869" s="4"/>
    </row>
    <row r="870" spans="1:11" ht="17.25" customHeight="1">
      <c r="A870" s="3"/>
      <c r="B870" s="3"/>
      <c r="C870" s="3"/>
      <c r="D870" s="3"/>
      <c r="E870" s="3"/>
      <c r="F870" s="3"/>
      <c r="G870" s="3"/>
      <c r="H870" s="3"/>
      <c r="I870" s="3"/>
      <c r="J870" s="3"/>
      <c r="K870" s="4"/>
    </row>
    <row r="871" spans="1:11" ht="17.25" customHeight="1">
      <c r="A871" s="3"/>
      <c r="B871" s="3"/>
      <c r="C871" s="3"/>
      <c r="D871" s="3"/>
      <c r="E871" s="3"/>
      <c r="F871" s="3"/>
      <c r="G871" s="3"/>
      <c r="H871" s="3"/>
      <c r="I871" s="3"/>
      <c r="J871" s="3"/>
      <c r="K871" s="4"/>
    </row>
    <row r="872" spans="1:11" ht="17.25" customHeight="1">
      <c r="A872" s="3"/>
      <c r="B872" s="3"/>
      <c r="C872" s="3"/>
      <c r="D872" s="3"/>
      <c r="E872" s="3"/>
      <c r="F872" s="3"/>
      <c r="G872" s="3"/>
      <c r="H872" s="3"/>
      <c r="I872" s="3"/>
      <c r="J872" s="3"/>
      <c r="K872" s="4"/>
    </row>
    <row r="873" spans="1:11" ht="17.25" customHeight="1">
      <c r="A873" s="3"/>
      <c r="B873" s="3"/>
      <c r="C873" s="3"/>
      <c r="D873" s="3"/>
      <c r="E873" s="3"/>
      <c r="F873" s="3"/>
      <c r="G873" s="3"/>
      <c r="H873" s="3"/>
      <c r="I873" s="3"/>
      <c r="J873" s="3"/>
      <c r="K873" s="4"/>
    </row>
    <row r="874" spans="1:11" ht="17.25" customHeight="1">
      <c r="A874" s="3"/>
      <c r="B874" s="3"/>
      <c r="C874" s="3"/>
      <c r="D874" s="3"/>
      <c r="E874" s="3"/>
      <c r="F874" s="3"/>
      <c r="G874" s="3"/>
      <c r="H874" s="3"/>
      <c r="I874" s="3"/>
      <c r="J874" s="3"/>
      <c r="K874" s="4"/>
    </row>
    <row r="875" spans="1:11" ht="17.25" customHeight="1">
      <c r="A875" s="3"/>
      <c r="B875" s="3"/>
      <c r="C875" s="3"/>
      <c r="D875" s="3"/>
      <c r="E875" s="3"/>
      <c r="F875" s="3"/>
      <c r="G875" s="3"/>
      <c r="H875" s="3"/>
      <c r="I875" s="3"/>
      <c r="J875" s="3"/>
      <c r="K875" s="4"/>
    </row>
    <row r="876" spans="1:11" ht="17.25" customHeight="1">
      <c r="A876" s="3"/>
      <c r="B876" s="3"/>
      <c r="C876" s="3"/>
      <c r="D876" s="3"/>
      <c r="E876" s="3"/>
      <c r="F876" s="3"/>
      <c r="G876" s="3"/>
      <c r="H876" s="3"/>
      <c r="I876" s="3"/>
      <c r="J876" s="3"/>
      <c r="K876" s="4"/>
    </row>
    <row r="877" spans="1:11" ht="17.25" customHeight="1">
      <c r="A877" s="3"/>
      <c r="B877" s="3"/>
      <c r="C877" s="3"/>
      <c r="D877" s="3"/>
      <c r="E877" s="3"/>
      <c r="F877" s="3"/>
      <c r="G877" s="3"/>
      <c r="H877" s="3"/>
      <c r="I877" s="3"/>
      <c r="J877" s="3"/>
      <c r="K877" s="4"/>
    </row>
    <row r="878" spans="1:11" ht="17.25" customHeight="1">
      <c r="A878" s="3"/>
      <c r="B878" s="3"/>
      <c r="C878" s="3"/>
      <c r="D878" s="3"/>
      <c r="E878" s="3"/>
      <c r="F878" s="3"/>
      <c r="G878" s="3"/>
      <c r="H878" s="3"/>
      <c r="I878" s="3"/>
      <c r="J878" s="3"/>
      <c r="K878" s="4"/>
    </row>
    <row r="879" spans="1:11" ht="17.25" customHeight="1">
      <c r="A879" s="3"/>
      <c r="B879" s="3"/>
      <c r="C879" s="3"/>
      <c r="D879" s="3"/>
      <c r="E879" s="3"/>
      <c r="F879" s="3"/>
      <c r="G879" s="3"/>
      <c r="H879" s="3"/>
      <c r="I879" s="3"/>
      <c r="J879" s="3"/>
      <c r="K879" s="4"/>
    </row>
    <row r="880" spans="1:11" ht="17.25" customHeight="1">
      <c r="A880" s="3"/>
      <c r="B880" s="3"/>
      <c r="C880" s="3"/>
      <c r="D880" s="3"/>
      <c r="E880" s="3"/>
      <c r="F880" s="3"/>
      <c r="G880" s="3"/>
      <c r="H880" s="3"/>
      <c r="I880" s="3"/>
      <c r="J880" s="3"/>
      <c r="K880" s="4"/>
    </row>
    <row r="881" spans="1:11" ht="17.25" customHeight="1">
      <c r="A881" s="3"/>
      <c r="B881" s="3"/>
      <c r="C881" s="3"/>
      <c r="D881" s="3"/>
      <c r="E881" s="3"/>
      <c r="F881" s="3"/>
      <c r="G881" s="3"/>
      <c r="H881" s="3"/>
      <c r="I881" s="3"/>
      <c r="J881" s="3"/>
      <c r="K881" s="4"/>
    </row>
    <row r="882" spans="1:11" ht="17.25" customHeight="1">
      <c r="A882" s="3"/>
      <c r="B882" s="3"/>
      <c r="C882" s="3"/>
      <c r="D882" s="3"/>
      <c r="E882" s="3"/>
      <c r="F882" s="3"/>
      <c r="G882" s="3"/>
      <c r="H882" s="3"/>
      <c r="I882" s="3"/>
      <c r="J882" s="3"/>
      <c r="K882" s="4"/>
    </row>
    <row r="883" spans="1:11" ht="17.25" customHeight="1">
      <c r="A883" s="3"/>
      <c r="B883" s="3"/>
      <c r="C883" s="3"/>
      <c r="D883" s="3"/>
      <c r="E883" s="3"/>
      <c r="F883" s="3"/>
      <c r="G883" s="3"/>
      <c r="H883" s="3"/>
      <c r="I883" s="3"/>
      <c r="J883" s="3"/>
      <c r="K883" s="4"/>
    </row>
    <row r="884" spans="1:11" ht="17.25" customHeight="1">
      <c r="A884" s="3"/>
      <c r="B884" s="3"/>
      <c r="C884" s="3"/>
      <c r="D884" s="3"/>
      <c r="E884" s="3"/>
      <c r="F884" s="3"/>
      <c r="G884" s="3"/>
      <c r="H884" s="3"/>
      <c r="I884" s="3"/>
      <c r="J884" s="3"/>
      <c r="K884" s="4"/>
    </row>
    <row r="885" spans="1:11" ht="17.25" customHeight="1">
      <c r="A885" s="3"/>
      <c r="B885" s="3"/>
      <c r="C885" s="3"/>
      <c r="D885" s="3"/>
      <c r="E885" s="3"/>
      <c r="F885" s="3"/>
      <c r="G885" s="3"/>
      <c r="H885" s="3"/>
      <c r="I885" s="3"/>
      <c r="J885" s="3"/>
      <c r="K885" s="4"/>
    </row>
    <row r="886" spans="1:11" ht="17.25" customHeight="1">
      <c r="A886" s="3"/>
      <c r="B886" s="3"/>
      <c r="C886" s="3"/>
      <c r="D886" s="3"/>
      <c r="E886" s="3"/>
      <c r="F886" s="3"/>
      <c r="G886" s="3"/>
      <c r="H886" s="3"/>
      <c r="I886" s="3"/>
      <c r="J886" s="3"/>
      <c r="K886" s="4"/>
    </row>
    <row r="887" spans="1:11" ht="17.25" customHeight="1">
      <c r="A887" s="3"/>
      <c r="B887" s="3"/>
      <c r="C887" s="3"/>
      <c r="D887" s="3"/>
      <c r="E887" s="3"/>
      <c r="F887" s="3"/>
      <c r="G887" s="3"/>
      <c r="H887" s="3"/>
      <c r="I887" s="3"/>
      <c r="J887" s="3"/>
      <c r="K887" s="4"/>
    </row>
    <row r="888" spans="1:11" ht="17.25" customHeight="1">
      <c r="A888" s="3"/>
      <c r="B888" s="3"/>
      <c r="C888" s="3"/>
      <c r="D888" s="3"/>
      <c r="E888" s="3"/>
      <c r="F888" s="3"/>
      <c r="G888" s="3"/>
      <c r="H888" s="3"/>
      <c r="I888" s="3"/>
      <c r="J888" s="3"/>
      <c r="K888" s="4"/>
    </row>
    <row r="889" spans="1:11" ht="17.25" customHeight="1">
      <c r="A889" s="3"/>
      <c r="B889" s="3"/>
      <c r="C889" s="3"/>
      <c r="D889" s="3"/>
      <c r="E889" s="3"/>
      <c r="F889" s="3"/>
      <c r="G889" s="3"/>
      <c r="H889" s="3"/>
      <c r="I889" s="3"/>
      <c r="J889" s="3"/>
      <c r="K889" s="4"/>
    </row>
    <row r="890" spans="1:11" ht="17.25" customHeight="1">
      <c r="A890" s="3"/>
      <c r="B890" s="3"/>
      <c r="C890" s="3"/>
      <c r="D890" s="3"/>
      <c r="E890" s="3"/>
      <c r="F890" s="3"/>
      <c r="G890" s="3"/>
      <c r="H890" s="3"/>
      <c r="I890" s="3"/>
      <c r="J890" s="3"/>
      <c r="K890" s="4"/>
    </row>
    <row r="891" spans="1:11" ht="17.25" customHeight="1">
      <c r="A891" s="3"/>
      <c r="B891" s="3"/>
      <c r="C891" s="3"/>
      <c r="D891" s="3"/>
      <c r="E891" s="3"/>
      <c r="F891" s="3"/>
      <c r="G891" s="3"/>
      <c r="H891" s="3"/>
      <c r="I891" s="3"/>
      <c r="J891" s="3"/>
      <c r="K891" s="4"/>
    </row>
    <row r="892" spans="1:11" ht="17.25" customHeight="1">
      <c r="A892" s="3"/>
      <c r="B892" s="3"/>
      <c r="C892" s="3"/>
      <c r="D892" s="3"/>
      <c r="E892" s="3"/>
      <c r="F892" s="3"/>
      <c r="G892" s="3"/>
      <c r="H892" s="3"/>
      <c r="I892" s="3"/>
      <c r="J892" s="3"/>
      <c r="K892" s="4"/>
    </row>
    <row r="893" spans="1:11" ht="17.25" customHeight="1">
      <c r="A893" s="3"/>
      <c r="B893" s="3"/>
      <c r="C893" s="3"/>
      <c r="D893" s="3"/>
      <c r="E893" s="3"/>
      <c r="F893" s="3"/>
      <c r="G893" s="3"/>
      <c r="H893" s="3"/>
      <c r="I893" s="3"/>
      <c r="J893" s="3"/>
      <c r="K893" s="4"/>
    </row>
    <row r="894" spans="1:11" ht="17.25" customHeight="1">
      <c r="A894" s="3"/>
      <c r="B894" s="3"/>
      <c r="C894" s="3"/>
      <c r="D894" s="3"/>
      <c r="E894" s="3"/>
      <c r="F894" s="3"/>
      <c r="G894" s="3"/>
      <c r="H894" s="3"/>
      <c r="I894" s="3"/>
      <c r="J894" s="3"/>
      <c r="K894" s="4"/>
    </row>
    <row r="895" spans="1:11" ht="17.25" customHeight="1">
      <c r="A895" s="3"/>
      <c r="B895" s="3"/>
      <c r="C895" s="3"/>
      <c r="D895" s="3"/>
      <c r="E895" s="3"/>
      <c r="F895" s="3"/>
      <c r="G895" s="3"/>
      <c r="H895" s="3"/>
      <c r="I895" s="3"/>
      <c r="J895" s="3"/>
      <c r="K895" s="4"/>
    </row>
    <row r="896" spans="1:11" ht="17.25" customHeight="1">
      <c r="A896" s="3"/>
      <c r="B896" s="3"/>
      <c r="C896" s="3"/>
      <c r="D896" s="3"/>
      <c r="E896" s="3"/>
      <c r="F896" s="3"/>
      <c r="G896" s="3"/>
      <c r="H896" s="3"/>
      <c r="I896" s="3"/>
      <c r="J896" s="3"/>
      <c r="K896" s="4"/>
    </row>
    <row r="897" spans="1:11" ht="17.25" customHeight="1">
      <c r="A897" s="3"/>
      <c r="B897" s="3"/>
      <c r="C897" s="3"/>
      <c r="D897" s="3"/>
      <c r="E897" s="3"/>
      <c r="F897" s="3"/>
      <c r="G897" s="3"/>
      <c r="H897" s="3"/>
      <c r="I897" s="3"/>
      <c r="J897" s="3"/>
      <c r="K897" s="4"/>
    </row>
    <row r="898" spans="1:11" ht="17.25" customHeight="1">
      <c r="A898" s="3"/>
      <c r="B898" s="3"/>
      <c r="C898" s="3"/>
      <c r="D898" s="3"/>
      <c r="E898" s="3"/>
      <c r="F898" s="3"/>
      <c r="G898" s="3"/>
      <c r="H898" s="3"/>
      <c r="I898" s="3"/>
      <c r="J898" s="3"/>
      <c r="K898" s="4"/>
    </row>
    <row r="899" spans="1:11" ht="17.25" customHeight="1">
      <c r="A899" s="3"/>
      <c r="B899" s="3"/>
      <c r="C899" s="3"/>
      <c r="D899" s="3"/>
      <c r="E899" s="3"/>
      <c r="F899" s="3"/>
      <c r="G899" s="3"/>
      <c r="H899" s="3"/>
      <c r="I899" s="3"/>
      <c r="J899" s="3"/>
      <c r="K899" s="4"/>
    </row>
    <row r="900" spans="1:11" ht="17.25" customHeight="1">
      <c r="A900" s="3"/>
      <c r="B900" s="3"/>
      <c r="C900" s="3"/>
      <c r="D900" s="3"/>
      <c r="E900" s="3"/>
      <c r="F900" s="3"/>
      <c r="G900" s="3"/>
      <c r="H900" s="3"/>
      <c r="I900" s="3"/>
      <c r="J900" s="3"/>
      <c r="K900" s="4"/>
    </row>
    <row r="901" spans="1:11" ht="17.25" customHeight="1">
      <c r="A901" s="3"/>
      <c r="B901" s="3"/>
      <c r="C901" s="3"/>
      <c r="D901" s="3"/>
      <c r="E901" s="3"/>
      <c r="F901" s="3"/>
      <c r="G901" s="3"/>
      <c r="H901" s="3"/>
      <c r="I901" s="3"/>
      <c r="J901" s="3"/>
      <c r="K901" s="4"/>
    </row>
    <row r="902" spans="1:11" ht="17.25" customHeight="1">
      <c r="A902" s="3"/>
      <c r="B902" s="3"/>
      <c r="C902" s="3"/>
      <c r="D902" s="3"/>
      <c r="E902" s="3"/>
      <c r="F902" s="3"/>
      <c r="G902" s="3"/>
      <c r="H902" s="3"/>
      <c r="I902" s="3"/>
      <c r="J902" s="3"/>
      <c r="K902" s="4"/>
    </row>
    <row r="903" spans="1:11" ht="17.25" customHeight="1">
      <c r="A903" s="3"/>
      <c r="B903" s="3"/>
      <c r="C903" s="3"/>
      <c r="D903" s="3"/>
      <c r="E903" s="3"/>
      <c r="F903" s="3"/>
      <c r="G903" s="3"/>
      <c r="H903" s="3"/>
      <c r="I903" s="3"/>
      <c r="J903" s="3"/>
      <c r="K903" s="4"/>
    </row>
    <row r="904" spans="1:11" ht="17.25" customHeight="1">
      <c r="A904" s="3"/>
      <c r="B904" s="3"/>
      <c r="C904" s="3"/>
      <c r="D904" s="3"/>
      <c r="E904" s="3"/>
      <c r="F904" s="3"/>
      <c r="G904" s="3"/>
      <c r="H904" s="3"/>
      <c r="I904" s="3"/>
      <c r="J904" s="3"/>
      <c r="K904" s="4"/>
    </row>
    <row r="905" spans="1:11" ht="17.25" customHeight="1">
      <c r="A905" s="3"/>
      <c r="B905" s="3"/>
      <c r="C905" s="3"/>
      <c r="D905" s="3"/>
      <c r="E905" s="3"/>
      <c r="F905" s="3"/>
      <c r="G905" s="3"/>
      <c r="H905" s="3"/>
      <c r="I905" s="3"/>
      <c r="J905" s="3"/>
      <c r="K905" s="4"/>
    </row>
    <row r="906" spans="1:11" ht="17.25" customHeight="1">
      <c r="A906" s="3"/>
      <c r="B906" s="3"/>
      <c r="C906" s="3"/>
      <c r="D906" s="3"/>
      <c r="E906" s="3"/>
      <c r="F906" s="3"/>
      <c r="G906" s="3"/>
      <c r="H906" s="3"/>
      <c r="I906" s="3"/>
      <c r="J906" s="3"/>
      <c r="K906" s="4"/>
    </row>
    <row r="907" spans="1:11" ht="17.25" customHeight="1">
      <c r="A907" s="3"/>
      <c r="B907" s="3"/>
      <c r="C907" s="3"/>
      <c r="D907" s="3"/>
      <c r="E907" s="3"/>
      <c r="F907" s="3"/>
      <c r="G907" s="3"/>
      <c r="H907" s="3"/>
      <c r="I907" s="3"/>
      <c r="J907" s="3"/>
      <c r="K907" s="4"/>
    </row>
    <row r="908" spans="1:11" ht="17.25" customHeight="1">
      <c r="A908" s="3"/>
      <c r="B908" s="3"/>
      <c r="C908" s="3"/>
      <c r="D908" s="3"/>
      <c r="E908" s="3"/>
      <c r="F908" s="3"/>
      <c r="G908" s="3"/>
      <c r="H908" s="3"/>
      <c r="I908" s="3"/>
      <c r="J908" s="3"/>
      <c r="K908" s="4"/>
    </row>
    <row r="909" spans="1:11" ht="17.25" customHeight="1">
      <c r="A909" s="3"/>
      <c r="B909" s="3"/>
      <c r="C909" s="3"/>
      <c r="D909" s="3"/>
      <c r="E909" s="3"/>
      <c r="F909" s="3"/>
      <c r="G909" s="3"/>
      <c r="H909" s="3"/>
      <c r="I909" s="3"/>
      <c r="J909" s="3"/>
      <c r="K909" s="4"/>
    </row>
    <row r="910" spans="1:11" ht="17.25" customHeight="1">
      <c r="A910" s="3"/>
      <c r="B910" s="3"/>
      <c r="C910" s="3"/>
      <c r="D910" s="3"/>
      <c r="E910" s="3"/>
      <c r="F910" s="3"/>
      <c r="G910" s="3"/>
      <c r="H910" s="3"/>
      <c r="I910" s="3"/>
      <c r="J910" s="3"/>
      <c r="K910" s="4"/>
    </row>
    <row r="911" spans="1:11" ht="17.25" customHeight="1">
      <c r="A911" s="3"/>
      <c r="B911" s="3"/>
      <c r="C911" s="3"/>
      <c r="D911" s="3"/>
      <c r="E911" s="3"/>
      <c r="F911" s="3"/>
      <c r="G911" s="3"/>
      <c r="H911" s="3"/>
      <c r="I911" s="3"/>
      <c r="J911" s="3"/>
      <c r="K911" s="4"/>
    </row>
    <row r="912" spans="1:11" ht="17.25" customHeight="1">
      <c r="A912" s="3"/>
      <c r="B912" s="3"/>
      <c r="C912" s="3"/>
      <c r="D912" s="3"/>
      <c r="E912" s="3"/>
      <c r="F912" s="3"/>
      <c r="G912" s="3"/>
      <c r="H912" s="3"/>
      <c r="I912" s="3"/>
      <c r="J912" s="3"/>
      <c r="K912" s="4"/>
    </row>
    <row r="913" spans="1:11" ht="17.25" customHeight="1">
      <c r="A913" s="3"/>
      <c r="B913" s="3"/>
      <c r="C913" s="3"/>
      <c r="D913" s="3"/>
      <c r="E913" s="3"/>
      <c r="F913" s="3"/>
      <c r="G913" s="3"/>
      <c r="H913" s="3"/>
      <c r="I913" s="3"/>
      <c r="J913" s="3"/>
      <c r="K913" s="4"/>
    </row>
    <row r="914" spans="1:11" ht="17.25" customHeight="1">
      <c r="A914" s="3"/>
      <c r="B914" s="3"/>
      <c r="C914" s="3"/>
      <c r="D914" s="3"/>
      <c r="E914" s="3"/>
      <c r="F914" s="3"/>
      <c r="G914" s="3"/>
      <c r="H914" s="3"/>
      <c r="I914" s="3"/>
      <c r="J914" s="3"/>
      <c r="K914" s="4"/>
    </row>
    <row r="915" spans="1:11" ht="17.25" customHeight="1">
      <c r="A915" s="3"/>
      <c r="B915" s="3"/>
      <c r="C915" s="3"/>
      <c r="D915" s="3"/>
      <c r="E915" s="3"/>
      <c r="F915" s="3"/>
      <c r="G915" s="3"/>
      <c r="H915" s="3"/>
      <c r="I915" s="3"/>
      <c r="J915" s="3"/>
      <c r="K915" s="4"/>
    </row>
    <row r="916" spans="1:11" ht="17.25" customHeight="1">
      <c r="A916" s="3"/>
      <c r="B916" s="3"/>
      <c r="C916" s="3"/>
      <c r="D916" s="3"/>
      <c r="E916" s="3"/>
      <c r="F916" s="3"/>
      <c r="G916" s="3"/>
      <c r="H916" s="3"/>
      <c r="I916" s="3"/>
      <c r="J916" s="3"/>
      <c r="K916" s="4"/>
    </row>
    <row r="917" spans="1:11" ht="17.25" customHeight="1">
      <c r="A917" s="3"/>
      <c r="B917" s="3"/>
      <c r="C917" s="3"/>
      <c r="D917" s="3"/>
      <c r="E917" s="3"/>
      <c r="F917" s="3"/>
      <c r="G917" s="3"/>
      <c r="H917" s="3"/>
      <c r="I917" s="3"/>
      <c r="J917" s="3"/>
      <c r="K917" s="4"/>
    </row>
    <row r="918" spans="1:11" ht="17.25" customHeight="1">
      <c r="A918" s="3"/>
      <c r="B918" s="3"/>
      <c r="C918" s="3"/>
      <c r="D918" s="3"/>
      <c r="E918" s="3"/>
      <c r="F918" s="3"/>
      <c r="G918" s="3"/>
      <c r="H918" s="3"/>
      <c r="I918" s="3"/>
      <c r="J918" s="3"/>
      <c r="K918" s="4"/>
    </row>
    <row r="919" spans="1:11" ht="17.25" customHeight="1">
      <c r="A919" s="3"/>
      <c r="B919" s="3"/>
      <c r="C919" s="3"/>
      <c r="D919" s="3"/>
      <c r="E919" s="3"/>
      <c r="F919" s="3"/>
      <c r="G919" s="3"/>
      <c r="H919" s="3"/>
      <c r="I919" s="3"/>
      <c r="J919" s="3"/>
      <c r="K919" s="4"/>
    </row>
    <row r="920" spans="1:11" ht="17.25" customHeight="1">
      <c r="A920" s="3"/>
      <c r="B920" s="3"/>
      <c r="C920" s="3"/>
      <c r="D920" s="3"/>
      <c r="E920" s="3"/>
      <c r="F920" s="3"/>
      <c r="G920" s="3"/>
      <c r="H920" s="3"/>
      <c r="I920" s="3"/>
      <c r="J920" s="3"/>
      <c r="K920" s="4"/>
    </row>
    <row r="921" spans="1:11" ht="17.25" customHeight="1">
      <c r="A921" s="3"/>
      <c r="B921" s="3"/>
      <c r="C921" s="3"/>
      <c r="D921" s="3"/>
      <c r="E921" s="3"/>
      <c r="F921" s="3"/>
      <c r="G921" s="3"/>
      <c r="H921" s="3"/>
      <c r="I921" s="3"/>
      <c r="J921" s="3"/>
      <c r="K921" s="4"/>
    </row>
    <row r="922" spans="1:11" ht="17.25" customHeight="1">
      <c r="A922" s="3"/>
      <c r="B922" s="3"/>
      <c r="C922" s="3"/>
      <c r="D922" s="3"/>
      <c r="E922" s="3"/>
      <c r="F922" s="3"/>
      <c r="G922" s="3"/>
      <c r="H922" s="3"/>
      <c r="I922" s="3"/>
      <c r="J922" s="3"/>
      <c r="K922" s="4"/>
    </row>
    <row r="923" spans="1:11" ht="17.25" customHeight="1">
      <c r="A923" s="3"/>
      <c r="B923" s="3"/>
      <c r="C923" s="3"/>
      <c r="D923" s="3"/>
      <c r="E923" s="3"/>
      <c r="F923" s="3"/>
      <c r="G923" s="3"/>
      <c r="H923" s="3"/>
      <c r="I923" s="3"/>
      <c r="J923" s="3"/>
      <c r="K923" s="4"/>
    </row>
    <row r="924" spans="1:11" ht="17.25" customHeight="1">
      <c r="A924" s="3"/>
      <c r="B924" s="3"/>
      <c r="C924" s="3"/>
      <c r="D924" s="3"/>
      <c r="E924" s="3"/>
      <c r="F924" s="3"/>
      <c r="G924" s="3"/>
      <c r="H924" s="3"/>
      <c r="I924" s="3"/>
      <c r="J924" s="3"/>
      <c r="K924" s="4"/>
    </row>
    <row r="925" spans="1:11" ht="17.25" customHeight="1">
      <c r="A925" s="3"/>
      <c r="B925" s="3"/>
      <c r="C925" s="3"/>
      <c r="D925" s="3"/>
      <c r="E925" s="3"/>
      <c r="F925" s="3"/>
      <c r="G925" s="3"/>
      <c r="H925" s="3"/>
      <c r="I925" s="3"/>
      <c r="J925" s="3"/>
      <c r="K925" s="4"/>
    </row>
    <row r="926" spans="1:11" ht="17.25" customHeight="1">
      <c r="A926" s="3"/>
      <c r="B926" s="3"/>
      <c r="C926" s="3"/>
      <c r="D926" s="3"/>
      <c r="E926" s="3"/>
      <c r="F926" s="3"/>
      <c r="G926" s="3"/>
      <c r="H926" s="3"/>
      <c r="I926" s="3"/>
      <c r="J926" s="3"/>
      <c r="K926" s="4"/>
    </row>
    <row r="927" spans="1:11" ht="17.25" customHeight="1">
      <c r="A927" s="3"/>
      <c r="B927" s="3"/>
      <c r="C927" s="3"/>
      <c r="D927" s="3"/>
      <c r="E927" s="3"/>
      <c r="F927" s="3"/>
      <c r="G927" s="3"/>
      <c r="H927" s="3"/>
      <c r="I927" s="3"/>
      <c r="J927" s="3"/>
      <c r="K927" s="4"/>
    </row>
    <row r="928" spans="1:11" ht="17.25" customHeight="1">
      <c r="A928" s="3"/>
      <c r="B928" s="3"/>
      <c r="C928" s="3"/>
      <c r="D928" s="3"/>
      <c r="E928" s="3"/>
      <c r="F928" s="3"/>
      <c r="G928" s="3"/>
      <c r="H928" s="3"/>
      <c r="I928" s="3"/>
      <c r="J928" s="3"/>
      <c r="K928" s="4"/>
    </row>
    <row r="929" spans="1:11" ht="17.25" customHeight="1">
      <c r="A929" s="3"/>
      <c r="B929" s="3"/>
      <c r="C929" s="3"/>
      <c r="D929" s="3"/>
      <c r="E929" s="3"/>
      <c r="F929" s="3"/>
      <c r="G929" s="3"/>
      <c r="H929" s="3"/>
      <c r="I929" s="3"/>
      <c r="J929" s="3"/>
      <c r="K929" s="4"/>
    </row>
    <row r="930" spans="1:11" ht="17.25" customHeight="1">
      <c r="A930" s="3"/>
      <c r="B930" s="3"/>
      <c r="C930" s="3"/>
      <c r="D930" s="3"/>
      <c r="E930" s="3"/>
      <c r="F930" s="3"/>
      <c r="G930" s="3"/>
      <c r="H930" s="3"/>
      <c r="I930" s="3"/>
      <c r="J930" s="3"/>
      <c r="K930" s="4"/>
    </row>
    <row r="931" spans="1:11" ht="17.25" customHeight="1">
      <c r="A931" s="3"/>
      <c r="B931" s="3"/>
      <c r="C931" s="3"/>
      <c r="D931" s="3"/>
      <c r="E931" s="3"/>
      <c r="F931" s="3"/>
      <c r="G931" s="3"/>
      <c r="H931" s="3"/>
      <c r="I931" s="3"/>
      <c r="J931" s="3"/>
      <c r="K931" s="4"/>
    </row>
    <row r="932" spans="1:11" ht="17.25" customHeight="1">
      <c r="A932" s="3"/>
      <c r="B932" s="3"/>
      <c r="C932" s="3"/>
      <c r="D932" s="3"/>
      <c r="E932" s="3"/>
      <c r="F932" s="3"/>
      <c r="G932" s="3"/>
      <c r="H932" s="3"/>
      <c r="I932" s="3"/>
      <c r="J932" s="3"/>
      <c r="K932" s="4"/>
    </row>
    <row r="933" spans="1:11" ht="17.25" customHeight="1">
      <c r="A933" s="3"/>
      <c r="B933" s="3"/>
      <c r="C933" s="3"/>
      <c r="D933" s="3"/>
      <c r="E933" s="3"/>
      <c r="F933" s="3"/>
      <c r="G933" s="3"/>
      <c r="H933" s="3"/>
      <c r="I933" s="3"/>
      <c r="J933" s="3"/>
      <c r="K933" s="4"/>
    </row>
    <row r="934" spans="1:11" ht="17.25" customHeight="1">
      <c r="A934" s="3"/>
      <c r="B934" s="3"/>
      <c r="C934" s="3"/>
      <c r="D934" s="3"/>
      <c r="E934" s="3"/>
      <c r="F934" s="3"/>
      <c r="G934" s="3"/>
      <c r="H934" s="3"/>
      <c r="I934" s="3"/>
      <c r="J934" s="3"/>
      <c r="K934" s="4"/>
    </row>
    <row r="935" spans="1:11" ht="17.25" customHeight="1">
      <c r="A935" s="3"/>
      <c r="B935" s="3"/>
      <c r="C935" s="3"/>
      <c r="D935" s="3"/>
      <c r="E935" s="3"/>
      <c r="F935" s="3"/>
      <c r="G935" s="3"/>
      <c r="H935" s="3"/>
      <c r="I935" s="3"/>
      <c r="J935" s="3"/>
      <c r="K935" s="4"/>
    </row>
    <row r="936" spans="1:11" ht="17.25" customHeight="1">
      <c r="A936" s="3"/>
      <c r="B936" s="3"/>
      <c r="C936" s="3"/>
      <c r="D936" s="3"/>
      <c r="E936" s="3"/>
      <c r="F936" s="3"/>
      <c r="G936" s="3"/>
      <c r="H936" s="3"/>
      <c r="I936" s="3"/>
      <c r="J936" s="3"/>
      <c r="K936" s="4"/>
    </row>
    <row r="937" spans="1:11" ht="17.25" customHeight="1">
      <c r="A937" s="3"/>
      <c r="B937" s="3"/>
      <c r="C937" s="3"/>
      <c r="D937" s="3"/>
      <c r="E937" s="3"/>
      <c r="F937" s="3"/>
      <c r="G937" s="3"/>
      <c r="H937" s="3"/>
      <c r="I937" s="3"/>
      <c r="J937" s="3"/>
      <c r="K937" s="4"/>
    </row>
    <row r="938" spans="1:11" ht="17.25" customHeight="1">
      <c r="A938" s="3"/>
      <c r="B938" s="3"/>
      <c r="C938" s="3"/>
      <c r="D938" s="3"/>
      <c r="E938" s="3"/>
      <c r="F938" s="3"/>
      <c r="G938" s="3"/>
      <c r="H938" s="3"/>
      <c r="I938" s="3"/>
      <c r="J938" s="3"/>
      <c r="K938" s="4"/>
    </row>
    <row r="939" spans="1:11" ht="17.25" customHeight="1">
      <c r="A939" s="3"/>
      <c r="B939" s="3"/>
      <c r="C939" s="3"/>
      <c r="D939" s="3"/>
      <c r="E939" s="3"/>
      <c r="F939" s="3"/>
      <c r="G939" s="3"/>
      <c r="H939" s="3"/>
      <c r="I939" s="3"/>
      <c r="J939" s="3"/>
      <c r="K939" s="4"/>
    </row>
    <row r="940" spans="1:11" ht="17.25" customHeight="1">
      <c r="A940" s="3"/>
      <c r="B940" s="3"/>
      <c r="C940" s="3"/>
      <c r="D940" s="3"/>
      <c r="E940" s="3"/>
      <c r="F940" s="3"/>
      <c r="G940" s="3"/>
      <c r="H940" s="3"/>
      <c r="I940" s="3"/>
      <c r="J940" s="3"/>
      <c r="K940" s="4"/>
    </row>
    <row r="941" spans="1:11" ht="17.25" customHeight="1">
      <c r="A941" s="3"/>
      <c r="B941" s="3"/>
      <c r="C941" s="3"/>
      <c r="D941" s="3"/>
      <c r="E941" s="3"/>
      <c r="F941" s="3"/>
      <c r="G941" s="3"/>
      <c r="H941" s="3"/>
      <c r="I941" s="3"/>
      <c r="J941" s="3"/>
      <c r="K941" s="4"/>
    </row>
    <row r="942" spans="1:11" ht="17.25" customHeight="1">
      <c r="A942" s="3"/>
      <c r="B942" s="3"/>
      <c r="C942" s="3"/>
      <c r="D942" s="3"/>
      <c r="E942" s="3"/>
      <c r="F942" s="3"/>
      <c r="G942" s="3"/>
      <c r="H942" s="3"/>
      <c r="I942" s="3"/>
      <c r="J942" s="3"/>
      <c r="K942" s="4"/>
    </row>
    <row r="943" spans="1:11" ht="17.25" customHeight="1">
      <c r="A943" s="3"/>
      <c r="B943" s="3"/>
      <c r="C943" s="3"/>
      <c r="D943" s="3"/>
      <c r="E943" s="3"/>
      <c r="F943" s="3"/>
      <c r="G943" s="3"/>
      <c r="H943" s="3"/>
      <c r="I943" s="3"/>
      <c r="J943" s="3"/>
      <c r="K943" s="4"/>
    </row>
    <row r="944" spans="1:11" ht="17.25" customHeight="1">
      <c r="A944" s="3"/>
      <c r="B944" s="3"/>
      <c r="C944" s="3"/>
      <c r="D944" s="3"/>
      <c r="E944" s="3"/>
      <c r="F944" s="3"/>
      <c r="G944" s="3"/>
      <c r="H944" s="3"/>
      <c r="I944" s="3"/>
      <c r="J944" s="3"/>
      <c r="K944" s="4"/>
    </row>
    <row r="945" spans="1:11" ht="17.25" customHeight="1">
      <c r="A945" s="3"/>
      <c r="B945" s="3"/>
      <c r="C945" s="3"/>
      <c r="D945" s="3"/>
      <c r="E945" s="3"/>
      <c r="F945" s="3"/>
      <c r="G945" s="3"/>
      <c r="H945" s="3"/>
      <c r="I945" s="3"/>
      <c r="J945" s="3"/>
      <c r="K945" s="4"/>
    </row>
    <row r="946" spans="1:11" ht="17.25" customHeight="1">
      <c r="A946" s="3"/>
      <c r="B946" s="3"/>
      <c r="C946" s="3"/>
      <c r="D946" s="3"/>
      <c r="E946" s="3"/>
      <c r="F946" s="3"/>
      <c r="G946" s="3"/>
      <c r="H946" s="3"/>
      <c r="I946" s="3"/>
      <c r="J946" s="3"/>
      <c r="K946" s="4"/>
    </row>
    <row r="947" spans="1:11" ht="17.25" customHeight="1">
      <c r="A947" s="3"/>
      <c r="B947" s="3"/>
      <c r="C947" s="3"/>
      <c r="D947" s="3"/>
      <c r="E947" s="3"/>
      <c r="F947" s="3"/>
      <c r="G947" s="3"/>
      <c r="H947" s="3"/>
      <c r="I947" s="3"/>
      <c r="J947" s="3"/>
      <c r="K947" s="4"/>
    </row>
    <row r="948" spans="1:11" ht="17.25" customHeight="1">
      <c r="A948" s="3"/>
      <c r="B948" s="3"/>
      <c r="C948" s="3"/>
      <c r="D948" s="3"/>
      <c r="E948" s="3"/>
      <c r="F948" s="3"/>
      <c r="G948" s="3"/>
      <c r="H948" s="3"/>
      <c r="I948" s="3"/>
      <c r="J948" s="3"/>
      <c r="K948" s="4"/>
    </row>
    <row r="949" spans="1:11" ht="17.25" customHeight="1">
      <c r="A949" s="3"/>
      <c r="B949" s="3"/>
      <c r="C949" s="3"/>
      <c r="D949" s="3"/>
      <c r="E949" s="3"/>
      <c r="F949" s="3"/>
      <c r="G949" s="3"/>
      <c r="H949" s="3"/>
      <c r="I949" s="3"/>
      <c r="J949" s="3"/>
      <c r="K949" s="4"/>
    </row>
    <row r="950" spans="1:11" ht="17.25" customHeight="1">
      <c r="A950" s="3"/>
      <c r="B950" s="3"/>
      <c r="C950" s="3"/>
      <c r="D950" s="3"/>
      <c r="E950" s="3"/>
      <c r="F950" s="3"/>
      <c r="G950" s="3"/>
      <c r="H950" s="3"/>
      <c r="I950" s="3"/>
      <c r="J950" s="3"/>
      <c r="K950" s="4"/>
    </row>
    <row r="951" spans="1:11" ht="17.25" customHeight="1">
      <c r="A951" s="3"/>
      <c r="B951" s="3"/>
      <c r="C951" s="3"/>
      <c r="D951" s="3"/>
      <c r="E951" s="3"/>
      <c r="F951" s="3"/>
      <c r="G951" s="3"/>
      <c r="H951" s="3"/>
      <c r="I951" s="3"/>
      <c r="J951" s="3"/>
      <c r="K951" s="4"/>
    </row>
    <row r="952" spans="1:11" ht="17.25" customHeight="1">
      <c r="A952" s="3"/>
      <c r="B952" s="3"/>
      <c r="C952" s="3"/>
      <c r="D952" s="3"/>
      <c r="E952" s="3"/>
      <c r="F952" s="3"/>
      <c r="G952" s="3"/>
      <c r="H952" s="3"/>
      <c r="I952" s="3"/>
      <c r="J952" s="3"/>
      <c r="K952" s="4"/>
    </row>
    <row r="953" spans="1:11" ht="17.25" customHeight="1">
      <c r="A953" s="3"/>
      <c r="B953" s="3"/>
      <c r="C953" s="3"/>
      <c r="D953" s="3"/>
      <c r="E953" s="3"/>
      <c r="F953" s="3"/>
      <c r="G953" s="3"/>
      <c r="H953" s="3"/>
      <c r="I953" s="3"/>
      <c r="J953" s="3"/>
      <c r="K953" s="4"/>
    </row>
    <row r="954" spans="1:11" ht="17.25" customHeight="1">
      <c r="A954" s="3"/>
      <c r="B954" s="3"/>
      <c r="C954" s="3"/>
      <c r="D954" s="3"/>
      <c r="E954" s="3"/>
      <c r="F954" s="3"/>
      <c r="G954" s="3"/>
      <c r="H954" s="3"/>
      <c r="I954" s="3"/>
      <c r="J954" s="3"/>
      <c r="K954" s="4"/>
    </row>
    <row r="955" spans="1:11" ht="17.25" customHeight="1">
      <c r="A955" s="3"/>
      <c r="B955" s="3"/>
      <c r="C955" s="3"/>
      <c r="D955" s="3"/>
      <c r="E955" s="3"/>
      <c r="F955" s="3"/>
      <c r="G955" s="3"/>
      <c r="H955" s="3"/>
      <c r="I955" s="3"/>
      <c r="J955" s="3"/>
      <c r="K955" s="4"/>
    </row>
    <row r="956" spans="1:11" ht="17.25" customHeight="1">
      <c r="A956" s="3"/>
      <c r="B956" s="3"/>
      <c r="C956" s="3"/>
      <c r="D956" s="3"/>
      <c r="E956" s="3"/>
      <c r="F956" s="3"/>
      <c r="G956" s="3"/>
      <c r="H956" s="3"/>
      <c r="I956" s="3"/>
      <c r="J956" s="3"/>
      <c r="K956" s="4"/>
    </row>
    <row r="957" spans="1:11" ht="17.25" customHeight="1">
      <c r="A957" s="3"/>
      <c r="B957" s="3"/>
      <c r="C957" s="3"/>
      <c r="D957" s="3"/>
      <c r="E957" s="3"/>
      <c r="F957" s="3"/>
      <c r="G957" s="3"/>
      <c r="H957" s="3"/>
      <c r="I957" s="3"/>
      <c r="J957" s="3"/>
      <c r="K957" s="4"/>
    </row>
    <row r="958" spans="1:11" ht="17.25" customHeight="1">
      <c r="A958" s="3"/>
      <c r="B958" s="3"/>
      <c r="C958" s="3"/>
      <c r="D958" s="3"/>
      <c r="E958" s="3"/>
      <c r="F958" s="3"/>
      <c r="G958" s="3"/>
      <c r="H958" s="3"/>
      <c r="I958" s="3"/>
      <c r="J958" s="3"/>
      <c r="K958" s="4"/>
    </row>
    <row r="959" spans="1:11" ht="17.25" customHeight="1">
      <c r="A959" s="3"/>
      <c r="B959" s="3"/>
      <c r="C959" s="3"/>
      <c r="D959" s="3"/>
      <c r="E959" s="3"/>
      <c r="F959" s="3"/>
      <c r="G959" s="3"/>
      <c r="H959" s="3"/>
      <c r="I959" s="3"/>
      <c r="J959" s="3"/>
      <c r="K959" s="4"/>
    </row>
    <row r="960" spans="1:11" ht="17.25" customHeight="1">
      <c r="A960" s="3"/>
      <c r="B960" s="3"/>
      <c r="C960" s="3"/>
      <c r="D960" s="3"/>
      <c r="E960" s="3"/>
      <c r="F960" s="3"/>
      <c r="G960" s="3"/>
      <c r="H960" s="3"/>
      <c r="I960" s="3"/>
      <c r="J960" s="3"/>
      <c r="K960" s="4"/>
    </row>
    <row r="961" spans="1:11" ht="17.25" customHeight="1">
      <c r="A961" s="3"/>
      <c r="B961" s="3"/>
      <c r="C961" s="3"/>
      <c r="D961" s="3"/>
      <c r="E961" s="3"/>
      <c r="F961" s="3"/>
      <c r="G961" s="3"/>
      <c r="H961" s="3"/>
      <c r="I961" s="3"/>
      <c r="J961" s="3"/>
      <c r="K961" s="4"/>
    </row>
    <row r="962" spans="1:11" ht="17.25" customHeight="1">
      <c r="A962" s="3"/>
      <c r="B962" s="3"/>
      <c r="C962" s="3"/>
      <c r="D962" s="3"/>
      <c r="E962" s="3"/>
      <c r="F962" s="3"/>
      <c r="G962" s="3"/>
      <c r="H962" s="3"/>
      <c r="I962" s="3"/>
      <c r="J962" s="3"/>
      <c r="K962" s="4"/>
    </row>
    <row r="963" spans="1:11" ht="17.25" customHeight="1">
      <c r="A963" s="3"/>
      <c r="B963" s="3"/>
      <c r="C963" s="3"/>
      <c r="D963" s="3"/>
      <c r="E963" s="3"/>
      <c r="F963" s="3"/>
      <c r="G963" s="3"/>
      <c r="H963" s="3"/>
      <c r="I963" s="3"/>
      <c r="J963" s="3"/>
      <c r="K963" s="4"/>
    </row>
    <row r="964" spans="1:11" ht="17.25" customHeight="1">
      <c r="A964" s="3"/>
      <c r="B964" s="3"/>
      <c r="C964" s="3"/>
      <c r="D964" s="3"/>
      <c r="E964" s="3"/>
      <c r="F964" s="3"/>
      <c r="G964" s="3"/>
      <c r="H964" s="3"/>
      <c r="I964" s="3"/>
      <c r="J964" s="3"/>
      <c r="K964" s="4"/>
    </row>
    <row r="965" spans="1:11" ht="17.25" customHeight="1">
      <c r="A965" s="3"/>
      <c r="B965" s="3"/>
      <c r="C965" s="3"/>
      <c r="D965" s="3"/>
      <c r="E965" s="3"/>
      <c r="F965" s="3"/>
      <c r="G965" s="3"/>
      <c r="H965" s="3"/>
      <c r="I965" s="3"/>
      <c r="J965" s="3"/>
      <c r="K965" s="4"/>
    </row>
    <row r="966" spans="1:11" ht="17.25" customHeight="1">
      <c r="A966" s="3"/>
      <c r="B966" s="3"/>
      <c r="C966" s="3"/>
      <c r="D966" s="3"/>
      <c r="E966" s="3"/>
      <c r="F966" s="3"/>
      <c r="G966" s="3"/>
      <c r="H966" s="3"/>
      <c r="I966" s="3"/>
      <c r="J966" s="3"/>
      <c r="K966" s="4"/>
    </row>
    <row r="967" spans="1:11" ht="17.25" customHeight="1">
      <c r="A967" s="3"/>
      <c r="B967" s="3"/>
      <c r="C967" s="3"/>
      <c r="D967" s="3"/>
      <c r="E967" s="3"/>
      <c r="F967" s="3"/>
      <c r="G967" s="3"/>
      <c r="H967" s="3"/>
      <c r="I967" s="3"/>
      <c r="J967" s="3"/>
      <c r="K967" s="4"/>
    </row>
    <row r="968" spans="1:11" ht="17.25" customHeight="1">
      <c r="A968" s="3"/>
      <c r="B968" s="3"/>
      <c r="C968" s="3"/>
      <c r="D968" s="3"/>
      <c r="E968" s="3"/>
      <c r="F968" s="3"/>
      <c r="G968" s="3"/>
      <c r="H968" s="3"/>
      <c r="I968" s="3"/>
      <c r="J968" s="3"/>
      <c r="K968" s="4"/>
    </row>
    <row r="969" spans="1:11" ht="17.25" customHeight="1">
      <c r="A969" s="3"/>
      <c r="B969" s="3"/>
      <c r="C969" s="3"/>
      <c r="D969" s="3"/>
      <c r="E969" s="3"/>
      <c r="F969" s="3"/>
      <c r="G969" s="3"/>
      <c r="H969" s="3"/>
      <c r="I969" s="3"/>
      <c r="J969" s="3"/>
      <c r="K969" s="4"/>
    </row>
    <row r="970" spans="1:11" ht="17.25" customHeight="1">
      <c r="A970" s="3"/>
      <c r="B970" s="3"/>
      <c r="C970" s="3"/>
      <c r="D970" s="3"/>
      <c r="E970" s="3"/>
      <c r="F970" s="3"/>
      <c r="G970" s="3"/>
      <c r="H970" s="3"/>
      <c r="I970" s="3"/>
      <c r="J970" s="3"/>
      <c r="K970" s="4"/>
    </row>
    <row r="971" spans="1:11" ht="17.25" customHeight="1">
      <c r="A971" s="3"/>
      <c r="B971" s="3"/>
      <c r="C971" s="3"/>
      <c r="D971" s="3"/>
      <c r="E971" s="3"/>
      <c r="F971" s="3"/>
      <c r="G971" s="3"/>
      <c r="H971" s="3"/>
      <c r="I971" s="3"/>
      <c r="J971" s="3"/>
      <c r="K971" s="4"/>
    </row>
    <row r="972" spans="1:11" ht="17.25" customHeight="1">
      <c r="A972" s="3"/>
      <c r="B972" s="3"/>
      <c r="C972" s="3"/>
      <c r="D972" s="3"/>
      <c r="E972" s="3"/>
      <c r="F972" s="3"/>
      <c r="G972" s="3"/>
      <c r="H972" s="3"/>
      <c r="I972" s="3"/>
      <c r="J972" s="3"/>
      <c r="K972" s="4"/>
    </row>
    <row r="973" spans="1:11" ht="17.25" customHeight="1">
      <c r="A973" s="3"/>
      <c r="B973" s="3"/>
      <c r="C973" s="3"/>
      <c r="D973" s="3"/>
      <c r="E973" s="3"/>
      <c r="F973" s="3"/>
      <c r="G973" s="3"/>
      <c r="H973" s="3"/>
      <c r="I973" s="3"/>
      <c r="J973" s="3"/>
      <c r="K973" s="4"/>
    </row>
    <row r="974" spans="1:11" ht="17.25" customHeight="1">
      <c r="A974" s="3"/>
      <c r="B974" s="3"/>
      <c r="C974" s="3"/>
      <c r="D974" s="3"/>
      <c r="E974" s="3"/>
      <c r="F974" s="3"/>
      <c r="G974" s="3"/>
      <c r="H974" s="3"/>
      <c r="I974" s="3"/>
      <c r="J974" s="3"/>
      <c r="K974" s="4"/>
    </row>
    <row r="975" spans="1:11" ht="17.25" customHeight="1">
      <c r="A975" s="3"/>
      <c r="B975" s="3"/>
      <c r="C975" s="3"/>
      <c r="D975" s="3"/>
      <c r="E975" s="3"/>
      <c r="F975" s="3"/>
      <c r="G975" s="3"/>
      <c r="H975" s="3"/>
      <c r="I975" s="3"/>
      <c r="J975" s="3"/>
      <c r="K975" s="4"/>
    </row>
    <row r="976" spans="1:11" ht="17.25" customHeight="1">
      <c r="A976" s="3"/>
      <c r="B976" s="3"/>
      <c r="C976" s="3"/>
      <c r="D976" s="3"/>
      <c r="E976" s="3"/>
      <c r="F976" s="3"/>
      <c r="G976" s="3"/>
      <c r="H976" s="3"/>
      <c r="I976" s="3"/>
      <c r="J976" s="3"/>
      <c r="K976" s="4"/>
    </row>
    <row r="977" spans="1:11" ht="17.25" customHeight="1">
      <c r="A977" s="3"/>
      <c r="B977" s="3"/>
      <c r="C977" s="3"/>
      <c r="D977" s="3"/>
      <c r="E977" s="3"/>
      <c r="F977" s="3"/>
      <c r="G977" s="3"/>
      <c r="H977" s="3"/>
      <c r="I977" s="3"/>
      <c r="J977" s="3"/>
      <c r="K977" s="4"/>
    </row>
    <row r="978" spans="1:11" ht="17.25" customHeight="1">
      <c r="A978" s="3"/>
      <c r="B978" s="3"/>
      <c r="C978" s="3"/>
      <c r="D978" s="3"/>
      <c r="E978" s="3"/>
      <c r="F978" s="3"/>
      <c r="G978" s="3"/>
      <c r="H978" s="3"/>
      <c r="I978" s="3"/>
      <c r="J978" s="3"/>
      <c r="K978" s="4"/>
    </row>
    <row r="979" spans="1:11" ht="17.25" customHeight="1">
      <c r="A979" s="3"/>
      <c r="B979" s="3"/>
      <c r="C979" s="3"/>
      <c r="D979" s="3"/>
      <c r="E979" s="3"/>
      <c r="F979" s="3"/>
      <c r="G979" s="3"/>
      <c r="H979" s="3"/>
      <c r="I979" s="3"/>
      <c r="J979" s="3"/>
      <c r="K979" s="4"/>
    </row>
    <row r="980" spans="1:11" ht="17.25" customHeight="1">
      <c r="A980" s="3"/>
      <c r="B980" s="3"/>
      <c r="C980" s="3"/>
      <c r="D980" s="3"/>
      <c r="E980" s="3"/>
      <c r="F980" s="3"/>
      <c r="G980" s="3"/>
      <c r="H980" s="3"/>
      <c r="I980" s="3"/>
      <c r="J980" s="3"/>
      <c r="K980" s="4"/>
    </row>
    <row r="981" spans="1:11" ht="17.25" customHeight="1">
      <c r="A981" s="3"/>
      <c r="B981" s="3"/>
      <c r="C981" s="3"/>
      <c r="D981" s="3"/>
      <c r="E981" s="3"/>
      <c r="F981" s="3"/>
      <c r="G981" s="3"/>
      <c r="H981" s="3"/>
      <c r="I981" s="3"/>
      <c r="J981" s="3"/>
      <c r="K981" s="4"/>
    </row>
    <row r="982" spans="1:11" ht="17.25" customHeight="1">
      <c r="A982" s="3"/>
      <c r="B982" s="3"/>
      <c r="C982" s="3"/>
      <c r="D982" s="3"/>
      <c r="E982" s="3"/>
      <c r="F982" s="3"/>
      <c r="G982" s="3"/>
      <c r="H982" s="3"/>
      <c r="I982" s="3"/>
      <c r="J982" s="3"/>
      <c r="K982" s="4"/>
    </row>
    <row r="983" spans="1:11" ht="17.25" customHeight="1">
      <c r="A983" s="3"/>
      <c r="B983" s="3"/>
      <c r="C983" s="3"/>
      <c r="D983" s="3"/>
      <c r="E983" s="3"/>
      <c r="F983" s="3"/>
      <c r="G983" s="3"/>
      <c r="H983" s="3"/>
      <c r="I983" s="3"/>
      <c r="J983" s="3"/>
      <c r="K983" s="4"/>
    </row>
    <row r="984" spans="1:11" ht="17.25" customHeight="1">
      <c r="A984" s="3"/>
      <c r="B984" s="3"/>
      <c r="C984" s="3"/>
      <c r="D984" s="3"/>
      <c r="E984" s="3"/>
      <c r="F984" s="3"/>
      <c r="G984" s="3"/>
      <c r="H984" s="3"/>
      <c r="I984" s="3"/>
      <c r="J984" s="3"/>
      <c r="K984" s="4"/>
    </row>
    <row r="985" spans="1:11" ht="17.25" customHeight="1">
      <c r="A985" s="3"/>
      <c r="B985" s="3"/>
      <c r="C985" s="3"/>
      <c r="D985" s="3"/>
      <c r="E985" s="3"/>
      <c r="F985" s="3"/>
      <c r="G985" s="3"/>
      <c r="H985" s="3"/>
      <c r="I985" s="3"/>
      <c r="J985" s="3"/>
      <c r="K985" s="4"/>
    </row>
    <row r="986" spans="1:11" ht="17.25" customHeight="1">
      <c r="A986" s="3"/>
      <c r="B986" s="3"/>
      <c r="C986" s="3"/>
      <c r="D986" s="3"/>
      <c r="E986" s="3"/>
      <c r="F986" s="3"/>
      <c r="G986" s="3"/>
      <c r="H986" s="3"/>
      <c r="I986" s="3"/>
      <c r="J986" s="3"/>
      <c r="K986" s="4"/>
    </row>
    <row r="987" spans="1:11" ht="17.25" customHeight="1">
      <c r="A987" s="3"/>
      <c r="B987" s="3"/>
      <c r="C987" s="3"/>
      <c r="D987" s="3"/>
      <c r="E987" s="3"/>
      <c r="F987" s="3"/>
      <c r="G987" s="3"/>
      <c r="H987" s="3"/>
      <c r="I987" s="3"/>
      <c r="J987" s="3"/>
      <c r="K987" s="4"/>
    </row>
    <row r="988" spans="1:11" ht="17.25" customHeight="1">
      <c r="A988" s="3"/>
      <c r="B988" s="3"/>
      <c r="C988" s="3"/>
      <c r="D988" s="3"/>
      <c r="E988" s="3"/>
      <c r="F988" s="3"/>
      <c r="G988" s="3"/>
      <c r="H988" s="3"/>
      <c r="I988" s="3"/>
      <c r="J988" s="3"/>
      <c r="K988" s="4"/>
    </row>
    <row r="989" spans="1:11" ht="17.25" customHeight="1">
      <c r="A989" s="3"/>
      <c r="B989" s="3"/>
      <c r="C989" s="3"/>
      <c r="D989" s="3"/>
      <c r="E989" s="3"/>
      <c r="F989" s="3"/>
      <c r="G989" s="3"/>
      <c r="H989" s="3"/>
      <c r="I989" s="3"/>
      <c r="J989" s="3"/>
      <c r="K989" s="4"/>
    </row>
    <row r="990" spans="1:11" ht="17.25" customHeight="1">
      <c r="A990" s="3"/>
      <c r="B990" s="3"/>
      <c r="C990" s="3"/>
      <c r="D990" s="3"/>
      <c r="E990" s="3"/>
      <c r="F990" s="3"/>
      <c r="G990" s="3"/>
      <c r="H990" s="3"/>
      <c r="I990" s="3"/>
      <c r="J990" s="3"/>
      <c r="K990" s="4"/>
    </row>
    <row r="991" spans="1:11" ht="17.25" customHeight="1">
      <c r="A991" s="3"/>
      <c r="B991" s="3"/>
      <c r="C991" s="3"/>
      <c r="D991" s="3"/>
      <c r="E991" s="3"/>
      <c r="F991" s="3"/>
      <c r="G991" s="3"/>
      <c r="H991" s="3"/>
      <c r="I991" s="3"/>
      <c r="J991" s="3"/>
      <c r="K991" s="4"/>
    </row>
    <row r="992" spans="1:11" ht="17.25" customHeight="1">
      <c r="A992" s="3"/>
      <c r="B992" s="3"/>
      <c r="C992" s="3"/>
      <c r="D992" s="3"/>
      <c r="E992" s="3"/>
      <c r="F992" s="3"/>
      <c r="G992" s="3"/>
      <c r="H992" s="3"/>
      <c r="I992" s="3"/>
      <c r="J992" s="3"/>
      <c r="K992" s="4"/>
    </row>
    <row r="993" spans="1:11" ht="17.25" customHeight="1">
      <c r="A993" s="3"/>
      <c r="B993" s="3"/>
      <c r="C993" s="3"/>
      <c r="D993" s="3"/>
      <c r="E993" s="3"/>
      <c r="F993" s="3"/>
      <c r="G993" s="3"/>
      <c r="H993" s="3"/>
      <c r="I993" s="3"/>
      <c r="J993" s="3"/>
      <c r="K993" s="4"/>
    </row>
    <row r="994" spans="1:11" ht="17.25" customHeight="1">
      <c r="A994" s="3"/>
      <c r="B994" s="3"/>
      <c r="C994" s="3"/>
      <c r="D994" s="3"/>
      <c r="E994" s="3"/>
      <c r="F994" s="3"/>
      <c r="G994" s="3"/>
      <c r="H994" s="3"/>
      <c r="I994" s="3"/>
      <c r="J994" s="3"/>
      <c r="K994" s="4"/>
    </row>
    <row r="995" spans="1:11" ht="17.25" customHeight="1">
      <c r="A995" s="3"/>
      <c r="B995" s="3"/>
      <c r="C995" s="3"/>
      <c r="D995" s="3"/>
      <c r="E995" s="3"/>
      <c r="F995" s="3"/>
      <c r="G995" s="3"/>
      <c r="H995" s="3"/>
      <c r="I995" s="3"/>
      <c r="J995" s="3"/>
      <c r="K995" s="4"/>
    </row>
    <row r="996" spans="1:11" ht="17.25" customHeight="1">
      <c r="A996" s="3"/>
      <c r="B996" s="3"/>
      <c r="C996" s="3"/>
      <c r="D996" s="3"/>
      <c r="E996" s="3"/>
      <c r="F996" s="3"/>
      <c r="G996" s="3"/>
      <c r="H996" s="3"/>
      <c r="I996" s="3"/>
      <c r="J996" s="3"/>
      <c r="K996" s="4"/>
    </row>
    <row r="997" spans="1:11" ht="17.25" customHeight="1">
      <c r="A997" s="3"/>
      <c r="B997" s="3"/>
      <c r="C997" s="3"/>
      <c r="D997" s="3"/>
      <c r="E997" s="3"/>
      <c r="F997" s="3"/>
      <c r="G997" s="3"/>
      <c r="H997" s="3"/>
      <c r="I997" s="3"/>
      <c r="J997" s="3"/>
      <c r="K997" s="4"/>
    </row>
    <row r="998" spans="1:11" ht="17.25" customHeight="1">
      <c r="A998" s="3"/>
      <c r="B998" s="3"/>
      <c r="C998" s="3"/>
      <c r="D998" s="3"/>
      <c r="E998" s="3"/>
      <c r="F998" s="3"/>
      <c r="G998" s="3"/>
      <c r="H998" s="3"/>
      <c r="I998" s="3"/>
      <c r="J998" s="3"/>
      <c r="K998" s="4"/>
    </row>
    <row r="999" spans="1:11" ht="17.25" customHeight="1">
      <c r="A999" s="3"/>
      <c r="B999" s="3"/>
      <c r="C999" s="3"/>
      <c r="D999" s="3"/>
      <c r="E999" s="3"/>
      <c r="F999" s="3"/>
      <c r="G999" s="3"/>
      <c r="H999" s="3"/>
      <c r="I999" s="3"/>
      <c r="J999" s="3"/>
      <c r="K999" s="4"/>
    </row>
    <row r="1000" spans="1:11" ht="17.25" customHeight="1">
      <c r="A1000" s="3"/>
      <c r="B1000" s="3"/>
      <c r="C1000" s="3"/>
      <c r="D1000" s="3"/>
      <c r="E1000" s="3"/>
      <c r="F1000" s="3"/>
      <c r="G1000" s="3"/>
      <c r="H1000" s="3"/>
      <c r="I1000" s="3"/>
      <c r="J1000" s="3"/>
      <c r="K1000" s="4"/>
    </row>
  </sheetData>
  <mergeCells count="22">
    <mergeCell ref="C2:D2"/>
    <mergeCell ref="G2:K2"/>
    <mergeCell ref="A3:A4"/>
    <mergeCell ref="C3:D3"/>
    <mergeCell ref="K3:K4"/>
    <mergeCell ref="L3:L4"/>
    <mergeCell ref="L5:L6"/>
    <mergeCell ref="F53:F54"/>
    <mergeCell ref="G53:G54"/>
    <mergeCell ref="H53:H54"/>
    <mergeCell ref="I53:I54"/>
    <mergeCell ref="J53:J54"/>
    <mergeCell ref="K53:K54"/>
    <mergeCell ref="A53:A54"/>
    <mergeCell ref="E53:E54"/>
    <mergeCell ref="L53:L54"/>
    <mergeCell ref="K55:L55"/>
    <mergeCell ref="L7:L10"/>
    <mergeCell ref="L11:L12"/>
    <mergeCell ref="L13:L14"/>
    <mergeCell ref="L15:L16"/>
    <mergeCell ref="L19:L20"/>
  </mergeCells>
  <phoneticPr fontId="15" type="noConversion"/>
  <pageMargins left="0.46" right="0.1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Z1000"/>
  <sheetViews>
    <sheetView workbookViewId="0">
      <pane ySplit="4" topLeftCell="A5" activePane="bottomLeft" state="frozen"/>
      <selection pane="bottomLeft" activeCell="B6" sqref="B6"/>
    </sheetView>
  </sheetViews>
  <sheetFormatPr baseColWidth="10" defaultColWidth="14.5" defaultRowHeight="15" customHeight="1"/>
  <cols>
    <col min="1" max="1" width="21.5" customWidth="1"/>
    <col min="2" max="3" width="12.5" customWidth="1"/>
    <col min="4" max="4" width="23.5" customWidth="1"/>
    <col min="5" max="5" width="11.83203125" customWidth="1"/>
    <col min="13" max="13" width="13.5" customWidth="1"/>
    <col min="14" max="26" width="8.5" customWidth="1"/>
  </cols>
  <sheetData>
    <row r="1" spans="1:26" ht="43.5" customHeight="1">
      <c r="A1" s="2" t="s">
        <v>5</v>
      </c>
      <c r="B1" s="2"/>
      <c r="C1" s="2"/>
      <c r="D1" s="2"/>
      <c r="E1" s="3"/>
      <c r="F1" s="3"/>
      <c r="G1" s="3"/>
      <c r="H1" s="3"/>
      <c r="I1" s="3"/>
      <c r="J1" s="3"/>
      <c r="K1" s="3"/>
      <c r="L1" s="4"/>
      <c r="M1" s="32"/>
      <c r="N1" s="32"/>
      <c r="O1" s="32"/>
      <c r="P1" s="32"/>
      <c r="Q1" s="32"/>
      <c r="R1" s="32"/>
      <c r="S1" s="32"/>
      <c r="T1" s="32"/>
      <c r="U1" s="32"/>
      <c r="V1" s="32"/>
      <c r="W1" s="32"/>
      <c r="X1" s="32"/>
      <c r="Y1" s="32"/>
      <c r="Z1" s="32"/>
    </row>
    <row r="2" spans="1:26" ht="17.25" customHeight="1">
      <c r="A2" s="5" t="s">
        <v>53</v>
      </c>
      <c r="B2" s="295" t="str">
        <f>'계좌(노임)'!$C$2</f>
        <v>(양평군,김포시,강동구,종로구)</v>
      </c>
      <c r="C2" s="296"/>
      <c r="D2" s="296"/>
      <c r="E2" s="3"/>
      <c r="F2" s="3"/>
      <c r="G2" s="3"/>
      <c r="H2" s="305" t="str">
        <f>'계좌(노임)'!$G$2</f>
        <v>기타:</v>
      </c>
      <c r="I2" s="296"/>
      <c r="J2" s="296"/>
      <c r="K2" s="296"/>
      <c r="L2" s="296"/>
      <c r="M2" s="6" t="str">
        <f>'계좌(노임)'!$L$2</f>
        <v>10월분</v>
      </c>
      <c r="N2" s="32"/>
      <c r="O2" s="32"/>
      <c r="P2" s="32"/>
      <c r="Q2" s="32"/>
      <c r="R2" s="32"/>
      <c r="S2" s="32"/>
      <c r="T2" s="32"/>
      <c r="U2" s="32"/>
      <c r="V2" s="32"/>
      <c r="W2" s="32"/>
      <c r="X2" s="32"/>
      <c r="Y2" s="32"/>
      <c r="Z2" s="32"/>
    </row>
    <row r="3" spans="1:26" ht="26.25" customHeight="1">
      <c r="A3" s="300" t="s">
        <v>0</v>
      </c>
      <c r="B3" s="306" t="s">
        <v>44</v>
      </c>
      <c r="C3" s="306" t="s">
        <v>13</v>
      </c>
      <c r="D3" s="301" t="s">
        <v>10</v>
      </c>
      <c r="E3" s="302"/>
      <c r="F3" s="8"/>
      <c r="G3" s="7" t="e">
        <f>'계좌(노임)'!F3</f>
        <v>#REF!</v>
      </c>
      <c r="H3" s="8" t="e">
        <f>'계좌(노임)'!G3</f>
        <v>#REF!</v>
      </c>
      <c r="I3" s="8" t="e">
        <f>'계좌(노임)'!H3</f>
        <v>#REF!</v>
      </c>
      <c r="J3" s="8" t="e">
        <f>'계좌(노임)'!I3</f>
        <v>#REF!</v>
      </c>
      <c r="K3" s="8" t="e">
        <f>'계좌(노임)'!J3</f>
        <v>#REF!</v>
      </c>
      <c r="L3" s="303" t="s">
        <v>11</v>
      </c>
      <c r="M3" s="292" t="s">
        <v>12</v>
      </c>
      <c r="N3" s="9"/>
      <c r="O3" s="9"/>
      <c r="P3" s="9"/>
      <c r="Q3" s="9"/>
      <c r="R3" s="9"/>
      <c r="S3" s="9"/>
      <c r="T3" s="9"/>
      <c r="U3" s="9"/>
      <c r="V3" s="9"/>
      <c r="W3" s="9"/>
      <c r="X3" s="9"/>
      <c r="Y3" s="9"/>
      <c r="Z3" s="9"/>
    </row>
    <row r="4" spans="1:26" ht="26.25" customHeight="1">
      <c r="A4" s="280"/>
      <c r="B4" s="282"/>
      <c r="C4" s="282"/>
      <c r="D4" s="10" t="s">
        <v>14</v>
      </c>
      <c r="E4" s="10" t="s">
        <v>15</v>
      </c>
      <c r="F4" s="10">
        <f>'계좌(노임)'!E4</f>
        <v>1</v>
      </c>
      <c r="G4" s="10">
        <f>'계좌(노임)'!F4</f>
        <v>2</v>
      </c>
      <c r="H4" s="10">
        <f>'계좌(노임)'!G4</f>
        <v>3</v>
      </c>
      <c r="I4" s="10">
        <f>'계좌(노임)'!H4</f>
        <v>4</v>
      </c>
      <c r="J4" s="10">
        <f>'계좌(노임)'!I4</f>
        <v>5</v>
      </c>
      <c r="K4" s="10">
        <f>'계좌(노임)'!J4</f>
        <v>6</v>
      </c>
      <c r="L4" s="282"/>
      <c r="M4" s="284"/>
      <c r="N4" s="9"/>
      <c r="O4" s="9"/>
      <c r="P4" s="9"/>
      <c r="Q4" s="9"/>
      <c r="R4" s="9"/>
      <c r="S4" s="9"/>
      <c r="T4" s="9"/>
      <c r="U4" s="9"/>
      <c r="V4" s="9"/>
      <c r="W4" s="9"/>
      <c r="X4" s="9"/>
      <c r="Y4" s="9"/>
      <c r="Z4" s="9"/>
    </row>
    <row r="5" spans="1:26" ht="26.25" customHeight="1">
      <c r="A5" s="33" t="e">
        <f>#REF!</f>
        <v>#REF!</v>
      </c>
      <c r="B5" s="34" t="e">
        <f>#REF!</f>
        <v>#REF!</v>
      </c>
      <c r="C5" s="13"/>
      <c r="D5" s="35"/>
      <c r="E5" s="13" t="e">
        <f t="shared" ref="E5:E19" si="0">A5</f>
        <v>#REF!</v>
      </c>
      <c r="F5" s="14" t="e">
        <f>#REF!</f>
        <v>#REF!</v>
      </c>
      <c r="G5" s="14" t="e">
        <f>#REF!</f>
        <v>#REF!</v>
      </c>
      <c r="H5" s="14" t="e">
        <f>#REF!</f>
        <v>#REF!</v>
      </c>
      <c r="I5" s="14" t="e">
        <f>#REF!</f>
        <v>#REF!</v>
      </c>
      <c r="J5" s="14" t="e">
        <f>#REF!</f>
        <v>#REF!</v>
      </c>
      <c r="K5" s="36" t="e">
        <f>#REF!</f>
        <v>#REF!</v>
      </c>
      <c r="L5" s="18" t="e">
        <f t="shared" ref="L5:L36" si="1">F5+G5+H5+I5+J5+K5</f>
        <v>#REF!</v>
      </c>
      <c r="M5" s="37" t="s">
        <v>54</v>
      </c>
      <c r="N5" s="16"/>
      <c r="O5" s="16"/>
      <c r="P5" s="16"/>
      <c r="Q5" s="16"/>
      <c r="R5" s="16"/>
      <c r="S5" s="16"/>
      <c r="T5" s="16"/>
      <c r="U5" s="16"/>
      <c r="V5" s="16"/>
      <c r="W5" s="16"/>
      <c r="X5" s="16"/>
      <c r="Y5" s="16"/>
      <c r="Z5" s="16"/>
    </row>
    <row r="6" spans="1:26" ht="26.25" customHeight="1">
      <c r="A6" s="21" t="e">
        <f>#REF!</f>
        <v>#REF!</v>
      </c>
      <c r="B6" s="38" t="e">
        <f>#REF!</f>
        <v>#REF!</v>
      </c>
      <c r="C6" s="11"/>
      <c r="D6" s="12"/>
      <c r="E6" s="11" t="e">
        <f t="shared" si="0"/>
        <v>#REF!</v>
      </c>
      <c r="F6" s="14" t="e">
        <f>#REF!</f>
        <v>#REF!</v>
      </c>
      <c r="G6" s="14" t="e">
        <f>#REF!</f>
        <v>#REF!</v>
      </c>
      <c r="H6" s="14" t="e">
        <f>#REF!</f>
        <v>#REF!</v>
      </c>
      <c r="I6" s="14" t="e">
        <f>#REF!</f>
        <v>#REF!</v>
      </c>
      <c r="J6" s="14" t="e">
        <f>#REF!</f>
        <v>#REF!</v>
      </c>
      <c r="K6" s="36" t="e">
        <f>#REF!</f>
        <v>#REF!</v>
      </c>
      <c r="L6" s="18" t="e">
        <f t="shared" si="1"/>
        <v>#REF!</v>
      </c>
      <c r="M6" s="37" t="s">
        <v>54</v>
      </c>
      <c r="N6" s="16"/>
      <c r="O6" s="16"/>
      <c r="P6" s="16"/>
      <c r="Q6" s="16"/>
      <c r="R6" s="16"/>
      <c r="S6" s="16"/>
      <c r="T6" s="16"/>
      <c r="U6" s="16"/>
      <c r="V6" s="16"/>
      <c r="W6" s="16"/>
      <c r="X6" s="16"/>
      <c r="Y6" s="16"/>
      <c r="Z6" s="16"/>
    </row>
    <row r="7" spans="1:26" ht="26.25" customHeight="1">
      <c r="A7" s="21" t="e">
        <f>#REF!</f>
        <v>#REF!</v>
      </c>
      <c r="B7" s="38" t="e">
        <f>#REF!</f>
        <v>#REF!</v>
      </c>
      <c r="C7" s="11" t="s">
        <v>55</v>
      </c>
      <c r="D7" s="12" t="s">
        <v>56</v>
      </c>
      <c r="E7" s="11" t="e">
        <f t="shared" si="0"/>
        <v>#REF!</v>
      </c>
      <c r="F7" s="14" t="e">
        <f>#REF!</f>
        <v>#REF!</v>
      </c>
      <c r="G7" s="14" t="e">
        <f>#REF!</f>
        <v>#REF!</v>
      </c>
      <c r="H7" s="14" t="e">
        <f>#REF!</f>
        <v>#REF!</v>
      </c>
      <c r="I7" s="14" t="e">
        <f>#REF!</f>
        <v>#REF!</v>
      </c>
      <c r="J7" s="14" t="e">
        <f>#REF!</f>
        <v>#REF!</v>
      </c>
      <c r="K7" s="36" t="e">
        <f>#REF!</f>
        <v>#REF!</v>
      </c>
      <c r="L7" s="18" t="e">
        <f t="shared" si="1"/>
        <v>#REF!</v>
      </c>
      <c r="M7" s="37" t="s">
        <v>54</v>
      </c>
      <c r="N7" s="16"/>
      <c r="O7" s="16"/>
      <c r="P7" s="16"/>
      <c r="Q7" s="16"/>
      <c r="R7" s="16"/>
      <c r="S7" s="16"/>
      <c r="T7" s="16"/>
      <c r="U7" s="16"/>
      <c r="V7" s="16"/>
      <c r="W7" s="16"/>
      <c r="X7" s="16"/>
      <c r="Y7" s="16"/>
      <c r="Z7" s="16"/>
    </row>
    <row r="8" spans="1:26" ht="26.25" customHeight="1">
      <c r="A8" s="21" t="e">
        <f>#REF!</f>
        <v>#REF!</v>
      </c>
      <c r="B8" s="38" t="e">
        <f>#REF!</f>
        <v>#REF!</v>
      </c>
      <c r="C8" s="11" t="s">
        <v>51</v>
      </c>
      <c r="D8" s="12" t="s">
        <v>57</v>
      </c>
      <c r="E8" s="11" t="e">
        <f t="shared" si="0"/>
        <v>#REF!</v>
      </c>
      <c r="F8" s="14" t="e">
        <f>#REF!</f>
        <v>#REF!</v>
      </c>
      <c r="G8" s="14" t="e">
        <f>#REF!</f>
        <v>#REF!</v>
      </c>
      <c r="H8" s="14" t="e">
        <f>#REF!</f>
        <v>#REF!</v>
      </c>
      <c r="I8" s="14" t="e">
        <f>#REF!</f>
        <v>#REF!</v>
      </c>
      <c r="J8" s="14" t="e">
        <f>#REF!</f>
        <v>#REF!</v>
      </c>
      <c r="K8" s="36" t="e">
        <f>#REF!</f>
        <v>#REF!</v>
      </c>
      <c r="L8" s="18" t="e">
        <f t="shared" si="1"/>
        <v>#REF!</v>
      </c>
      <c r="M8" s="37" t="s">
        <v>54</v>
      </c>
      <c r="N8" s="16"/>
      <c r="O8" s="16"/>
      <c r="P8" s="16"/>
      <c r="Q8" s="16"/>
      <c r="R8" s="16"/>
      <c r="S8" s="16"/>
      <c r="T8" s="16"/>
      <c r="U8" s="16"/>
      <c r="V8" s="16"/>
      <c r="W8" s="16"/>
      <c r="X8" s="16"/>
      <c r="Y8" s="16"/>
      <c r="Z8" s="16"/>
    </row>
    <row r="9" spans="1:26" ht="26.25" customHeight="1">
      <c r="A9" s="21" t="e">
        <f>#REF!</f>
        <v>#REF!</v>
      </c>
      <c r="B9" s="38" t="e">
        <f>#REF!</f>
        <v>#REF!</v>
      </c>
      <c r="C9" s="11"/>
      <c r="D9" s="12" t="s">
        <v>58</v>
      </c>
      <c r="E9" s="11" t="e">
        <f t="shared" si="0"/>
        <v>#REF!</v>
      </c>
      <c r="F9" s="14" t="e">
        <f>#REF!</f>
        <v>#REF!</v>
      </c>
      <c r="G9" s="14" t="e">
        <f>#REF!</f>
        <v>#REF!</v>
      </c>
      <c r="H9" s="14" t="e">
        <f>#REF!</f>
        <v>#REF!</v>
      </c>
      <c r="I9" s="14" t="e">
        <f>#REF!</f>
        <v>#REF!</v>
      </c>
      <c r="J9" s="14" t="e">
        <f>#REF!</f>
        <v>#REF!</v>
      </c>
      <c r="K9" s="36" t="e">
        <f>#REF!</f>
        <v>#REF!</v>
      </c>
      <c r="L9" s="18" t="e">
        <f t="shared" si="1"/>
        <v>#REF!</v>
      </c>
      <c r="M9" s="37" t="s">
        <v>54</v>
      </c>
      <c r="N9" s="16"/>
      <c r="O9" s="16"/>
      <c r="P9" s="16"/>
      <c r="Q9" s="16"/>
      <c r="R9" s="16"/>
      <c r="S9" s="16"/>
      <c r="T9" s="16"/>
      <c r="U9" s="16"/>
      <c r="V9" s="16"/>
      <c r="W9" s="16"/>
      <c r="X9" s="16"/>
      <c r="Y9" s="16"/>
      <c r="Z9" s="16"/>
    </row>
    <row r="10" spans="1:26" ht="26.25" customHeight="1">
      <c r="A10" s="21" t="e">
        <f>#REF!</f>
        <v>#REF!</v>
      </c>
      <c r="B10" s="38" t="e">
        <f>#REF!</f>
        <v>#REF!</v>
      </c>
      <c r="C10" s="11"/>
      <c r="D10" s="12"/>
      <c r="E10" s="11" t="e">
        <f t="shared" si="0"/>
        <v>#REF!</v>
      </c>
      <c r="F10" s="14" t="e">
        <f>#REF!</f>
        <v>#REF!</v>
      </c>
      <c r="G10" s="14" t="e">
        <f>#REF!</f>
        <v>#REF!</v>
      </c>
      <c r="H10" s="14" t="e">
        <f>#REF!</f>
        <v>#REF!</v>
      </c>
      <c r="I10" s="14" t="e">
        <f>#REF!</f>
        <v>#REF!</v>
      </c>
      <c r="J10" s="14" t="e">
        <f>#REF!</f>
        <v>#REF!</v>
      </c>
      <c r="K10" s="36" t="e">
        <f>#REF!</f>
        <v>#REF!</v>
      </c>
      <c r="L10" s="18" t="e">
        <f t="shared" si="1"/>
        <v>#REF!</v>
      </c>
      <c r="M10" s="37" t="s">
        <v>54</v>
      </c>
      <c r="N10" s="16"/>
      <c r="O10" s="16"/>
      <c r="P10" s="16"/>
      <c r="Q10" s="16"/>
      <c r="R10" s="16"/>
      <c r="S10" s="16"/>
      <c r="T10" s="16"/>
      <c r="U10" s="16"/>
      <c r="V10" s="16"/>
      <c r="W10" s="16"/>
      <c r="X10" s="16"/>
      <c r="Y10" s="16"/>
      <c r="Z10" s="16"/>
    </row>
    <row r="11" spans="1:26" ht="26.25" customHeight="1">
      <c r="A11" s="21" t="e">
        <f>#REF!</f>
        <v>#REF!</v>
      </c>
      <c r="B11" s="38" t="e">
        <f>#REF!</f>
        <v>#REF!</v>
      </c>
      <c r="C11" s="11"/>
      <c r="D11" s="12" t="s">
        <v>59</v>
      </c>
      <c r="E11" s="11" t="e">
        <f t="shared" si="0"/>
        <v>#REF!</v>
      </c>
      <c r="F11" s="14" t="e">
        <f>#REF!</f>
        <v>#REF!</v>
      </c>
      <c r="G11" s="14" t="e">
        <f>#REF!</f>
        <v>#REF!</v>
      </c>
      <c r="H11" s="14" t="e">
        <f>#REF!</f>
        <v>#REF!</v>
      </c>
      <c r="I11" s="14" t="e">
        <f>#REF!</f>
        <v>#REF!</v>
      </c>
      <c r="J11" s="14" t="e">
        <f>#REF!</f>
        <v>#REF!</v>
      </c>
      <c r="K11" s="36" t="e">
        <f>#REF!</f>
        <v>#REF!</v>
      </c>
      <c r="L11" s="18" t="e">
        <f t="shared" si="1"/>
        <v>#REF!</v>
      </c>
      <c r="M11" s="37" t="s">
        <v>54</v>
      </c>
      <c r="N11" s="16"/>
      <c r="O11" s="16"/>
      <c r="P11" s="16"/>
      <c r="Q11" s="16"/>
      <c r="R11" s="16"/>
      <c r="S11" s="16"/>
      <c r="T11" s="16"/>
      <c r="U11" s="16"/>
      <c r="V11" s="16"/>
      <c r="W11" s="16"/>
      <c r="X11" s="16"/>
      <c r="Y11" s="16"/>
      <c r="Z11" s="16"/>
    </row>
    <row r="12" spans="1:26" ht="26.25" customHeight="1">
      <c r="A12" s="21" t="e">
        <f>#REF!</f>
        <v>#REF!</v>
      </c>
      <c r="B12" s="38" t="e">
        <f>#REF!</f>
        <v>#REF!</v>
      </c>
      <c r="C12" s="11" t="s">
        <v>45</v>
      </c>
      <c r="D12" s="12"/>
      <c r="E12" s="11" t="e">
        <f t="shared" si="0"/>
        <v>#REF!</v>
      </c>
      <c r="F12" s="14" t="e">
        <f>#REF!</f>
        <v>#REF!</v>
      </c>
      <c r="G12" s="14" t="e">
        <f>#REF!</f>
        <v>#REF!</v>
      </c>
      <c r="H12" s="14" t="e">
        <f>#REF!</f>
        <v>#REF!</v>
      </c>
      <c r="I12" s="14" t="e">
        <f>#REF!</f>
        <v>#REF!</v>
      </c>
      <c r="J12" s="14" t="e">
        <f>#REF!</f>
        <v>#REF!</v>
      </c>
      <c r="K12" s="36" t="e">
        <f>#REF!</f>
        <v>#REF!</v>
      </c>
      <c r="L12" s="18" t="e">
        <f t="shared" si="1"/>
        <v>#REF!</v>
      </c>
      <c r="M12" s="37" t="s">
        <v>54</v>
      </c>
      <c r="N12" s="16"/>
      <c r="O12" s="16"/>
      <c r="P12" s="16"/>
      <c r="Q12" s="16"/>
      <c r="R12" s="16"/>
      <c r="S12" s="16"/>
      <c r="T12" s="16"/>
      <c r="U12" s="16"/>
      <c r="V12" s="16"/>
      <c r="W12" s="16"/>
      <c r="X12" s="16"/>
      <c r="Y12" s="16"/>
      <c r="Z12" s="16"/>
    </row>
    <row r="13" spans="1:26" ht="26.25" customHeight="1">
      <c r="A13" s="21" t="e">
        <f>#REF!</f>
        <v>#REF!</v>
      </c>
      <c r="B13" s="38" t="e">
        <f>#REF!</f>
        <v>#REF!</v>
      </c>
      <c r="C13" s="11"/>
      <c r="D13" s="17"/>
      <c r="E13" s="11" t="e">
        <f t="shared" si="0"/>
        <v>#REF!</v>
      </c>
      <c r="F13" s="14" t="e">
        <f>#REF!</f>
        <v>#REF!</v>
      </c>
      <c r="G13" s="14" t="e">
        <f>#REF!</f>
        <v>#REF!</v>
      </c>
      <c r="H13" s="14" t="e">
        <f>#REF!</f>
        <v>#REF!</v>
      </c>
      <c r="I13" s="14" t="e">
        <f>#REF!</f>
        <v>#REF!</v>
      </c>
      <c r="J13" s="14" t="e">
        <f>#REF!</f>
        <v>#REF!</v>
      </c>
      <c r="K13" s="36" t="e">
        <f>#REF!</f>
        <v>#REF!</v>
      </c>
      <c r="L13" s="18" t="e">
        <f t="shared" si="1"/>
        <v>#REF!</v>
      </c>
      <c r="M13" s="37" t="s">
        <v>54</v>
      </c>
      <c r="N13" s="16"/>
      <c r="O13" s="16"/>
      <c r="P13" s="16"/>
      <c r="Q13" s="16"/>
      <c r="R13" s="16"/>
      <c r="S13" s="16"/>
      <c r="T13" s="16"/>
      <c r="U13" s="16"/>
      <c r="V13" s="16"/>
      <c r="W13" s="16"/>
      <c r="X13" s="16"/>
      <c r="Y13" s="16"/>
      <c r="Z13" s="16"/>
    </row>
    <row r="14" spans="1:26" ht="26.25" customHeight="1">
      <c r="A14" s="21" t="e">
        <f>#REF!</f>
        <v>#REF!</v>
      </c>
      <c r="B14" s="38" t="e">
        <f>#REF!</f>
        <v>#REF!</v>
      </c>
      <c r="C14" s="11"/>
      <c r="D14" s="12"/>
      <c r="E14" s="11" t="e">
        <f t="shared" si="0"/>
        <v>#REF!</v>
      </c>
      <c r="F14" s="14" t="e">
        <f>#REF!</f>
        <v>#REF!</v>
      </c>
      <c r="G14" s="14" t="e">
        <f>#REF!</f>
        <v>#REF!</v>
      </c>
      <c r="H14" s="14" t="e">
        <f>#REF!</f>
        <v>#REF!</v>
      </c>
      <c r="I14" s="14" t="e">
        <f>#REF!</f>
        <v>#REF!</v>
      </c>
      <c r="J14" s="14" t="e">
        <f>#REF!</f>
        <v>#REF!</v>
      </c>
      <c r="K14" s="36" t="e">
        <f>#REF!</f>
        <v>#REF!</v>
      </c>
      <c r="L14" s="18" t="e">
        <f t="shared" si="1"/>
        <v>#REF!</v>
      </c>
      <c r="M14" s="37" t="s">
        <v>54</v>
      </c>
      <c r="N14" s="16"/>
      <c r="O14" s="16"/>
      <c r="P14" s="16"/>
      <c r="Q14" s="16"/>
      <c r="R14" s="16"/>
      <c r="S14" s="16"/>
      <c r="T14" s="16"/>
      <c r="U14" s="16"/>
      <c r="V14" s="16"/>
      <c r="W14" s="16"/>
      <c r="X14" s="16"/>
      <c r="Y14" s="16"/>
      <c r="Z14" s="16"/>
    </row>
    <row r="15" spans="1:26" ht="26.25" customHeight="1">
      <c r="A15" s="21" t="e">
        <f>#REF!</f>
        <v>#REF!</v>
      </c>
      <c r="B15" s="38" t="e">
        <f>#REF!</f>
        <v>#REF!</v>
      </c>
      <c r="C15" s="11"/>
      <c r="D15" s="12"/>
      <c r="E15" s="11" t="e">
        <f t="shared" si="0"/>
        <v>#REF!</v>
      </c>
      <c r="F15" s="14" t="e">
        <f>#REF!</f>
        <v>#REF!</v>
      </c>
      <c r="G15" s="14" t="e">
        <f>#REF!</f>
        <v>#REF!</v>
      </c>
      <c r="H15" s="14" t="e">
        <f>#REF!</f>
        <v>#REF!</v>
      </c>
      <c r="I15" s="14" t="e">
        <f>#REF!</f>
        <v>#REF!</v>
      </c>
      <c r="J15" s="14" t="e">
        <f>#REF!</f>
        <v>#REF!</v>
      </c>
      <c r="K15" s="36" t="e">
        <f>#REF!</f>
        <v>#REF!</v>
      </c>
      <c r="L15" s="18" t="e">
        <f t="shared" si="1"/>
        <v>#REF!</v>
      </c>
      <c r="M15" s="37" t="s">
        <v>54</v>
      </c>
      <c r="N15" s="16"/>
      <c r="O15" s="16"/>
      <c r="P15" s="16"/>
      <c r="Q15" s="16"/>
      <c r="R15" s="16"/>
      <c r="S15" s="16"/>
      <c r="T15" s="16"/>
      <c r="U15" s="16"/>
      <c r="V15" s="16"/>
      <c r="W15" s="16"/>
      <c r="X15" s="16"/>
      <c r="Y15" s="16"/>
      <c r="Z15" s="16"/>
    </row>
    <row r="16" spans="1:26" ht="26.25" customHeight="1">
      <c r="A16" s="21" t="e">
        <f>#REF!</f>
        <v>#REF!</v>
      </c>
      <c r="B16" s="38" t="e">
        <f>#REF!</f>
        <v>#REF!</v>
      </c>
      <c r="C16" s="11"/>
      <c r="D16" s="12"/>
      <c r="E16" s="11" t="e">
        <f t="shared" si="0"/>
        <v>#REF!</v>
      </c>
      <c r="F16" s="14" t="e">
        <f>#REF!</f>
        <v>#REF!</v>
      </c>
      <c r="G16" s="14" t="e">
        <f>#REF!</f>
        <v>#REF!</v>
      </c>
      <c r="H16" s="14" t="e">
        <f>#REF!</f>
        <v>#REF!</v>
      </c>
      <c r="I16" s="14" t="e">
        <f>#REF!</f>
        <v>#REF!</v>
      </c>
      <c r="J16" s="14" t="e">
        <f>#REF!</f>
        <v>#REF!</v>
      </c>
      <c r="K16" s="36" t="e">
        <f>#REF!</f>
        <v>#REF!</v>
      </c>
      <c r="L16" s="18" t="e">
        <f t="shared" si="1"/>
        <v>#REF!</v>
      </c>
      <c r="M16" s="37" t="s">
        <v>54</v>
      </c>
      <c r="N16" s="16"/>
      <c r="O16" s="16"/>
      <c r="P16" s="16"/>
      <c r="Q16" s="16"/>
      <c r="R16" s="16"/>
      <c r="S16" s="16"/>
      <c r="T16" s="16"/>
      <c r="U16" s="16"/>
      <c r="V16" s="16"/>
      <c r="W16" s="16"/>
      <c r="X16" s="16"/>
      <c r="Y16" s="16"/>
      <c r="Z16" s="16"/>
    </row>
    <row r="17" spans="1:26" ht="26.25" customHeight="1">
      <c r="A17" s="21" t="e">
        <f>#REF!</f>
        <v>#REF!</v>
      </c>
      <c r="B17" s="38" t="e">
        <f>#REF!</f>
        <v>#REF!</v>
      </c>
      <c r="C17" s="11"/>
      <c r="D17" s="12"/>
      <c r="E17" s="22" t="e">
        <f t="shared" si="0"/>
        <v>#REF!</v>
      </c>
      <c r="F17" s="14" t="e">
        <f>#REF!</f>
        <v>#REF!</v>
      </c>
      <c r="G17" s="14" t="e">
        <f>#REF!</f>
        <v>#REF!</v>
      </c>
      <c r="H17" s="14" t="e">
        <f>#REF!</f>
        <v>#REF!</v>
      </c>
      <c r="I17" s="14" t="e">
        <f>#REF!</f>
        <v>#REF!</v>
      </c>
      <c r="J17" s="14" t="e">
        <f>#REF!</f>
        <v>#REF!</v>
      </c>
      <c r="K17" s="36" t="e">
        <f>#REF!</f>
        <v>#REF!</v>
      </c>
      <c r="L17" s="18" t="e">
        <f t="shared" si="1"/>
        <v>#REF!</v>
      </c>
      <c r="M17" s="37" t="s">
        <v>54</v>
      </c>
      <c r="N17" s="16"/>
      <c r="O17" s="16"/>
      <c r="P17" s="16"/>
      <c r="Q17" s="16"/>
      <c r="R17" s="16"/>
      <c r="S17" s="16"/>
      <c r="T17" s="16"/>
      <c r="U17" s="16"/>
      <c r="V17" s="16"/>
      <c r="W17" s="16"/>
      <c r="X17" s="16"/>
      <c r="Y17" s="16"/>
      <c r="Z17" s="16"/>
    </row>
    <row r="18" spans="1:26" ht="26.25" customHeight="1">
      <c r="A18" s="21" t="e">
        <f>#REF!</f>
        <v>#REF!</v>
      </c>
      <c r="B18" s="38" t="e">
        <f>#REF!</f>
        <v>#REF!</v>
      </c>
      <c r="C18" s="11"/>
      <c r="D18" s="12"/>
      <c r="E18" s="22" t="e">
        <f t="shared" si="0"/>
        <v>#REF!</v>
      </c>
      <c r="F18" s="14" t="e">
        <f>#REF!</f>
        <v>#REF!</v>
      </c>
      <c r="G18" s="14" t="e">
        <f>#REF!</f>
        <v>#REF!</v>
      </c>
      <c r="H18" s="14" t="e">
        <f>#REF!</f>
        <v>#REF!</v>
      </c>
      <c r="I18" s="14" t="e">
        <f>#REF!</f>
        <v>#REF!</v>
      </c>
      <c r="J18" s="14" t="e">
        <f>#REF!</f>
        <v>#REF!</v>
      </c>
      <c r="K18" s="36" t="e">
        <f>#REF!</f>
        <v>#REF!</v>
      </c>
      <c r="L18" s="18" t="e">
        <f t="shared" si="1"/>
        <v>#REF!</v>
      </c>
      <c r="M18" s="37" t="s">
        <v>54</v>
      </c>
      <c r="N18" s="16"/>
      <c r="O18" s="16"/>
      <c r="P18" s="16"/>
      <c r="Q18" s="16"/>
      <c r="R18" s="16"/>
      <c r="S18" s="16"/>
      <c r="T18" s="16"/>
      <c r="U18" s="16"/>
      <c r="V18" s="16"/>
      <c r="W18" s="16"/>
      <c r="X18" s="16"/>
      <c r="Y18" s="16"/>
      <c r="Z18" s="16"/>
    </row>
    <row r="19" spans="1:26" ht="26.25" customHeight="1">
      <c r="A19" s="21" t="e">
        <f>#REF!</f>
        <v>#REF!</v>
      </c>
      <c r="B19" s="38" t="e">
        <f>#REF!</f>
        <v>#REF!</v>
      </c>
      <c r="C19" s="11"/>
      <c r="D19" s="12"/>
      <c r="E19" s="22" t="e">
        <f t="shared" si="0"/>
        <v>#REF!</v>
      </c>
      <c r="F19" s="14" t="e">
        <f>#REF!</f>
        <v>#REF!</v>
      </c>
      <c r="G19" s="14" t="e">
        <f>#REF!</f>
        <v>#REF!</v>
      </c>
      <c r="H19" s="14" t="e">
        <f>#REF!</f>
        <v>#REF!</v>
      </c>
      <c r="I19" s="14" t="e">
        <f>#REF!</f>
        <v>#REF!</v>
      </c>
      <c r="J19" s="14" t="e">
        <f>#REF!</f>
        <v>#REF!</v>
      </c>
      <c r="K19" s="36" t="e">
        <f>#REF!</f>
        <v>#REF!</v>
      </c>
      <c r="L19" s="18" t="e">
        <f t="shared" si="1"/>
        <v>#REF!</v>
      </c>
      <c r="M19" s="37" t="s">
        <v>54</v>
      </c>
      <c r="N19" s="16"/>
      <c r="O19" s="16"/>
      <c r="P19" s="16"/>
      <c r="Q19" s="16"/>
      <c r="R19" s="16"/>
      <c r="S19" s="16"/>
      <c r="T19" s="16"/>
      <c r="U19" s="16"/>
      <c r="V19" s="16"/>
      <c r="W19" s="16"/>
      <c r="X19" s="16"/>
      <c r="Y19" s="16"/>
      <c r="Z19" s="16"/>
    </row>
    <row r="20" spans="1:26" ht="26.25" customHeight="1">
      <c r="A20" s="21" t="e">
        <f>#REF!</f>
        <v>#REF!</v>
      </c>
      <c r="B20" s="38" t="e">
        <f>#REF!</f>
        <v>#REF!</v>
      </c>
      <c r="C20" s="39" t="s">
        <v>46</v>
      </c>
      <c r="D20" s="40" t="s">
        <v>47</v>
      </c>
      <c r="E20" s="41"/>
      <c r="F20" s="14" t="e">
        <f>#REF!</f>
        <v>#REF!</v>
      </c>
      <c r="G20" s="14" t="e">
        <f>#REF!</f>
        <v>#REF!</v>
      </c>
      <c r="H20" s="14" t="e">
        <f>#REF!</f>
        <v>#REF!</v>
      </c>
      <c r="I20" s="14" t="e">
        <f>#REF!</f>
        <v>#REF!</v>
      </c>
      <c r="J20" s="14" t="e">
        <f>#REF!</f>
        <v>#REF!</v>
      </c>
      <c r="K20" s="36" t="e">
        <f>#REF!</f>
        <v>#REF!</v>
      </c>
      <c r="L20" s="18" t="e">
        <f t="shared" si="1"/>
        <v>#REF!</v>
      </c>
      <c r="M20" s="37" t="s">
        <v>54</v>
      </c>
      <c r="N20" s="16"/>
      <c r="O20" s="16"/>
      <c r="P20" s="16"/>
      <c r="Q20" s="16"/>
      <c r="R20" s="16"/>
      <c r="S20" s="16"/>
      <c r="T20" s="16"/>
      <c r="U20" s="16"/>
      <c r="V20" s="16"/>
      <c r="W20" s="16"/>
      <c r="X20" s="16"/>
      <c r="Y20" s="16"/>
      <c r="Z20" s="16"/>
    </row>
    <row r="21" spans="1:26" ht="26.25" customHeight="1">
      <c r="A21" s="21" t="e">
        <f>#REF!</f>
        <v>#REF!</v>
      </c>
      <c r="B21" s="38" t="e">
        <f>#REF!</f>
        <v>#REF!</v>
      </c>
      <c r="C21" s="11"/>
      <c r="D21" s="12"/>
      <c r="E21" s="22" t="e">
        <f t="shared" ref="E21:E36" si="2">A21</f>
        <v>#REF!</v>
      </c>
      <c r="F21" s="14" t="e">
        <f>#REF!</f>
        <v>#REF!</v>
      </c>
      <c r="G21" s="14" t="e">
        <f>#REF!</f>
        <v>#REF!</v>
      </c>
      <c r="H21" s="14" t="e">
        <f>#REF!</f>
        <v>#REF!</v>
      </c>
      <c r="I21" s="14" t="e">
        <f>#REF!</f>
        <v>#REF!</v>
      </c>
      <c r="J21" s="14" t="e">
        <f>#REF!</f>
        <v>#REF!</v>
      </c>
      <c r="K21" s="36" t="e">
        <f>#REF!</f>
        <v>#REF!</v>
      </c>
      <c r="L21" s="18" t="e">
        <f t="shared" si="1"/>
        <v>#REF!</v>
      </c>
      <c r="M21" s="37" t="s">
        <v>54</v>
      </c>
      <c r="N21" s="16"/>
      <c r="O21" s="16"/>
      <c r="P21" s="16"/>
      <c r="Q21" s="16"/>
      <c r="R21" s="16"/>
      <c r="S21" s="16"/>
      <c r="T21" s="16"/>
      <c r="U21" s="16"/>
      <c r="V21" s="16"/>
      <c r="W21" s="16"/>
      <c r="X21" s="16"/>
      <c r="Y21" s="16"/>
      <c r="Z21" s="16"/>
    </row>
    <row r="22" spans="1:26" ht="26.25" customHeight="1">
      <c r="A22" s="21" t="e">
        <f>#REF!</f>
        <v>#REF!</v>
      </c>
      <c r="B22" s="38" t="e">
        <f>#REF!</f>
        <v>#REF!</v>
      </c>
      <c r="C22" s="11" t="s">
        <v>49</v>
      </c>
      <c r="D22" s="12"/>
      <c r="E22" s="22" t="e">
        <f t="shared" si="2"/>
        <v>#REF!</v>
      </c>
      <c r="F22" s="14" t="e">
        <f>#REF!</f>
        <v>#REF!</v>
      </c>
      <c r="G22" s="14" t="e">
        <f>#REF!</f>
        <v>#REF!</v>
      </c>
      <c r="H22" s="14" t="e">
        <f>#REF!</f>
        <v>#REF!</v>
      </c>
      <c r="I22" s="14" t="e">
        <f>#REF!</f>
        <v>#REF!</v>
      </c>
      <c r="J22" s="14" t="e">
        <f>#REF!</f>
        <v>#REF!</v>
      </c>
      <c r="K22" s="36" t="e">
        <f>#REF!</f>
        <v>#REF!</v>
      </c>
      <c r="L22" s="18" t="e">
        <f t="shared" si="1"/>
        <v>#REF!</v>
      </c>
      <c r="M22" s="37" t="s">
        <v>54</v>
      </c>
      <c r="N22" s="16"/>
      <c r="O22" s="16"/>
      <c r="P22" s="16"/>
      <c r="Q22" s="16"/>
      <c r="R22" s="16"/>
      <c r="S22" s="16"/>
      <c r="T22" s="16"/>
      <c r="U22" s="16"/>
      <c r="V22" s="16"/>
      <c r="W22" s="16"/>
      <c r="X22" s="16"/>
      <c r="Y22" s="16"/>
      <c r="Z22" s="16"/>
    </row>
    <row r="23" spans="1:26" ht="26.25" customHeight="1">
      <c r="A23" s="21" t="e">
        <f>#REF!</f>
        <v>#REF!</v>
      </c>
      <c r="B23" s="38" t="e">
        <f>#REF!</f>
        <v>#REF!</v>
      </c>
      <c r="C23" s="11"/>
      <c r="D23" s="12"/>
      <c r="E23" s="22" t="e">
        <f t="shared" si="2"/>
        <v>#REF!</v>
      </c>
      <c r="F23" s="14" t="e">
        <f>#REF!</f>
        <v>#REF!</v>
      </c>
      <c r="G23" s="14" t="e">
        <f>#REF!</f>
        <v>#REF!</v>
      </c>
      <c r="H23" s="14" t="e">
        <f>#REF!</f>
        <v>#REF!</v>
      </c>
      <c r="I23" s="14" t="e">
        <f>#REF!</f>
        <v>#REF!</v>
      </c>
      <c r="J23" s="14" t="e">
        <f>#REF!</f>
        <v>#REF!</v>
      </c>
      <c r="K23" s="36" t="e">
        <f>#REF!</f>
        <v>#REF!</v>
      </c>
      <c r="L23" s="18" t="e">
        <f t="shared" si="1"/>
        <v>#REF!</v>
      </c>
      <c r="M23" s="37" t="s">
        <v>54</v>
      </c>
      <c r="N23" s="16"/>
      <c r="O23" s="16"/>
      <c r="P23" s="16"/>
      <c r="Q23" s="16"/>
      <c r="R23" s="16"/>
      <c r="S23" s="16"/>
      <c r="T23" s="16"/>
      <c r="U23" s="16"/>
      <c r="V23" s="16"/>
      <c r="W23" s="16"/>
      <c r="X23" s="16"/>
      <c r="Y23" s="16"/>
      <c r="Z23" s="16"/>
    </row>
    <row r="24" spans="1:26" ht="26.25" customHeight="1">
      <c r="A24" s="21" t="e">
        <f>#REF!</f>
        <v>#REF!</v>
      </c>
      <c r="B24" s="38" t="e">
        <f>#REF!</f>
        <v>#REF!</v>
      </c>
      <c r="C24" s="11" t="s">
        <v>48</v>
      </c>
      <c r="D24" s="12"/>
      <c r="E24" s="22" t="e">
        <f t="shared" si="2"/>
        <v>#REF!</v>
      </c>
      <c r="F24" s="14" t="e">
        <f>#REF!</f>
        <v>#REF!</v>
      </c>
      <c r="G24" s="14" t="e">
        <f>#REF!</f>
        <v>#REF!</v>
      </c>
      <c r="H24" s="14" t="e">
        <f>#REF!</f>
        <v>#REF!</v>
      </c>
      <c r="I24" s="14" t="e">
        <f>#REF!</f>
        <v>#REF!</v>
      </c>
      <c r="J24" s="14" t="e">
        <f>#REF!</f>
        <v>#REF!</v>
      </c>
      <c r="K24" s="36" t="e">
        <f>#REF!</f>
        <v>#REF!</v>
      </c>
      <c r="L24" s="18" t="e">
        <f t="shared" si="1"/>
        <v>#REF!</v>
      </c>
      <c r="M24" s="37" t="s">
        <v>54</v>
      </c>
      <c r="N24" s="16"/>
      <c r="O24" s="16"/>
      <c r="P24" s="16"/>
      <c r="Q24" s="16"/>
      <c r="R24" s="16"/>
      <c r="S24" s="16"/>
      <c r="T24" s="16"/>
      <c r="U24" s="16"/>
      <c r="V24" s="16"/>
      <c r="W24" s="16"/>
      <c r="X24" s="16"/>
      <c r="Y24" s="16"/>
      <c r="Z24" s="16"/>
    </row>
    <row r="25" spans="1:26" ht="26.25" customHeight="1">
      <c r="A25" s="21" t="e">
        <f>#REF!</f>
        <v>#REF!</v>
      </c>
      <c r="B25" s="38" t="e">
        <f>#REF!</f>
        <v>#REF!</v>
      </c>
      <c r="C25" s="11" t="s">
        <v>50</v>
      </c>
      <c r="D25" s="12"/>
      <c r="E25" s="22" t="e">
        <f t="shared" si="2"/>
        <v>#REF!</v>
      </c>
      <c r="F25" s="14" t="e">
        <f>#REF!</f>
        <v>#REF!</v>
      </c>
      <c r="G25" s="14" t="e">
        <f>#REF!</f>
        <v>#REF!</v>
      </c>
      <c r="H25" s="14" t="e">
        <f>#REF!</f>
        <v>#REF!</v>
      </c>
      <c r="I25" s="14" t="e">
        <f>#REF!</f>
        <v>#REF!</v>
      </c>
      <c r="J25" s="14" t="e">
        <f>#REF!</f>
        <v>#REF!</v>
      </c>
      <c r="K25" s="36" t="e">
        <f>#REF!</f>
        <v>#REF!</v>
      </c>
      <c r="L25" s="18" t="e">
        <f t="shared" si="1"/>
        <v>#REF!</v>
      </c>
      <c r="M25" s="37" t="s">
        <v>54</v>
      </c>
      <c r="N25" s="16"/>
      <c r="O25" s="16"/>
      <c r="P25" s="16"/>
      <c r="Q25" s="16"/>
      <c r="R25" s="16"/>
      <c r="S25" s="16"/>
      <c r="T25" s="16"/>
      <c r="U25" s="16"/>
      <c r="V25" s="16"/>
      <c r="W25" s="16"/>
      <c r="X25" s="16"/>
      <c r="Y25" s="16"/>
      <c r="Z25" s="16"/>
    </row>
    <row r="26" spans="1:26" ht="26.25" customHeight="1">
      <c r="A26" s="21" t="e">
        <f>#REF!</f>
        <v>#REF!</v>
      </c>
      <c r="B26" s="38" t="e">
        <f>#REF!</f>
        <v>#REF!</v>
      </c>
      <c r="C26" s="11" t="s">
        <v>60</v>
      </c>
      <c r="D26" s="12"/>
      <c r="E26" s="22" t="e">
        <f t="shared" si="2"/>
        <v>#REF!</v>
      </c>
      <c r="F26" s="14" t="e">
        <f>#REF!</f>
        <v>#REF!</v>
      </c>
      <c r="G26" s="14" t="e">
        <f>#REF!</f>
        <v>#REF!</v>
      </c>
      <c r="H26" s="14" t="e">
        <f>#REF!</f>
        <v>#REF!</v>
      </c>
      <c r="I26" s="14" t="e">
        <f>#REF!</f>
        <v>#REF!</v>
      </c>
      <c r="J26" s="14" t="e">
        <f>#REF!</f>
        <v>#REF!</v>
      </c>
      <c r="K26" s="36" t="e">
        <f>#REF!</f>
        <v>#REF!</v>
      </c>
      <c r="L26" s="18" t="e">
        <f t="shared" si="1"/>
        <v>#REF!</v>
      </c>
      <c r="M26" s="37" t="s">
        <v>54</v>
      </c>
      <c r="N26" s="16"/>
      <c r="O26" s="16"/>
      <c r="P26" s="16"/>
      <c r="Q26" s="16"/>
      <c r="R26" s="16"/>
      <c r="S26" s="16"/>
      <c r="T26" s="16"/>
      <c r="U26" s="16"/>
      <c r="V26" s="16"/>
      <c r="W26" s="16"/>
      <c r="X26" s="16"/>
      <c r="Y26" s="16"/>
      <c r="Z26" s="16"/>
    </row>
    <row r="27" spans="1:26" ht="26.25" customHeight="1">
      <c r="A27" s="21" t="e">
        <f>#REF!</f>
        <v>#REF!</v>
      </c>
      <c r="B27" s="38" t="e">
        <f>#REF!</f>
        <v>#REF!</v>
      </c>
      <c r="C27" s="11" t="s">
        <v>52</v>
      </c>
      <c r="D27" s="12"/>
      <c r="E27" s="22" t="e">
        <f t="shared" si="2"/>
        <v>#REF!</v>
      </c>
      <c r="F27" s="14" t="e">
        <f>#REF!</f>
        <v>#REF!</v>
      </c>
      <c r="G27" s="14" t="e">
        <f>#REF!</f>
        <v>#REF!</v>
      </c>
      <c r="H27" s="14" t="e">
        <f>#REF!</f>
        <v>#REF!</v>
      </c>
      <c r="I27" s="14" t="e">
        <f>#REF!</f>
        <v>#REF!</v>
      </c>
      <c r="J27" s="14" t="e">
        <f>#REF!</f>
        <v>#REF!</v>
      </c>
      <c r="K27" s="36" t="e">
        <f>#REF!</f>
        <v>#REF!</v>
      </c>
      <c r="L27" s="18" t="e">
        <f t="shared" si="1"/>
        <v>#REF!</v>
      </c>
      <c r="M27" s="37" t="s">
        <v>54</v>
      </c>
      <c r="N27" s="16"/>
      <c r="O27" s="16"/>
      <c r="P27" s="16"/>
      <c r="Q27" s="16"/>
      <c r="R27" s="16"/>
      <c r="S27" s="16"/>
      <c r="T27" s="16"/>
      <c r="U27" s="16"/>
      <c r="V27" s="16"/>
      <c r="W27" s="16"/>
      <c r="X27" s="16"/>
      <c r="Y27" s="16"/>
      <c r="Z27" s="16"/>
    </row>
    <row r="28" spans="1:26" ht="26.25" customHeight="1">
      <c r="A28" s="21" t="e">
        <f>#REF!</f>
        <v>#REF!</v>
      </c>
      <c r="B28" s="38" t="e">
        <f>#REF!</f>
        <v>#REF!</v>
      </c>
      <c r="C28" s="11"/>
      <c r="D28" s="12"/>
      <c r="E28" s="22" t="e">
        <f t="shared" si="2"/>
        <v>#REF!</v>
      </c>
      <c r="F28" s="14" t="e">
        <f>#REF!</f>
        <v>#REF!</v>
      </c>
      <c r="G28" s="14" t="e">
        <f>#REF!</f>
        <v>#REF!</v>
      </c>
      <c r="H28" s="14" t="e">
        <f>#REF!</f>
        <v>#REF!</v>
      </c>
      <c r="I28" s="14" t="e">
        <f>#REF!</f>
        <v>#REF!</v>
      </c>
      <c r="J28" s="14" t="e">
        <f>#REF!</f>
        <v>#REF!</v>
      </c>
      <c r="K28" s="36" t="e">
        <f>#REF!</f>
        <v>#REF!</v>
      </c>
      <c r="L28" s="18" t="e">
        <f t="shared" si="1"/>
        <v>#REF!</v>
      </c>
      <c r="M28" s="37" t="s">
        <v>54</v>
      </c>
      <c r="N28" s="16"/>
      <c r="O28" s="16"/>
      <c r="P28" s="16"/>
      <c r="Q28" s="16"/>
      <c r="R28" s="16"/>
      <c r="S28" s="16"/>
      <c r="T28" s="16"/>
      <c r="U28" s="16"/>
      <c r="V28" s="16"/>
      <c r="W28" s="16"/>
      <c r="X28" s="16"/>
      <c r="Y28" s="16"/>
      <c r="Z28" s="16"/>
    </row>
    <row r="29" spans="1:26" ht="26.25" customHeight="1">
      <c r="A29" s="21" t="e">
        <f>#REF!</f>
        <v>#REF!</v>
      </c>
      <c r="B29" s="38" t="e">
        <f>#REF!</f>
        <v>#REF!</v>
      </c>
      <c r="C29" s="11"/>
      <c r="D29" s="12"/>
      <c r="E29" s="22" t="e">
        <f t="shared" si="2"/>
        <v>#REF!</v>
      </c>
      <c r="F29" s="14" t="e">
        <f>#REF!</f>
        <v>#REF!</v>
      </c>
      <c r="G29" s="14" t="e">
        <f>#REF!</f>
        <v>#REF!</v>
      </c>
      <c r="H29" s="14" t="e">
        <f>#REF!</f>
        <v>#REF!</v>
      </c>
      <c r="I29" s="14" t="e">
        <f>#REF!</f>
        <v>#REF!</v>
      </c>
      <c r="J29" s="14" t="e">
        <f>#REF!</f>
        <v>#REF!</v>
      </c>
      <c r="K29" s="36" t="e">
        <f>#REF!</f>
        <v>#REF!</v>
      </c>
      <c r="L29" s="18" t="e">
        <f t="shared" si="1"/>
        <v>#REF!</v>
      </c>
      <c r="M29" s="37" t="s">
        <v>54</v>
      </c>
      <c r="N29" s="16"/>
      <c r="O29" s="16"/>
      <c r="P29" s="16"/>
      <c r="Q29" s="16"/>
      <c r="R29" s="16"/>
      <c r="S29" s="16"/>
      <c r="T29" s="16"/>
      <c r="U29" s="16"/>
      <c r="V29" s="16"/>
      <c r="W29" s="16"/>
      <c r="X29" s="16"/>
      <c r="Y29" s="16"/>
      <c r="Z29" s="16"/>
    </row>
    <row r="30" spans="1:26" ht="26.25" customHeight="1">
      <c r="A30" s="21" t="e">
        <f>#REF!</f>
        <v>#REF!</v>
      </c>
      <c r="B30" s="38" t="e">
        <f>#REF!</f>
        <v>#REF!</v>
      </c>
      <c r="C30" s="11"/>
      <c r="D30" s="12"/>
      <c r="E30" s="22" t="e">
        <f t="shared" si="2"/>
        <v>#REF!</v>
      </c>
      <c r="F30" s="14" t="e">
        <f>#REF!</f>
        <v>#REF!</v>
      </c>
      <c r="G30" s="14" t="e">
        <f>#REF!</f>
        <v>#REF!</v>
      </c>
      <c r="H30" s="14" t="e">
        <f>#REF!</f>
        <v>#REF!</v>
      </c>
      <c r="I30" s="14" t="e">
        <f>#REF!</f>
        <v>#REF!</v>
      </c>
      <c r="J30" s="14" t="e">
        <f>#REF!</f>
        <v>#REF!</v>
      </c>
      <c r="K30" s="36" t="e">
        <f>#REF!</f>
        <v>#REF!</v>
      </c>
      <c r="L30" s="18" t="e">
        <f t="shared" si="1"/>
        <v>#REF!</v>
      </c>
      <c r="M30" s="37" t="s">
        <v>54</v>
      </c>
      <c r="N30" s="16"/>
      <c r="O30" s="16"/>
      <c r="P30" s="16"/>
      <c r="Q30" s="16"/>
      <c r="R30" s="16"/>
      <c r="S30" s="16"/>
      <c r="T30" s="16"/>
      <c r="U30" s="16"/>
      <c r="V30" s="16"/>
      <c r="W30" s="16"/>
      <c r="X30" s="16"/>
      <c r="Y30" s="16"/>
      <c r="Z30" s="16"/>
    </row>
    <row r="31" spans="1:26" ht="26.25" customHeight="1">
      <c r="A31" s="21" t="e">
        <f>#REF!</f>
        <v>#REF!</v>
      </c>
      <c r="B31" s="38" t="e">
        <f>#REF!</f>
        <v>#REF!</v>
      </c>
      <c r="C31" s="11"/>
      <c r="D31" s="12"/>
      <c r="E31" s="22" t="e">
        <f t="shared" si="2"/>
        <v>#REF!</v>
      </c>
      <c r="F31" s="14" t="e">
        <f>#REF!</f>
        <v>#REF!</v>
      </c>
      <c r="G31" s="14" t="e">
        <f>#REF!</f>
        <v>#REF!</v>
      </c>
      <c r="H31" s="14" t="e">
        <f>#REF!</f>
        <v>#REF!</v>
      </c>
      <c r="I31" s="14" t="e">
        <f>#REF!</f>
        <v>#REF!</v>
      </c>
      <c r="J31" s="14" t="e">
        <f>#REF!</f>
        <v>#REF!</v>
      </c>
      <c r="K31" s="36" t="e">
        <f>#REF!</f>
        <v>#REF!</v>
      </c>
      <c r="L31" s="18" t="e">
        <f t="shared" si="1"/>
        <v>#REF!</v>
      </c>
      <c r="M31" s="37" t="s">
        <v>54</v>
      </c>
      <c r="N31" s="16"/>
      <c r="O31" s="16"/>
      <c r="P31" s="16"/>
      <c r="Q31" s="16"/>
      <c r="R31" s="16"/>
      <c r="S31" s="16"/>
      <c r="T31" s="16"/>
      <c r="U31" s="16"/>
      <c r="V31" s="16"/>
      <c r="W31" s="16"/>
      <c r="X31" s="16"/>
      <c r="Y31" s="16"/>
      <c r="Z31" s="16"/>
    </row>
    <row r="32" spans="1:26" ht="26.25" customHeight="1">
      <c r="A32" s="21" t="e">
        <f>#REF!</f>
        <v>#REF!</v>
      </c>
      <c r="B32" s="38" t="e">
        <f>#REF!</f>
        <v>#REF!</v>
      </c>
      <c r="C32" s="11"/>
      <c r="D32" s="17"/>
      <c r="E32" s="22" t="e">
        <f t="shared" si="2"/>
        <v>#REF!</v>
      </c>
      <c r="F32" s="14" t="e">
        <f>#REF!</f>
        <v>#REF!</v>
      </c>
      <c r="G32" s="14" t="e">
        <f>#REF!</f>
        <v>#REF!</v>
      </c>
      <c r="H32" s="14" t="e">
        <f>#REF!</f>
        <v>#REF!</v>
      </c>
      <c r="I32" s="14" t="e">
        <f>#REF!</f>
        <v>#REF!</v>
      </c>
      <c r="J32" s="14" t="e">
        <f>#REF!</f>
        <v>#REF!</v>
      </c>
      <c r="K32" s="36" t="e">
        <f>#REF!</f>
        <v>#REF!</v>
      </c>
      <c r="L32" s="18" t="e">
        <f t="shared" si="1"/>
        <v>#REF!</v>
      </c>
      <c r="M32" s="37" t="s">
        <v>54</v>
      </c>
      <c r="N32" s="16"/>
      <c r="O32" s="16"/>
      <c r="P32" s="16"/>
      <c r="Q32" s="16"/>
      <c r="R32" s="16"/>
      <c r="S32" s="16"/>
      <c r="T32" s="16"/>
      <c r="U32" s="16"/>
      <c r="V32" s="16"/>
      <c r="W32" s="16"/>
      <c r="X32" s="16"/>
      <c r="Y32" s="16"/>
      <c r="Z32" s="16"/>
    </row>
    <row r="33" spans="1:26" ht="26.25" customHeight="1">
      <c r="A33" s="21" t="e">
        <f>#REF!</f>
        <v>#REF!</v>
      </c>
      <c r="B33" s="38" t="e">
        <f>#REF!</f>
        <v>#REF!</v>
      </c>
      <c r="C33" s="11"/>
      <c r="D33" s="11"/>
      <c r="E33" s="22" t="e">
        <f t="shared" si="2"/>
        <v>#REF!</v>
      </c>
      <c r="F33" s="14" t="e">
        <f>#REF!</f>
        <v>#REF!</v>
      </c>
      <c r="G33" s="14" t="e">
        <f>#REF!</f>
        <v>#REF!</v>
      </c>
      <c r="H33" s="14" t="e">
        <f>#REF!</f>
        <v>#REF!</v>
      </c>
      <c r="I33" s="14" t="e">
        <f>#REF!</f>
        <v>#REF!</v>
      </c>
      <c r="J33" s="14" t="e">
        <f>#REF!</f>
        <v>#REF!</v>
      </c>
      <c r="K33" s="36" t="e">
        <f>#REF!</f>
        <v>#REF!</v>
      </c>
      <c r="L33" s="18" t="e">
        <f t="shared" si="1"/>
        <v>#REF!</v>
      </c>
      <c r="M33" s="37" t="s">
        <v>54</v>
      </c>
      <c r="N33" s="16"/>
      <c r="O33" s="16"/>
      <c r="P33" s="16"/>
      <c r="Q33" s="16"/>
      <c r="R33" s="16"/>
      <c r="S33" s="16"/>
      <c r="T33" s="16"/>
      <c r="U33" s="16"/>
      <c r="V33" s="16"/>
      <c r="W33" s="16"/>
      <c r="X33" s="16"/>
      <c r="Y33" s="16"/>
      <c r="Z33" s="16"/>
    </row>
    <row r="34" spans="1:26" ht="26.25" customHeight="1">
      <c r="A34" s="1" t="e">
        <f>#REF!</f>
        <v>#REF!</v>
      </c>
      <c r="B34" s="38" t="e">
        <f>#REF!</f>
        <v>#REF!</v>
      </c>
      <c r="C34" s="11"/>
      <c r="D34" s="11"/>
      <c r="E34" s="22" t="e">
        <f t="shared" si="2"/>
        <v>#REF!</v>
      </c>
      <c r="F34" s="14" t="e">
        <f>#REF!</f>
        <v>#REF!</v>
      </c>
      <c r="G34" s="14" t="e">
        <f>#REF!</f>
        <v>#REF!</v>
      </c>
      <c r="H34" s="14" t="e">
        <f>#REF!</f>
        <v>#REF!</v>
      </c>
      <c r="I34" s="14" t="e">
        <f>#REF!</f>
        <v>#REF!</v>
      </c>
      <c r="J34" s="14" t="e">
        <f>#REF!</f>
        <v>#REF!</v>
      </c>
      <c r="K34" s="36" t="e">
        <f>#REF!</f>
        <v>#REF!</v>
      </c>
      <c r="L34" s="18" t="e">
        <f t="shared" si="1"/>
        <v>#REF!</v>
      </c>
      <c r="M34" s="37" t="s">
        <v>54</v>
      </c>
      <c r="N34" s="16"/>
      <c r="O34" s="16"/>
      <c r="P34" s="16"/>
      <c r="Q34" s="16"/>
      <c r="R34" s="16"/>
      <c r="S34" s="16"/>
      <c r="T34" s="16"/>
      <c r="U34" s="16"/>
      <c r="V34" s="16"/>
      <c r="W34" s="16"/>
      <c r="X34" s="16"/>
      <c r="Y34" s="16"/>
      <c r="Z34" s="16"/>
    </row>
    <row r="35" spans="1:26" ht="26.25" customHeight="1">
      <c r="A35" s="1" t="e">
        <f>#REF!</f>
        <v>#REF!</v>
      </c>
      <c r="B35" s="38" t="e">
        <f>#REF!</f>
        <v>#REF!</v>
      </c>
      <c r="C35" s="11"/>
      <c r="D35" s="11"/>
      <c r="E35" s="22" t="e">
        <f t="shared" si="2"/>
        <v>#REF!</v>
      </c>
      <c r="F35" s="14" t="e">
        <f>#REF!</f>
        <v>#REF!</v>
      </c>
      <c r="G35" s="14" t="e">
        <f>#REF!</f>
        <v>#REF!</v>
      </c>
      <c r="H35" s="14" t="e">
        <f>#REF!</f>
        <v>#REF!</v>
      </c>
      <c r="I35" s="14" t="e">
        <f>#REF!</f>
        <v>#REF!</v>
      </c>
      <c r="J35" s="14" t="e">
        <f>#REF!</f>
        <v>#REF!</v>
      </c>
      <c r="K35" s="36" t="e">
        <f>#REF!</f>
        <v>#REF!</v>
      </c>
      <c r="L35" s="18" t="e">
        <f t="shared" si="1"/>
        <v>#REF!</v>
      </c>
      <c r="M35" s="37" t="s">
        <v>54</v>
      </c>
      <c r="N35" s="16"/>
      <c r="O35" s="16"/>
      <c r="P35" s="16"/>
      <c r="Q35" s="16"/>
      <c r="R35" s="16"/>
      <c r="S35" s="16"/>
      <c r="T35" s="16"/>
      <c r="U35" s="16"/>
      <c r="V35" s="16"/>
      <c r="W35" s="16"/>
      <c r="X35" s="16"/>
      <c r="Y35" s="16"/>
      <c r="Z35" s="16"/>
    </row>
    <row r="36" spans="1:26" ht="26.25" customHeight="1">
      <c r="A36" s="1" t="e">
        <f>#REF!</f>
        <v>#REF!</v>
      </c>
      <c r="B36" s="38" t="e">
        <f>#REF!</f>
        <v>#REF!</v>
      </c>
      <c r="C36" s="11"/>
      <c r="D36" s="11"/>
      <c r="E36" s="22" t="e">
        <f t="shared" si="2"/>
        <v>#REF!</v>
      </c>
      <c r="F36" s="14" t="e">
        <f>#REF!</f>
        <v>#REF!</v>
      </c>
      <c r="G36" s="14" t="e">
        <f>#REF!</f>
        <v>#REF!</v>
      </c>
      <c r="H36" s="14" t="e">
        <f>#REF!</f>
        <v>#REF!</v>
      </c>
      <c r="I36" s="14" t="e">
        <f>#REF!</f>
        <v>#REF!</v>
      </c>
      <c r="J36" s="14" t="e">
        <f>#REF!</f>
        <v>#REF!</v>
      </c>
      <c r="K36" s="36" t="e">
        <f>#REF!</f>
        <v>#REF!</v>
      </c>
      <c r="L36" s="18" t="e">
        <f t="shared" si="1"/>
        <v>#REF!</v>
      </c>
      <c r="M36" s="37" t="s">
        <v>54</v>
      </c>
      <c r="N36" s="16"/>
      <c r="O36" s="16"/>
      <c r="P36" s="16"/>
      <c r="Q36" s="16"/>
      <c r="R36" s="16"/>
      <c r="S36" s="16"/>
      <c r="T36" s="16"/>
      <c r="U36" s="16"/>
      <c r="V36" s="16"/>
      <c r="W36" s="16"/>
      <c r="X36" s="16"/>
      <c r="Y36" s="16"/>
      <c r="Z36" s="16"/>
    </row>
    <row r="37" spans="1:26" ht="26.25" customHeight="1">
      <c r="A37" s="279" t="s">
        <v>42</v>
      </c>
      <c r="B37" s="24"/>
      <c r="C37" s="24"/>
      <c r="D37" s="24"/>
      <c r="E37" s="24"/>
      <c r="F37" s="294" t="e">
        <f t="shared" ref="F37:L37" si="3">SUM(F5:F36)</f>
        <v>#REF!</v>
      </c>
      <c r="G37" s="294" t="e">
        <f t="shared" si="3"/>
        <v>#REF!</v>
      </c>
      <c r="H37" s="294" t="e">
        <f t="shared" si="3"/>
        <v>#REF!</v>
      </c>
      <c r="I37" s="294" t="e">
        <f t="shared" si="3"/>
        <v>#REF!</v>
      </c>
      <c r="J37" s="294" t="e">
        <f t="shared" si="3"/>
        <v>#REF!</v>
      </c>
      <c r="K37" s="294" t="e">
        <f t="shared" si="3"/>
        <v>#REF!</v>
      </c>
      <c r="L37" s="294" t="e">
        <f t="shared" si="3"/>
        <v>#REF!</v>
      </c>
      <c r="M37" s="304" t="s">
        <v>54</v>
      </c>
      <c r="N37" s="16"/>
      <c r="O37" s="16"/>
      <c r="P37" s="16"/>
      <c r="Q37" s="16"/>
      <c r="R37" s="16"/>
      <c r="S37" s="16"/>
      <c r="T37" s="16"/>
      <c r="U37" s="16"/>
      <c r="V37" s="16"/>
      <c r="W37" s="16"/>
      <c r="X37" s="16"/>
      <c r="Y37" s="16"/>
      <c r="Z37" s="16"/>
    </row>
    <row r="38" spans="1:26" ht="26.25" customHeight="1">
      <c r="A38" s="280"/>
      <c r="B38" s="25"/>
      <c r="C38" s="25"/>
      <c r="D38" s="25"/>
      <c r="E38" s="25"/>
      <c r="F38" s="282"/>
      <c r="G38" s="282"/>
      <c r="H38" s="282"/>
      <c r="I38" s="282"/>
      <c r="J38" s="282"/>
      <c r="K38" s="282"/>
      <c r="L38" s="282"/>
      <c r="M38" s="291"/>
      <c r="N38" s="16"/>
      <c r="O38" s="16"/>
      <c r="P38" s="16"/>
      <c r="Q38" s="16"/>
      <c r="R38" s="16"/>
      <c r="S38" s="16"/>
      <c r="T38" s="16"/>
      <c r="U38" s="16"/>
      <c r="V38" s="16"/>
      <c r="W38" s="16"/>
      <c r="X38" s="16"/>
      <c r="Y38" s="16"/>
      <c r="Z38" s="16"/>
    </row>
    <row r="39" spans="1:26" ht="26.25" customHeight="1">
      <c r="A39" s="26"/>
      <c r="B39" s="26"/>
      <c r="C39" s="26"/>
      <c r="D39" s="26"/>
      <c r="E39" s="26"/>
      <c r="F39" s="26"/>
      <c r="G39" s="26"/>
      <c r="H39" s="26"/>
      <c r="I39" s="26"/>
      <c r="J39" s="26"/>
      <c r="K39" s="26"/>
      <c r="L39" s="285" t="s">
        <v>43</v>
      </c>
      <c r="M39" s="286"/>
      <c r="N39" s="16"/>
      <c r="O39" s="16"/>
      <c r="P39" s="16"/>
      <c r="Q39" s="16"/>
      <c r="R39" s="16"/>
      <c r="S39" s="16"/>
      <c r="T39" s="16"/>
      <c r="U39" s="16"/>
      <c r="V39" s="16"/>
      <c r="W39" s="16"/>
      <c r="X39" s="16"/>
      <c r="Y39" s="16"/>
      <c r="Z39" s="16"/>
    </row>
    <row r="40" spans="1:26" ht="17.25" customHeight="1">
      <c r="A40" s="28"/>
      <c r="B40" s="28"/>
      <c r="C40" s="28"/>
      <c r="D40" s="28"/>
      <c r="E40" s="29"/>
      <c r="F40" s="29"/>
      <c r="G40" s="29"/>
      <c r="H40" s="29"/>
      <c r="I40" s="29"/>
      <c r="J40" s="29"/>
      <c r="K40" s="29"/>
      <c r="L40" s="31"/>
      <c r="M40" s="9"/>
      <c r="N40" s="9"/>
      <c r="O40" s="9"/>
      <c r="P40" s="9"/>
      <c r="Q40" s="9"/>
      <c r="R40" s="9"/>
      <c r="S40" s="9"/>
      <c r="T40" s="9"/>
      <c r="U40" s="9"/>
      <c r="V40" s="9"/>
      <c r="W40" s="9"/>
      <c r="X40" s="9"/>
      <c r="Y40" s="9"/>
      <c r="Z40" s="9"/>
    </row>
    <row r="41" spans="1:26" ht="17.25" customHeight="1">
      <c r="A41" s="29"/>
      <c r="B41" s="29"/>
      <c r="C41" s="29"/>
      <c r="D41" s="29"/>
      <c r="E41" s="29"/>
      <c r="F41" s="29"/>
      <c r="G41" s="29"/>
      <c r="H41" s="29"/>
      <c r="I41" s="29"/>
      <c r="J41" s="29"/>
      <c r="K41" s="29"/>
      <c r="L41" s="31"/>
      <c r="M41" s="9"/>
      <c r="N41" s="9"/>
      <c r="O41" s="9"/>
      <c r="P41" s="9"/>
      <c r="Q41" s="9"/>
      <c r="R41" s="9"/>
      <c r="S41" s="9"/>
      <c r="T41" s="9"/>
      <c r="U41" s="9"/>
      <c r="V41" s="9"/>
      <c r="W41" s="9"/>
      <c r="X41" s="9"/>
      <c r="Y41" s="9"/>
      <c r="Z41" s="9"/>
    </row>
    <row r="42" spans="1:26" ht="17.25" customHeight="1">
      <c r="A42" s="3"/>
      <c r="B42" s="3"/>
      <c r="C42" s="3"/>
      <c r="D42" s="3"/>
      <c r="E42" s="3"/>
      <c r="F42" s="3"/>
      <c r="G42" s="3"/>
      <c r="H42" s="3"/>
      <c r="I42" s="3"/>
      <c r="J42" s="3"/>
      <c r="K42" s="3"/>
      <c r="L42" s="4"/>
      <c r="M42" s="32"/>
      <c r="N42" s="32"/>
      <c r="O42" s="32"/>
      <c r="P42" s="32"/>
      <c r="Q42" s="32"/>
      <c r="R42" s="32"/>
      <c r="S42" s="32"/>
      <c r="T42" s="32"/>
      <c r="U42" s="32"/>
      <c r="V42" s="32"/>
      <c r="W42" s="32"/>
      <c r="X42" s="32"/>
      <c r="Y42" s="32"/>
      <c r="Z42" s="32"/>
    </row>
    <row r="43" spans="1:26" ht="17.25" customHeight="1">
      <c r="A43" s="3"/>
      <c r="B43" s="3"/>
      <c r="C43" s="3"/>
      <c r="D43" s="3"/>
      <c r="E43" s="3"/>
      <c r="F43" s="3"/>
      <c r="G43" s="3"/>
      <c r="H43" s="3"/>
      <c r="I43" s="3"/>
      <c r="J43" s="3"/>
      <c r="K43" s="3"/>
      <c r="L43" s="4"/>
      <c r="M43" s="32"/>
      <c r="N43" s="32"/>
      <c r="O43" s="32"/>
      <c r="P43" s="32"/>
      <c r="Q43" s="32"/>
      <c r="R43" s="32"/>
      <c r="S43" s="32"/>
      <c r="T43" s="32"/>
      <c r="U43" s="32"/>
      <c r="V43" s="32"/>
      <c r="W43" s="32"/>
      <c r="X43" s="32"/>
      <c r="Y43" s="32"/>
      <c r="Z43" s="32"/>
    </row>
    <row r="44" spans="1:26" ht="17.25" customHeight="1">
      <c r="A44" s="3"/>
      <c r="B44" s="3"/>
      <c r="C44" s="3"/>
      <c r="D44" s="3"/>
      <c r="E44" s="3"/>
      <c r="F44" s="3"/>
      <c r="G44" s="3"/>
      <c r="H44" s="3"/>
      <c r="I44" s="3"/>
      <c r="J44" s="3"/>
      <c r="K44" s="3"/>
      <c r="L44" s="4"/>
      <c r="M44" s="32"/>
      <c r="N44" s="32"/>
      <c r="O44" s="32"/>
      <c r="P44" s="32"/>
      <c r="Q44" s="32"/>
      <c r="R44" s="32"/>
      <c r="S44" s="32"/>
      <c r="T44" s="32"/>
      <c r="U44" s="32"/>
      <c r="V44" s="32"/>
      <c r="W44" s="32"/>
      <c r="X44" s="32"/>
      <c r="Y44" s="32"/>
      <c r="Z44" s="32"/>
    </row>
    <row r="45" spans="1:26" ht="17.25" customHeight="1">
      <c r="A45" s="3"/>
      <c r="B45" s="3"/>
      <c r="C45" s="3"/>
      <c r="D45" s="3"/>
      <c r="E45" s="3"/>
      <c r="F45" s="3"/>
      <c r="G45" s="3"/>
      <c r="H45" s="3"/>
      <c r="I45" s="3"/>
      <c r="J45" s="3"/>
      <c r="K45" s="3"/>
      <c r="L45" s="4"/>
      <c r="M45" s="32"/>
      <c r="N45" s="32"/>
      <c r="O45" s="32"/>
      <c r="P45" s="32"/>
      <c r="Q45" s="32"/>
      <c r="R45" s="32"/>
      <c r="S45" s="32"/>
      <c r="T45" s="32"/>
      <c r="U45" s="32"/>
      <c r="V45" s="32"/>
      <c r="W45" s="32"/>
      <c r="X45" s="32"/>
      <c r="Y45" s="32"/>
      <c r="Z45" s="32"/>
    </row>
    <row r="46" spans="1:26" ht="17.25" customHeight="1">
      <c r="A46" s="3"/>
      <c r="B46" s="3"/>
      <c r="C46" s="3"/>
      <c r="D46" s="3"/>
      <c r="E46" s="3"/>
      <c r="F46" s="3"/>
      <c r="G46" s="3"/>
      <c r="H46" s="3"/>
      <c r="I46" s="3"/>
      <c r="J46" s="3"/>
      <c r="K46" s="3"/>
      <c r="L46" s="4"/>
      <c r="M46" s="32"/>
      <c r="N46" s="32"/>
      <c r="O46" s="32"/>
      <c r="P46" s="32"/>
      <c r="Q46" s="32"/>
      <c r="R46" s="32"/>
      <c r="S46" s="32"/>
      <c r="T46" s="32"/>
      <c r="U46" s="32"/>
      <c r="V46" s="32"/>
      <c r="W46" s="32"/>
      <c r="X46" s="32"/>
      <c r="Y46" s="32"/>
      <c r="Z46" s="32"/>
    </row>
    <row r="47" spans="1:26" ht="17.25" customHeight="1">
      <c r="A47" s="3"/>
      <c r="B47" s="3"/>
      <c r="C47" s="3"/>
      <c r="D47" s="3"/>
      <c r="E47" s="3"/>
      <c r="F47" s="3"/>
      <c r="G47" s="3"/>
      <c r="H47" s="3"/>
      <c r="I47" s="3"/>
      <c r="J47" s="3"/>
      <c r="K47" s="3"/>
      <c r="L47" s="4"/>
      <c r="M47" s="32"/>
      <c r="N47" s="32"/>
      <c r="O47" s="32"/>
      <c r="P47" s="32"/>
      <c r="Q47" s="32"/>
      <c r="R47" s="32"/>
      <c r="S47" s="32"/>
      <c r="T47" s="32"/>
      <c r="U47" s="32"/>
      <c r="V47" s="32"/>
      <c r="W47" s="32"/>
      <c r="X47" s="32"/>
      <c r="Y47" s="32"/>
      <c r="Z47" s="32"/>
    </row>
    <row r="48" spans="1:26" ht="17.25" customHeight="1">
      <c r="A48" s="3"/>
      <c r="B48" s="3"/>
      <c r="C48" s="3"/>
      <c r="D48" s="3"/>
      <c r="E48" s="3"/>
      <c r="F48" s="3"/>
      <c r="G48" s="3"/>
      <c r="H48" s="3"/>
      <c r="I48" s="3"/>
      <c r="J48" s="3"/>
      <c r="K48" s="3"/>
      <c r="L48" s="4"/>
      <c r="M48" s="32"/>
      <c r="N48" s="32"/>
      <c r="O48" s="32"/>
      <c r="P48" s="32"/>
      <c r="Q48" s="32"/>
      <c r="R48" s="32"/>
      <c r="S48" s="32"/>
      <c r="T48" s="32"/>
      <c r="U48" s="32"/>
      <c r="V48" s="32"/>
      <c r="W48" s="32"/>
      <c r="X48" s="32"/>
      <c r="Y48" s="32"/>
      <c r="Z48" s="32"/>
    </row>
    <row r="49" spans="1:26" ht="17.25" customHeight="1">
      <c r="A49" s="3"/>
      <c r="B49" s="3"/>
      <c r="C49" s="3"/>
      <c r="D49" s="3"/>
      <c r="E49" s="3"/>
      <c r="F49" s="3"/>
      <c r="G49" s="3"/>
      <c r="H49" s="3"/>
      <c r="I49" s="3"/>
      <c r="J49" s="3"/>
      <c r="K49" s="3"/>
      <c r="L49" s="4"/>
      <c r="M49" s="32"/>
      <c r="N49" s="32"/>
      <c r="O49" s="32"/>
      <c r="P49" s="32"/>
      <c r="Q49" s="32"/>
      <c r="R49" s="32"/>
      <c r="S49" s="32"/>
      <c r="T49" s="32"/>
      <c r="U49" s="32"/>
      <c r="V49" s="32"/>
      <c r="W49" s="32"/>
      <c r="X49" s="32"/>
      <c r="Y49" s="32"/>
      <c r="Z49" s="32"/>
    </row>
    <row r="50" spans="1:26" ht="17.25" customHeight="1">
      <c r="A50" s="3"/>
      <c r="B50" s="3"/>
      <c r="C50" s="3"/>
      <c r="D50" s="3"/>
      <c r="E50" s="3"/>
      <c r="F50" s="3"/>
      <c r="G50" s="3"/>
      <c r="H50" s="3"/>
      <c r="I50" s="3"/>
      <c r="J50" s="3"/>
      <c r="K50" s="3"/>
      <c r="L50" s="4"/>
      <c r="M50" s="32"/>
      <c r="N50" s="32"/>
      <c r="O50" s="32"/>
      <c r="P50" s="32"/>
      <c r="Q50" s="32"/>
      <c r="R50" s="32"/>
      <c r="S50" s="32"/>
      <c r="T50" s="32"/>
      <c r="U50" s="32"/>
      <c r="V50" s="32"/>
      <c r="W50" s="32"/>
      <c r="X50" s="32"/>
      <c r="Y50" s="32"/>
      <c r="Z50" s="32"/>
    </row>
    <row r="51" spans="1:26" ht="17.25" customHeight="1">
      <c r="A51" s="3"/>
      <c r="B51" s="3"/>
      <c r="C51" s="3"/>
      <c r="D51" s="3"/>
      <c r="E51" s="3"/>
      <c r="F51" s="3"/>
      <c r="G51" s="3"/>
      <c r="H51" s="3"/>
      <c r="I51" s="3"/>
      <c r="J51" s="3"/>
      <c r="K51" s="3"/>
      <c r="L51" s="4"/>
      <c r="M51" s="32"/>
      <c r="N51" s="32"/>
      <c r="O51" s="32"/>
      <c r="P51" s="32"/>
      <c r="Q51" s="32"/>
      <c r="R51" s="32"/>
      <c r="S51" s="32"/>
      <c r="T51" s="32"/>
      <c r="U51" s="32"/>
      <c r="V51" s="32"/>
      <c r="W51" s="32"/>
      <c r="X51" s="32"/>
      <c r="Y51" s="32"/>
      <c r="Z51" s="32"/>
    </row>
    <row r="52" spans="1:26" ht="17.25" customHeight="1">
      <c r="A52" s="3"/>
      <c r="B52" s="3"/>
      <c r="C52" s="3"/>
      <c r="D52" s="3"/>
      <c r="E52" s="3"/>
      <c r="F52" s="3"/>
      <c r="G52" s="3"/>
      <c r="H52" s="3"/>
      <c r="I52" s="3"/>
      <c r="J52" s="3"/>
      <c r="K52" s="3"/>
      <c r="L52" s="4"/>
      <c r="M52" s="32"/>
      <c r="N52" s="32"/>
      <c r="O52" s="32"/>
      <c r="P52" s="32"/>
      <c r="Q52" s="32"/>
      <c r="R52" s="32"/>
      <c r="S52" s="32"/>
      <c r="T52" s="32"/>
      <c r="U52" s="32"/>
      <c r="V52" s="32"/>
      <c r="W52" s="32"/>
      <c r="X52" s="32"/>
      <c r="Y52" s="32"/>
      <c r="Z52" s="32"/>
    </row>
    <row r="53" spans="1:26" ht="17.25" customHeight="1">
      <c r="A53" s="3"/>
      <c r="B53" s="3"/>
      <c r="C53" s="3"/>
      <c r="D53" s="3"/>
      <c r="E53" s="3"/>
      <c r="F53" s="3"/>
      <c r="G53" s="3"/>
      <c r="H53" s="3"/>
      <c r="I53" s="3"/>
      <c r="J53" s="3"/>
      <c r="K53" s="3"/>
      <c r="L53" s="4"/>
      <c r="M53" s="32"/>
      <c r="N53" s="32"/>
      <c r="O53" s="32"/>
      <c r="P53" s="32"/>
      <c r="Q53" s="32"/>
      <c r="R53" s="32"/>
      <c r="S53" s="32"/>
      <c r="T53" s="32"/>
      <c r="U53" s="32"/>
      <c r="V53" s="32"/>
      <c r="W53" s="32"/>
      <c r="X53" s="32"/>
      <c r="Y53" s="32"/>
      <c r="Z53" s="32"/>
    </row>
    <row r="54" spans="1:26" ht="17.25" customHeight="1">
      <c r="A54" s="3"/>
      <c r="B54" s="3"/>
      <c r="C54" s="3"/>
      <c r="D54" s="3"/>
      <c r="E54" s="3"/>
      <c r="F54" s="3"/>
      <c r="G54" s="3"/>
      <c r="H54" s="3"/>
      <c r="I54" s="3"/>
      <c r="J54" s="3"/>
      <c r="K54" s="3"/>
      <c r="L54" s="4"/>
      <c r="M54" s="32"/>
      <c r="N54" s="32"/>
      <c r="O54" s="32"/>
      <c r="P54" s="32"/>
      <c r="Q54" s="32"/>
      <c r="R54" s="32"/>
      <c r="S54" s="32"/>
      <c r="T54" s="32"/>
      <c r="U54" s="32"/>
      <c r="V54" s="32"/>
      <c r="W54" s="32"/>
      <c r="X54" s="32"/>
      <c r="Y54" s="32"/>
      <c r="Z54" s="32"/>
    </row>
    <row r="55" spans="1:26" ht="17.25" customHeight="1">
      <c r="A55" s="3"/>
      <c r="B55" s="3"/>
      <c r="C55" s="3"/>
      <c r="D55" s="3"/>
      <c r="E55" s="3"/>
      <c r="F55" s="3"/>
      <c r="G55" s="3"/>
      <c r="H55" s="3"/>
      <c r="I55" s="3"/>
      <c r="J55" s="3"/>
      <c r="K55" s="3"/>
      <c r="L55" s="4"/>
      <c r="M55" s="32"/>
      <c r="N55" s="32"/>
      <c r="O55" s="32"/>
      <c r="P55" s="32"/>
      <c r="Q55" s="32"/>
      <c r="R55" s="32"/>
      <c r="S55" s="32"/>
      <c r="T55" s="32"/>
      <c r="U55" s="32"/>
      <c r="V55" s="32"/>
      <c r="W55" s="32"/>
      <c r="X55" s="32"/>
      <c r="Y55" s="32"/>
      <c r="Z55" s="32"/>
    </row>
    <row r="56" spans="1:26" ht="17.25" customHeight="1">
      <c r="A56" s="3"/>
      <c r="B56" s="3"/>
      <c r="C56" s="3"/>
      <c r="D56" s="3"/>
      <c r="E56" s="3"/>
      <c r="F56" s="3"/>
      <c r="G56" s="3"/>
      <c r="H56" s="3"/>
      <c r="I56" s="3"/>
      <c r="J56" s="3"/>
      <c r="K56" s="3"/>
      <c r="L56" s="4"/>
      <c r="M56" s="32"/>
      <c r="N56" s="32"/>
      <c r="O56" s="32"/>
      <c r="P56" s="32"/>
      <c r="Q56" s="32"/>
      <c r="R56" s="32"/>
      <c r="S56" s="32"/>
      <c r="T56" s="32"/>
      <c r="U56" s="32"/>
      <c r="V56" s="32"/>
      <c r="W56" s="32"/>
      <c r="X56" s="32"/>
      <c r="Y56" s="32"/>
      <c r="Z56" s="32"/>
    </row>
    <row r="57" spans="1:26" ht="17.25" customHeight="1">
      <c r="A57" s="3"/>
      <c r="B57" s="3"/>
      <c r="C57" s="3"/>
      <c r="D57" s="3"/>
      <c r="E57" s="3"/>
      <c r="F57" s="3"/>
      <c r="G57" s="3"/>
      <c r="H57" s="3"/>
      <c r="I57" s="3"/>
      <c r="J57" s="3"/>
      <c r="K57" s="3"/>
      <c r="L57" s="4"/>
      <c r="M57" s="32"/>
      <c r="N57" s="32"/>
      <c r="O57" s="32"/>
      <c r="P57" s="32"/>
      <c r="Q57" s="32"/>
      <c r="R57" s="32"/>
      <c r="S57" s="32"/>
      <c r="T57" s="32"/>
      <c r="U57" s="32"/>
      <c r="V57" s="32"/>
      <c r="W57" s="32"/>
      <c r="X57" s="32"/>
      <c r="Y57" s="32"/>
      <c r="Z57" s="32"/>
    </row>
    <row r="58" spans="1:26" ht="17.25" customHeight="1">
      <c r="A58" s="3"/>
      <c r="B58" s="3"/>
      <c r="C58" s="3"/>
      <c r="D58" s="3"/>
      <c r="E58" s="3"/>
      <c r="F58" s="3"/>
      <c r="G58" s="3"/>
      <c r="H58" s="3"/>
      <c r="I58" s="3"/>
      <c r="J58" s="3"/>
      <c r="K58" s="3"/>
      <c r="L58" s="4"/>
      <c r="M58" s="32"/>
      <c r="N58" s="32"/>
      <c r="O58" s="32"/>
      <c r="P58" s="32"/>
      <c r="Q58" s="32"/>
      <c r="R58" s="32"/>
      <c r="S58" s="32"/>
      <c r="T58" s="32"/>
      <c r="U58" s="32"/>
      <c r="V58" s="32"/>
      <c r="W58" s="32"/>
      <c r="X58" s="32"/>
      <c r="Y58" s="32"/>
      <c r="Z58" s="32"/>
    </row>
    <row r="59" spans="1:26" ht="17.25" customHeight="1">
      <c r="A59" s="3"/>
      <c r="B59" s="3"/>
      <c r="C59" s="3"/>
      <c r="D59" s="3"/>
      <c r="E59" s="3"/>
      <c r="F59" s="3"/>
      <c r="G59" s="3"/>
      <c r="H59" s="3"/>
      <c r="I59" s="3"/>
      <c r="J59" s="3"/>
      <c r="K59" s="3"/>
      <c r="L59" s="4"/>
      <c r="M59" s="32"/>
      <c r="N59" s="32"/>
      <c r="O59" s="32"/>
      <c r="P59" s="32"/>
      <c r="Q59" s="32"/>
      <c r="R59" s="32"/>
      <c r="S59" s="32"/>
      <c r="T59" s="32"/>
      <c r="U59" s="32"/>
      <c r="V59" s="32"/>
      <c r="W59" s="32"/>
      <c r="X59" s="32"/>
      <c r="Y59" s="32"/>
      <c r="Z59" s="32"/>
    </row>
    <row r="60" spans="1:26" ht="17.25" customHeight="1">
      <c r="A60" s="3"/>
      <c r="B60" s="3"/>
      <c r="C60" s="3"/>
      <c r="D60" s="3"/>
      <c r="E60" s="3"/>
      <c r="F60" s="3"/>
      <c r="G60" s="3"/>
      <c r="H60" s="3"/>
      <c r="I60" s="3"/>
      <c r="J60" s="3"/>
      <c r="K60" s="3"/>
      <c r="L60" s="4"/>
      <c r="M60" s="32"/>
      <c r="N60" s="32"/>
      <c r="O60" s="32"/>
      <c r="P60" s="32"/>
      <c r="Q60" s="32"/>
      <c r="R60" s="32"/>
      <c r="S60" s="32"/>
      <c r="T60" s="32"/>
      <c r="U60" s="32"/>
      <c r="V60" s="32"/>
      <c r="W60" s="32"/>
      <c r="X60" s="32"/>
      <c r="Y60" s="32"/>
      <c r="Z60" s="32"/>
    </row>
    <row r="61" spans="1:26" ht="17.25" customHeight="1">
      <c r="A61" s="3"/>
      <c r="B61" s="3"/>
      <c r="C61" s="3"/>
      <c r="D61" s="3"/>
      <c r="E61" s="3"/>
      <c r="F61" s="3"/>
      <c r="G61" s="3"/>
      <c r="H61" s="3"/>
      <c r="I61" s="3"/>
      <c r="J61" s="3"/>
      <c r="K61" s="3"/>
      <c r="L61" s="4"/>
      <c r="M61" s="32"/>
      <c r="N61" s="32"/>
      <c r="O61" s="32"/>
      <c r="P61" s="32"/>
      <c r="Q61" s="32"/>
      <c r="R61" s="32"/>
      <c r="S61" s="32"/>
      <c r="T61" s="32"/>
      <c r="U61" s="32"/>
      <c r="V61" s="32"/>
      <c r="W61" s="32"/>
      <c r="X61" s="32"/>
      <c r="Y61" s="32"/>
      <c r="Z61" s="32"/>
    </row>
    <row r="62" spans="1:26" ht="17.25" customHeight="1">
      <c r="A62" s="3"/>
      <c r="B62" s="3"/>
      <c r="C62" s="3"/>
      <c r="D62" s="3"/>
      <c r="E62" s="3"/>
      <c r="F62" s="3"/>
      <c r="G62" s="3"/>
      <c r="H62" s="3"/>
      <c r="I62" s="3"/>
      <c r="J62" s="3"/>
      <c r="K62" s="3"/>
      <c r="L62" s="4"/>
      <c r="M62" s="32"/>
      <c r="N62" s="32"/>
      <c r="O62" s="32"/>
      <c r="P62" s="32"/>
      <c r="Q62" s="32"/>
      <c r="R62" s="32"/>
      <c r="S62" s="32"/>
      <c r="T62" s="32"/>
      <c r="U62" s="32"/>
      <c r="V62" s="32"/>
      <c r="W62" s="32"/>
      <c r="X62" s="32"/>
      <c r="Y62" s="32"/>
      <c r="Z62" s="32"/>
    </row>
    <row r="63" spans="1:26" ht="17.25" customHeight="1">
      <c r="A63" s="3"/>
      <c r="B63" s="3"/>
      <c r="C63" s="3"/>
      <c r="D63" s="3"/>
      <c r="E63" s="3"/>
      <c r="F63" s="3"/>
      <c r="G63" s="3"/>
      <c r="H63" s="3"/>
      <c r="I63" s="3"/>
      <c r="J63" s="3"/>
      <c r="K63" s="3"/>
      <c r="L63" s="4"/>
      <c r="M63" s="32"/>
      <c r="N63" s="32"/>
      <c r="O63" s="32"/>
      <c r="P63" s="32"/>
      <c r="Q63" s="32"/>
      <c r="R63" s="32"/>
      <c r="S63" s="32"/>
      <c r="T63" s="32"/>
      <c r="U63" s="32"/>
      <c r="V63" s="32"/>
      <c r="W63" s="32"/>
      <c r="X63" s="32"/>
      <c r="Y63" s="32"/>
      <c r="Z63" s="32"/>
    </row>
    <row r="64" spans="1:26" ht="17.25" customHeight="1">
      <c r="A64" s="3"/>
      <c r="B64" s="3"/>
      <c r="C64" s="3"/>
      <c r="D64" s="3"/>
      <c r="E64" s="3"/>
      <c r="F64" s="3"/>
      <c r="G64" s="3"/>
      <c r="H64" s="3"/>
      <c r="I64" s="3"/>
      <c r="J64" s="3"/>
      <c r="K64" s="3"/>
      <c r="L64" s="4"/>
      <c r="M64" s="32"/>
      <c r="N64" s="32"/>
      <c r="O64" s="32"/>
      <c r="P64" s="32"/>
      <c r="Q64" s="32"/>
      <c r="R64" s="32"/>
      <c r="S64" s="32"/>
      <c r="T64" s="32"/>
      <c r="U64" s="32"/>
      <c r="V64" s="32"/>
      <c r="W64" s="32"/>
      <c r="X64" s="32"/>
      <c r="Y64" s="32"/>
      <c r="Z64" s="32"/>
    </row>
    <row r="65" spans="1:26" ht="17.25" customHeight="1">
      <c r="A65" s="3"/>
      <c r="B65" s="3"/>
      <c r="C65" s="3"/>
      <c r="D65" s="3"/>
      <c r="E65" s="3"/>
      <c r="F65" s="3"/>
      <c r="G65" s="3"/>
      <c r="H65" s="3"/>
      <c r="I65" s="3"/>
      <c r="J65" s="3"/>
      <c r="K65" s="3"/>
      <c r="L65" s="4"/>
      <c r="M65" s="32"/>
      <c r="N65" s="32"/>
      <c r="O65" s="32"/>
      <c r="P65" s="32"/>
      <c r="Q65" s="32"/>
      <c r="R65" s="32"/>
      <c r="S65" s="32"/>
      <c r="T65" s="32"/>
      <c r="U65" s="32"/>
      <c r="V65" s="32"/>
      <c r="W65" s="32"/>
      <c r="X65" s="32"/>
      <c r="Y65" s="32"/>
      <c r="Z65" s="32"/>
    </row>
    <row r="66" spans="1:26" ht="17.25" customHeight="1">
      <c r="A66" s="3"/>
      <c r="B66" s="3"/>
      <c r="C66" s="3"/>
      <c r="D66" s="3"/>
      <c r="E66" s="3"/>
      <c r="F66" s="3"/>
      <c r="G66" s="3"/>
      <c r="H66" s="3"/>
      <c r="I66" s="3"/>
      <c r="J66" s="3"/>
      <c r="K66" s="3"/>
      <c r="L66" s="4"/>
      <c r="M66" s="32"/>
      <c r="N66" s="32"/>
      <c r="O66" s="32"/>
      <c r="P66" s="32"/>
      <c r="Q66" s="32"/>
      <c r="R66" s="32"/>
      <c r="S66" s="32"/>
      <c r="T66" s="32"/>
      <c r="U66" s="32"/>
      <c r="V66" s="32"/>
      <c r="W66" s="32"/>
      <c r="X66" s="32"/>
      <c r="Y66" s="32"/>
      <c r="Z66" s="32"/>
    </row>
    <row r="67" spans="1:26" ht="17.25" customHeight="1">
      <c r="A67" s="3"/>
      <c r="B67" s="3"/>
      <c r="C67" s="3"/>
      <c r="D67" s="3"/>
      <c r="E67" s="3"/>
      <c r="F67" s="3"/>
      <c r="G67" s="3"/>
      <c r="H67" s="3"/>
      <c r="I67" s="3"/>
      <c r="J67" s="3"/>
      <c r="K67" s="3"/>
      <c r="L67" s="4"/>
      <c r="M67" s="32"/>
      <c r="N67" s="32"/>
      <c r="O67" s="32"/>
      <c r="P67" s="32"/>
      <c r="Q67" s="32"/>
      <c r="R67" s="32"/>
      <c r="S67" s="32"/>
      <c r="T67" s="32"/>
      <c r="U67" s="32"/>
      <c r="V67" s="32"/>
      <c r="W67" s="32"/>
      <c r="X67" s="32"/>
      <c r="Y67" s="32"/>
      <c r="Z67" s="32"/>
    </row>
    <row r="68" spans="1:26" ht="17.25" customHeight="1">
      <c r="A68" s="3"/>
      <c r="B68" s="3"/>
      <c r="C68" s="3"/>
      <c r="D68" s="3"/>
      <c r="E68" s="3"/>
      <c r="F68" s="3"/>
      <c r="G68" s="3"/>
      <c r="H68" s="3"/>
      <c r="I68" s="3"/>
      <c r="J68" s="3"/>
      <c r="K68" s="3"/>
      <c r="L68" s="4"/>
      <c r="M68" s="32"/>
      <c r="N68" s="32"/>
      <c r="O68" s="32"/>
      <c r="P68" s="32"/>
      <c r="Q68" s="32"/>
      <c r="R68" s="32"/>
      <c r="S68" s="32"/>
      <c r="T68" s="32"/>
      <c r="U68" s="32"/>
      <c r="V68" s="32"/>
      <c r="W68" s="32"/>
      <c r="X68" s="32"/>
      <c r="Y68" s="32"/>
      <c r="Z68" s="32"/>
    </row>
    <row r="69" spans="1:26" ht="17.25" customHeight="1">
      <c r="A69" s="3"/>
      <c r="B69" s="3"/>
      <c r="C69" s="3"/>
      <c r="D69" s="3"/>
      <c r="E69" s="3"/>
      <c r="F69" s="3"/>
      <c r="G69" s="3"/>
      <c r="H69" s="3"/>
      <c r="I69" s="3"/>
      <c r="J69" s="3"/>
      <c r="K69" s="3"/>
      <c r="L69" s="4"/>
      <c r="M69" s="32"/>
      <c r="N69" s="32"/>
      <c r="O69" s="32"/>
      <c r="P69" s="32"/>
      <c r="Q69" s="32"/>
      <c r="R69" s="32"/>
      <c r="S69" s="32"/>
      <c r="T69" s="32"/>
      <c r="U69" s="32"/>
      <c r="V69" s="32"/>
      <c r="W69" s="32"/>
      <c r="X69" s="32"/>
      <c r="Y69" s="32"/>
      <c r="Z69" s="32"/>
    </row>
    <row r="70" spans="1:26" ht="17.25" customHeight="1">
      <c r="A70" s="3"/>
      <c r="B70" s="3"/>
      <c r="C70" s="3"/>
      <c r="D70" s="3"/>
      <c r="E70" s="3"/>
      <c r="F70" s="3"/>
      <c r="G70" s="3"/>
      <c r="H70" s="3"/>
      <c r="I70" s="3"/>
      <c r="J70" s="3"/>
      <c r="K70" s="3"/>
      <c r="L70" s="4"/>
      <c r="M70" s="32"/>
      <c r="N70" s="32"/>
      <c r="O70" s="32"/>
      <c r="P70" s="32"/>
      <c r="Q70" s="32"/>
      <c r="R70" s="32"/>
      <c r="S70" s="32"/>
      <c r="T70" s="32"/>
      <c r="U70" s="32"/>
      <c r="V70" s="32"/>
      <c r="W70" s="32"/>
      <c r="X70" s="32"/>
      <c r="Y70" s="32"/>
      <c r="Z70" s="32"/>
    </row>
    <row r="71" spans="1:26" ht="17.25" customHeight="1">
      <c r="A71" s="3"/>
      <c r="B71" s="3"/>
      <c r="C71" s="3"/>
      <c r="D71" s="3"/>
      <c r="E71" s="3"/>
      <c r="F71" s="3"/>
      <c r="G71" s="3"/>
      <c r="H71" s="3"/>
      <c r="I71" s="3"/>
      <c r="J71" s="3"/>
      <c r="K71" s="3"/>
      <c r="L71" s="4"/>
      <c r="M71" s="32"/>
      <c r="N71" s="32"/>
      <c r="O71" s="32"/>
      <c r="P71" s="32"/>
      <c r="Q71" s="32"/>
      <c r="R71" s="32"/>
      <c r="S71" s="32"/>
      <c r="T71" s="32"/>
      <c r="U71" s="32"/>
      <c r="V71" s="32"/>
      <c r="W71" s="32"/>
      <c r="X71" s="32"/>
      <c r="Y71" s="32"/>
      <c r="Z71" s="32"/>
    </row>
    <row r="72" spans="1:26" ht="17.25" customHeight="1">
      <c r="A72" s="3"/>
      <c r="B72" s="3"/>
      <c r="C72" s="3"/>
      <c r="D72" s="3"/>
      <c r="E72" s="3"/>
      <c r="F72" s="3"/>
      <c r="G72" s="3"/>
      <c r="H72" s="3"/>
      <c r="I72" s="3"/>
      <c r="J72" s="3"/>
      <c r="K72" s="3"/>
      <c r="L72" s="4"/>
      <c r="M72" s="32"/>
      <c r="N72" s="32"/>
      <c r="O72" s="32"/>
      <c r="P72" s="32"/>
      <c r="Q72" s="32"/>
      <c r="R72" s="32"/>
      <c r="S72" s="32"/>
      <c r="T72" s="32"/>
      <c r="U72" s="32"/>
      <c r="V72" s="32"/>
      <c r="W72" s="32"/>
      <c r="X72" s="32"/>
      <c r="Y72" s="32"/>
      <c r="Z72" s="32"/>
    </row>
    <row r="73" spans="1:26" ht="17.25" customHeight="1">
      <c r="A73" s="3"/>
      <c r="B73" s="3"/>
      <c r="C73" s="3"/>
      <c r="D73" s="3"/>
      <c r="E73" s="3"/>
      <c r="F73" s="3"/>
      <c r="G73" s="3"/>
      <c r="H73" s="3"/>
      <c r="I73" s="3"/>
      <c r="J73" s="3"/>
      <c r="K73" s="3"/>
      <c r="L73" s="4"/>
      <c r="M73" s="32"/>
      <c r="N73" s="32"/>
      <c r="O73" s="32"/>
      <c r="P73" s="32"/>
      <c r="Q73" s="32"/>
      <c r="R73" s="32"/>
      <c r="S73" s="32"/>
      <c r="T73" s="32"/>
      <c r="U73" s="32"/>
      <c r="V73" s="32"/>
      <c r="W73" s="32"/>
      <c r="X73" s="32"/>
      <c r="Y73" s="32"/>
      <c r="Z73" s="32"/>
    </row>
    <row r="74" spans="1:26" ht="17.25" customHeight="1">
      <c r="A74" s="3"/>
      <c r="B74" s="3"/>
      <c r="C74" s="3"/>
      <c r="D74" s="3"/>
      <c r="E74" s="3"/>
      <c r="F74" s="3"/>
      <c r="G74" s="3"/>
      <c r="H74" s="3"/>
      <c r="I74" s="3"/>
      <c r="J74" s="3"/>
      <c r="K74" s="3"/>
      <c r="L74" s="4"/>
      <c r="M74" s="32"/>
      <c r="N74" s="32"/>
      <c r="O74" s="32"/>
      <c r="P74" s="32"/>
      <c r="Q74" s="32"/>
      <c r="R74" s="32"/>
      <c r="S74" s="32"/>
      <c r="T74" s="32"/>
      <c r="U74" s="32"/>
      <c r="V74" s="32"/>
      <c r="W74" s="32"/>
      <c r="X74" s="32"/>
      <c r="Y74" s="32"/>
      <c r="Z74" s="32"/>
    </row>
    <row r="75" spans="1:26" ht="17.25" customHeight="1">
      <c r="A75" s="3"/>
      <c r="B75" s="3"/>
      <c r="C75" s="3"/>
      <c r="D75" s="3"/>
      <c r="E75" s="3"/>
      <c r="F75" s="3"/>
      <c r="G75" s="3"/>
      <c r="H75" s="3"/>
      <c r="I75" s="3"/>
      <c r="J75" s="3"/>
      <c r="K75" s="3"/>
      <c r="L75" s="4"/>
      <c r="M75" s="32"/>
      <c r="N75" s="32"/>
      <c r="O75" s="32"/>
      <c r="P75" s="32"/>
      <c r="Q75" s="32"/>
      <c r="R75" s="32"/>
      <c r="S75" s="32"/>
      <c r="T75" s="32"/>
      <c r="U75" s="32"/>
      <c r="V75" s="32"/>
      <c r="W75" s="32"/>
      <c r="X75" s="32"/>
      <c r="Y75" s="32"/>
      <c r="Z75" s="32"/>
    </row>
    <row r="76" spans="1:26" ht="17.25" customHeight="1">
      <c r="A76" s="3"/>
      <c r="B76" s="3"/>
      <c r="C76" s="3"/>
      <c r="D76" s="3"/>
      <c r="E76" s="3"/>
      <c r="F76" s="3"/>
      <c r="G76" s="3"/>
      <c r="H76" s="3"/>
      <c r="I76" s="3"/>
      <c r="J76" s="3"/>
      <c r="K76" s="3"/>
      <c r="L76" s="4"/>
      <c r="M76" s="32"/>
      <c r="N76" s="32"/>
      <c r="O76" s="32"/>
      <c r="P76" s="32"/>
      <c r="Q76" s="32"/>
      <c r="R76" s="32"/>
      <c r="S76" s="32"/>
      <c r="T76" s="32"/>
      <c r="U76" s="32"/>
      <c r="V76" s="32"/>
      <c r="W76" s="32"/>
      <c r="X76" s="32"/>
      <c r="Y76" s="32"/>
      <c r="Z76" s="32"/>
    </row>
    <row r="77" spans="1:26" ht="17.25" customHeight="1">
      <c r="A77" s="3"/>
      <c r="B77" s="3"/>
      <c r="C77" s="3"/>
      <c r="D77" s="3"/>
      <c r="E77" s="3"/>
      <c r="F77" s="3"/>
      <c r="G77" s="3"/>
      <c r="H77" s="3"/>
      <c r="I77" s="3"/>
      <c r="J77" s="3"/>
      <c r="K77" s="3"/>
      <c r="L77" s="4"/>
      <c r="M77" s="32"/>
      <c r="N77" s="32"/>
      <c r="O77" s="32"/>
      <c r="P77" s="32"/>
      <c r="Q77" s="32"/>
      <c r="R77" s="32"/>
      <c r="S77" s="32"/>
      <c r="T77" s="32"/>
      <c r="U77" s="32"/>
      <c r="V77" s="32"/>
      <c r="W77" s="32"/>
      <c r="X77" s="32"/>
      <c r="Y77" s="32"/>
      <c r="Z77" s="32"/>
    </row>
    <row r="78" spans="1:26" ht="17.25" customHeight="1">
      <c r="A78" s="3"/>
      <c r="B78" s="3"/>
      <c r="C78" s="3"/>
      <c r="D78" s="3"/>
      <c r="E78" s="3"/>
      <c r="F78" s="3"/>
      <c r="G78" s="3"/>
      <c r="H78" s="3"/>
      <c r="I78" s="3"/>
      <c r="J78" s="3"/>
      <c r="K78" s="3"/>
      <c r="L78" s="4"/>
      <c r="M78" s="32"/>
      <c r="N78" s="32"/>
      <c r="O78" s="32"/>
      <c r="P78" s="32"/>
      <c r="Q78" s="32"/>
      <c r="R78" s="32"/>
      <c r="S78" s="32"/>
      <c r="T78" s="32"/>
      <c r="U78" s="32"/>
      <c r="V78" s="32"/>
      <c r="W78" s="32"/>
      <c r="X78" s="32"/>
      <c r="Y78" s="32"/>
      <c r="Z78" s="32"/>
    </row>
    <row r="79" spans="1:26" ht="17.25" customHeight="1">
      <c r="A79" s="3"/>
      <c r="B79" s="3"/>
      <c r="C79" s="3"/>
      <c r="D79" s="3"/>
      <c r="E79" s="3"/>
      <c r="F79" s="3"/>
      <c r="G79" s="3"/>
      <c r="H79" s="3"/>
      <c r="I79" s="3"/>
      <c r="J79" s="3"/>
      <c r="K79" s="3"/>
      <c r="L79" s="4"/>
      <c r="M79" s="32"/>
      <c r="N79" s="32"/>
      <c r="O79" s="32"/>
      <c r="P79" s="32"/>
      <c r="Q79" s="32"/>
      <c r="R79" s="32"/>
      <c r="S79" s="32"/>
      <c r="T79" s="32"/>
      <c r="U79" s="32"/>
      <c r="V79" s="32"/>
      <c r="W79" s="32"/>
      <c r="X79" s="32"/>
      <c r="Y79" s="32"/>
      <c r="Z79" s="32"/>
    </row>
    <row r="80" spans="1:26" ht="17.25" customHeight="1">
      <c r="A80" s="3"/>
      <c r="B80" s="3"/>
      <c r="C80" s="3"/>
      <c r="D80" s="3"/>
      <c r="E80" s="3"/>
      <c r="F80" s="3"/>
      <c r="G80" s="3"/>
      <c r="H80" s="3"/>
      <c r="I80" s="3"/>
      <c r="J80" s="3"/>
      <c r="K80" s="3"/>
      <c r="L80" s="4"/>
      <c r="M80" s="32"/>
      <c r="N80" s="32"/>
      <c r="O80" s="32"/>
      <c r="P80" s="32"/>
      <c r="Q80" s="32"/>
      <c r="R80" s="32"/>
      <c r="S80" s="32"/>
      <c r="T80" s="32"/>
      <c r="U80" s="32"/>
      <c r="V80" s="32"/>
      <c r="W80" s="32"/>
      <c r="X80" s="32"/>
      <c r="Y80" s="32"/>
      <c r="Z80" s="32"/>
    </row>
    <row r="81" spans="1:26" ht="17.25" customHeight="1">
      <c r="A81" s="3"/>
      <c r="B81" s="3"/>
      <c r="C81" s="3"/>
      <c r="D81" s="3"/>
      <c r="E81" s="3"/>
      <c r="F81" s="3"/>
      <c r="G81" s="3"/>
      <c r="H81" s="3"/>
      <c r="I81" s="3"/>
      <c r="J81" s="3"/>
      <c r="K81" s="3"/>
      <c r="L81" s="4"/>
      <c r="M81" s="32"/>
      <c r="N81" s="32"/>
      <c r="O81" s="32"/>
      <c r="P81" s="32"/>
      <c r="Q81" s="32"/>
      <c r="R81" s="32"/>
      <c r="S81" s="32"/>
      <c r="T81" s="32"/>
      <c r="U81" s="32"/>
      <c r="V81" s="32"/>
      <c r="W81" s="32"/>
      <c r="X81" s="32"/>
      <c r="Y81" s="32"/>
      <c r="Z81" s="32"/>
    </row>
    <row r="82" spans="1:26" ht="17.25" customHeight="1">
      <c r="A82" s="3"/>
      <c r="B82" s="3"/>
      <c r="C82" s="3"/>
      <c r="D82" s="3"/>
      <c r="E82" s="3"/>
      <c r="F82" s="3"/>
      <c r="G82" s="3"/>
      <c r="H82" s="3"/>
      <c r="I82" s="3"/>
      <c r="J82" s="3"/>
      <c r="K82" s="3"/>
      <c r="L82" s="4"/>
      <c r="M82" s="32"/>
      <c r="N82" s="32"/>
      <c r="O82" s="32"/>
      <c r="P82" s="32"/>
      <c r="Q82" s="32"/>
      <c r="R82" s="32"/>
      <c r="S82" s="32"/>
      <c r="T82" s="32"/>
      <c r="U82" s="32"/>
      <c r="V82" s="32"/>
      <c r="W82" s="32"/>
      <c r="X82" s="32"/>
      <c r="Y82" s="32"/>
      <c r="Z82" s="32"/>
    </row>
    <row r="83" spans="1:26" ht="17.25" customHeight="1">
      <c r="A83" s="3"/>
      <c r="B83" s="3"/>
      <c r="C83" s="3"/>
      <c r="D83" s="3"/>
      <c r="E83" s="3"/>
      <c r="F83" s="3"/>
      <c r="G83" s="3"/>
      <c r="H83" s="3"/>
      <c r="I83" s="3"/>
      <c r="J83" s="3"/>
      <c r="K83" s="3"/>
      <c r="L83" s="4"/>
      <c r="M83" s="32"/>
      <c r="N83" s="32"/>
      <c r="O83" s="32"/>
      <c r="P83" s="32"/>
      <c r="Q83" s="32"/>
      <c r="R83" s="32"/>
      <c r="S83" s="32"/>
      <c r="T83" s="32"/>
      <c r="U83" s="32"/>
      <c r="V83" s="32"/>
      <c r="W83" s="32"/>
      <c r="X83" s="32"/>
      <c r="Y83" s="32"/>
      <c r="Z83" s="32"/>
    </row>
    <row r="84" spans="1:26" ht="17.25" customHeight="1">
      <c r="A84" s="3"/>
      <c r="B84" s="3"/>
      <c r="C84" s="3"/>
      <c r="D84" s="3"/>
      <c r="E84" s="3"/>
      <c r="F84" s="3"/>
      <c r="G84" s="3"/>
      <c r="H84" s="3"/>
      <c r="I84" s="3"/>
      <c r="J84" s="3"/>
      <c r="K84" s="3"/>
      <c r="L84" s="4"/>
      <c r="M84" s="32"/>
      <c r="N84" s="32"/>
      <c r="O84" s="32"/>
      <c r="P84" s="32"/>
      <c r="Q84" s="32"/>
      <c r="R84" s="32"/>
      <c r="S84" s="32"/>
      <c r="T84" s="32"/>
      <c r="U84" s="32"/>
      <c r="V84" s="32"/>
      <c r="W84" s="32"/>
      <c r="X84" s="32"/>
      <c r="Y84" s="32"/>
      <c r="Z84" s="32"/>
    </row>
    <row r="85" spans="1:26" ht="17.25" customHeight="1">
      <c r="A85" s="3"/>
      <c r="B85" s="3"/>
      <c r="C85" s="3"/>
      <c r="D85" s="3"/>
      <c r="E85" s="3"/>
      <c r="F85" s="3"/>
      <c r="G85" s="3"/>
      <c r="H85" s="3"/>
      <c r="I85" s="3"/>
      <c r="J85" s="3"/>
      <c r="K85" s="3"/>
      <c r="L85" s="4"/>
      <c r="M85" s="32"/>
      <c r="N85" s="32"/>
      <c r="O85" s="32"/>
      <c r="P85" s="32"/>
      <c r="Q85" s="32"/>
      <c r="R85" s="32"/>
      <c r="S85" s="32"/>
      <c r="T85" s="32"/>
      <c r="U85" s="32"/>
      <c r="V85" s="32"/>
      <c r="W85" s="32"/>
      <c r="X85" s="32"/>
      <c r="Y85" s="32"/>
      <c r="Z85" s="32"/>
    </row>
    <row r="86" spans="1:26" ht="17.25" customHeight="1">
      <c r="A86" s="3"/>
      <c r="B86" s="3"/>
      <c r="C86" s="3"/>
      <c r="D86" s="3"/>
      <c r="E86" s="3"/>
      <c r="F86" s="3"/>
      <c r="G86" s="3"/>
      <c r="H86" s="3"/>
      <c r="I86" s="3"/>
      <c r="J86" s="3"/>
      <c r="K86" s="3"/>
      <c r="L86" s="4"/>
      <c r="M86" s="32"/>
      <c r="N86" s="32"/>
      <c r="O86" s="32"/>
      <c r="P86" s="32"/>
      <c r="Q86" s="32"/>
      <c r="R86" s="32"/>
      <c r="S86" s="32"/>
      <c r="T86" s="32"/>
      <c r="U86" s="32"/>
      <c r="V86" s="32"/>
      <c r="W86" s="32"/>
      <c r="X86" s="32"/>
      <c r="Y86" s="32"/>
      <c r="Z86" s="32"/>
    </row>
    <row r="87" spans="1:26" ht="17.25" customHeight="1">
      <c r="A87" s="3"/>
      <c r="B87" s="3"/>
      <c r="C87" s="3"/>
      <c r="D87" s="3"/>
      <c r="E87" s="3"/>
      <c r="F87" s="3"/>
      <c r="G87" s="3"/>
      <c r="H87" s="3"/>
      <c r="I87" s="3"/>
      <c r="J87" s="3"/>
      <c r="K87" s="3"/>
      <c r="L87" s="4"/>
      <c r="M87" s="32"/>
      <c r="N87" s="32"/>
      <c r="O87" s="32"/>
      <c r="P87" s="32"/>
      <c r="Q87" s="32"/>
      <c r="R87" s="32"/>
      <c r="S87" s="32"/>
      <c r="T87" s="32"/>
      <c r="U87" s="32"/>
      <c r="V87" s="32"/>
      <c r="W87" s="32"/>
      <c r="X87" s="32"/>
      <c r="Y87" s="32"/>
      <c r="Z87" s="32"/>
    </row>
    <row r="88" spans="1:26" ht="17.25" customHeight="1">
      <c r="A88" s="3"/>
      <c r="B88" s="3"/>
      <c r="C88" s="3"/>
      <c r="D88" s="3"/>
      <c r="E88" s="3"/>
      <c r="F88" s="3"/>
      <c r="G88" s="3"/>
      <c r="H88" s="3"/>
      <c r="I88" s="3"/>
      <c r="J88" s="3"/>
      <c r="K88" s="3"/>
      <c r="L88" s="4"/>
      <c r="M88" s="32"/>
      <c r="N88" s="32"/>
      <c r="O88" s="32"/>
      <c r="P88" s="32"/>
      <c r="Q88" s="32"/>
      <c r="R88" s="32"/>
      <c r="S88" s="32"/>
      <c r="T88" s="32"/>
      <c r="U88" s="32"/>
      <c r="V88" s="32"/>
      <c r="W88" s="32"/>
      <c r="X88" s="32"/>
      <c r="Y88" s="32"/>
      <c r="Z88" s="32"/>
    </row>
    <row r="89" spans="1:26" ht="17.25" customHeight="1">
      <c r="A89" s="3"/>
      <c r="B89" s="3"/>
      <c r="C89" s="3"/>
      <c r="D89" s="3"/>
      <c r="E89" s="3"/>
      <c r="F89" s="3"/>
      <c r="G89" s="3"/>
      <c r="H89" s="3"/>
      <c r="I89" s="3"/>
      <c r="J89" s="3"/>
      <c r="K89" s="3"/>
      <c r="L89" s="4"/>
      <c r="M89" s="32"/>
      <c r="N89" s="32"/>
      <c r="O89" s="32"/>
      <c r="P89" s="32"/>
      <c r="Q89" s="32"/>
      <c r="R89" s="32"/>
      <c r="S89" s="32"/>
      <c r="T89" s="32"/>
      <c r="U89" s="32"/>
      <c r="V89" s="32"/>
      <c r="W89" s="32"/>
      <c r="X89" s="32"/>
      <c r="Y89" s="32"/>
      <c r="Z89" s="32"/>
    </row>
    <row r="90" spans="1:26" ht="17.25" customHeight="1">
      <c r="A90" s="3"/>
      <c r="B90" s="3"/>
      <c r="C90" s="3"/>
      <c r="D90" s="3"/>
      <c r="E90" s="3"/>
      <c r="F90" s="3"/>
      <c r="G90" s="3"/>
      <c r="H90" s="3"/>
      <c r="I90" s="3"/>
      <c r="J90" s="3"/>
      <c r="K90" s="3"/>
      <c r="L90" s="4"/>
      <c r="M90" s="32"/>
      <c r="N90" s="32"/>
      <c r="O90" s="32"/>
      <c r="P90" s="32"/>
      <c r="Q90" s="32"/>
      <c r="R90" s="32"/>
      <c r="S90" s="32"/>
      <c r="T90" s="32"/>
      <c r="U90" s="32"/>
      <c r="V90" s="32"/>
      <c r="W90" s="32"/>
      <c r="X90" s="32"/>
      <c r="Y90" s="32"/>
      <c r="Z90" s="32"/>
    </row>
    <row r="91" spans="1:26" ht="17.25" customHeight="1">
      <c r="A91" s="3"/>
      <c r="B91" s="3"/>
      <c r="C91" s="3"/>
      <c r="D91" s="3"/>
      <c r="E91" s="3"/>
      <c r="F91" s="3"/>
      <c r="G91" s="3"/>
      <c r="H91" s="3"/>
      <c r="I91" s="3"/>
      <c r="J91" s="3"/>
      <c r="K91" s="3"/>
      <c r="L91" s="4"/>
      <c r="M91" s="32"/>
      <c r="N91" s="32"/>
      <c r="O91" s="32"/>
      <c r="P91" s="32"/>
      <c r="Q91" s="32"/>
      <c r="R91" s="32"/>
      <c r="S91" s="32"/>
      <c r="T91" s="32"/>
      <c r="U91" s="32"/>
      <c r="V91" s="32"/>
      <c r="W91" s="32"/>
      <c r="X91" s="32"/>
      <c r="Y91" s="32"/>
      <c r="Z91" s="32"/>
    </row>
    <row r="92" spans="1:26" ht="17.25" customHeight="1">
      <c r="A92" s="3"/>
      <c r="B92" s="3"/>
      <c r="C92" s="3"/>
      <c r="D92" s="3"/>
      <c r="E92" s="3"/>
      <c r="F92" s="3"/>
      <c r="G92" s="3"/>
      <c r="H92" s="3"/>
      <c r="I92" s="3"/>
      <c r="J92" s="3"/>
      <c r="K92" s="3"/>
      <c r="L92" s="4"/>
      <c r="M92" s="32"/>
      <c r="N92" s="32"/>
      <c r="O92" s="32"/>
      <c r="P92" s="32"/>
      <c r="Q92" s="32"/>
      <c r="R92" s="32"/>
      <c r="S92" s="32"/>
      <c r="T92" s="32"/>
      <c r="U92" s="32"/>
      <c r="V92" s="32"/>
      <c r="W92" s="32"/>
      <c r="X92" s="32"/>
      <c r="Y92" s="32"/>
      <c r="Z92" s="32"/>
    </row>
    <row r="93" spans="1:26" ht="17.25" customHeight="1">
      <c r="A93" s="3"/>
      <c r="B93" s="3"/>
      <c r="C93" s="3"/>
      <c r="D93" s="3"/>
      <c r="E93" s="3"/>
      <c r="F93" s="3"/>
      <c r="G93" s="3"/>
      <c r="H93" s="3"/>
      <c r="I93" s="3"/>
      <c r="J93" s="3"/>
      <c r="K93" s="3"/>
      <c r="L93" s="4"/>
      <c r="M93" s="32"/>
      <c r="N93" s="32"/>
      <c r="O93" s="32"/>
      <c r="P93" s="32"/>
      <c r="Q93" s="32"/>
      <c r="R93" s="32"/>
      <c r="S93" s="32"/>
      <c r="T93" s="32"/>
      <c r="U93" s="32"/>
      <c r="V93" s="32"/>
      <c r="W93" s="32"/>
      <c r="X93" s="32"/>
      <c r="Y93" s="32"/>
      <c r="Z93" s="32"/>
    </row>
    <row r="94" spans="1:26" ht="17.25" customHeight="1">
      <c r="A94" s="3"/>
      <c r="B94" s="3"/>
      <c r="C94" s="3"/>
      <c r="D94" s="3"/>
      <c r="E94" s="3"/>
      <c r="F94" s="3"/>
      <c r="G94" s="3"/>
      <c r="H94" s="3"/>
      <c r="I94" s="3"/>
      <c r="J94" s="3"/>
      <c r="K94" s="3"/>
      <c r="L94" s="4"/>
      <c r="M94" s="32"/>
      <c r="N94" s="32"/>
      <c r="O94" s="32"/>
      <c r="P94" s="32"/>
      <c r="Q94" s="32"/>
      <c r="R94" s="32"/>
      <c r="S94" s="32"/>
      <c r="T94" s="32"/>
      <c r="U94" s="32"/>
      <c r="V94" s="32"/>
      <c r="W94" s="32"/>
      <c r="X94" s="32"/>
      <c r="Y94" s="32"/>
      <c r="Z94" s="32"/>
    </row>
    <row r="95" spans="1:26" ht="17.25" customHeight="1">
      <c r="A95" s="3"/>
      <c r="B95" s="3"/>
      <c r="C95" s="3"/>
      <c r="D95" s="3"/>
      <c r="E95" s="3"/>
      <c r="F95" s="3"/>
      <c r="G95" s="3"/>
      <c r="H95" s="3"/>
      <c r="I95" s="3"/>
      <c r="J95" s="3"/>
      <c r="K95" s="3"/>
      <c r="L95" s="4"/>
      <c r="M95" s="32"/>
      <c r="N95" s="32"/>
      <c r="O95" s="32"/>
      <c r="P95" s="32"/>
      <c r="Q95" s="32"/>
      <c r="R95" s="32"/>
      <c r="S95" s="32"/>
      <c r="T95" s="32"/>
      <c r="U95" s="32"/>
      <c r="V95" s="32"/>
      <c r="W95" s="32"/>
      <c r="X95" s="32"/>
      <c r="Y95" s="32"/>
      <c r="Z95" s="32"/>
    </row>
    <row r="96" spans="1:26" ht="17.25" customHeight="1">
      <c r="A96" s="3"/>
      <c r="B96" s="3"/>
      <c r="C96" s="3"/>
      <c r="D96" s="3"/>
      <c r="E96" s="3"/>
      <c r="F96" s="3"/>
      <c r="G96" s="3"/>
      <c r="H96" s="3"/>
      <c r="I96" s="3"/>
      <c r="J96" s="3"/>
      <c r="K96" s="3"/>
      <c r="L96" s="4"/>
      <c r="M96" s="32"/>
      <c r="N96" s="32"/>
      <c r="O96" s="32"/>
      <c r="P96" s="32"/>
      <c r="Q96" s="32"/>
      <c r="R96" s="32"/>
      <c r="S96" s="32"/>
      <c r="T96" s="32"/>
      <c r="U96" s="32"/>
      <c r="V96" s="32"/>
      <c r="W96" s="32"/>
      <c r="X96" s="32"/>
      <c r="Y96" s="32"/>
      <c r="Z96" s="32"/>
    </row>
    <row r="97" spans="1:26" ht="17.25" customHeight="1">
      <c r="A97" s="3"/>
      <c r="B97" s="3"/>
      <c r="C97" s="3"/>
      <c r="D97" s="3"/>
      <c r="E97" s="3"/>
      <c r="F97" s="3"/>
      <c r="G97" s="3"/>
      <c r="H97" s="3"/>
      <c r="I97" s="3"/>
      <c r="J97" s="3"/>
      <c r="K97" s="3"/>
      <c r="L97" s="4"/>
      <c r="M97" s="32"/>
      <c r="N97" s="32"/>
      <c r="O97" s="32"/>
      <c r="P97" s="32"/>
      <c r="Q97" s="32"/>
      <c r="R97" s="32"/>
      <c r="S97" s="32"/>
      <c r="T97" s="32"/>
      <c r="U97" s="32"/>
      <c r="V97" s="32"/>
      <c r="W97" s="32"/>
      <c r="X97" s="32"/>
      <c r="Y97" s="32"/>
      <c r="Z97" s="32"/>
    </row>
    <row r="98" spans="1:26" ht="17.25" customHeight="1">
      <c r="A98" s="3"/>
      <c r="B98" s="3"/>
      <c r="C98" s="3"/>
      <c r="D98" s="3"/>
      <c r="E98" s="3"/>
      <c r="F98" s="3"/>
      <c r="G98" s="3"/>
      <c r="H98" s="3"/>
      <c r="I98" s="3"/>
      <c r="J98" s="3"/>
      <c r="K98" s="3"/>
      <c r="L98" s="4"/>
      <c r="M98" s="32"/>
      <c r="N98" s="32"/>
      <c r="O98" s="32"/>
      <c r="P98" s="32"/>
      <c r="Q98" s="32"/>
      <c r="R98" s="32"/>
      <c r="S98" s="32"/>
      <c r="T98" s="32"/>
      <c r="U98" s="32"/>
      <c r="V98" s="32"/>
      <c r="W98" s="32"/>
      <c r="X98" s="32"/>
      <c r="Y98" s="32"/>
      <c r="Z98" s="32"/>
    </row>
    <row r="99" spans="1:26" ht="17.25" customHeight="1">
      <c r="A99" s="3"/>
      <c r="B99" s="3"/>
      <c r="C99" s="3"/>
      <c r="D99" s="3"/>
      <c r="E99" s="3"/>
      <c r="F99" s="3"/>
      <c r="G99" s="3"/>
      <c r="H99" s="3"/>
      <c r="I99" s="3"/>
      <c r="J99" s="3"/>
      <c r="K99" s="3"/>
      <c r="L99" s="4"/>
      <c r="M99" s="32"/>
      <c r="N99" s="32"/>
      <c r="O99" s="32"/>
      <c r="P99" s="32"/>
      <c r="Q99" s="32"/>
      <c r="R99" s="32"/>
      <c r="S99" s="32"/>
      <c r="T99" s="32"/>
      <c r="U99" s="32"/>
      <c r="V99" s="32"/>
      <c r="W99" s="32"/>
      <c r="X99" s="32"/>
      <c r="Y99" s="32"/>
      <c r="Z99" s="32"/>
    </row>
    <row r="100" spans="1:26" ht="17.25" customHeight="1">
      <c r="A100" s="3"/>
      <c r="B100" s="3"/>
      <c r="C100" s="3"/>
      <c r="D100" s="3"/>
      <c r="E100" s="3"/>
      <c r="F100" s="3"/>
      <c r="G100" s="3"/>
      <c r="H100" s="3"/>
      <c r="I100" s="3"/>
      <c r="J100" s="3"/>
      <c r="K100" s="3"/>
      <c r="L100" s="4"/>
      <c r="M100" s="32"/>
      <c r="N100" s="32"/>
      <c r="O100" s="32"/>
      <c r="P100" s="32"/>
      <c r="Q100" s="32"/>
      <c r="R100" s="32"/>
      <c r="S100" s="32"/>
      <c r="T100" s="32"/>
      <c r="U100" s="32"/>
      <c r="V100" s="32"/>
      <c r="W100" s="32"/>
      <c r="X100" s="32"/>
      <c r="Y100" s="32"/>
      <c r="Z100" s="32"/>
    </row>
    <row r="101" spans="1:26" ht="17.25" customHeight="1">
      <c r="A101" s="3"/>
      <c r="B101" s="3"/>
      <c r="C101" s="3"/>
      <c r="D101" s="3"/>
      <c r="E101" s="3"/>
      <c r="F101" s="3"/>
      <c r="G101" s="3"/>
      <c r="H101" s="3"/>
      <c r="I101" s="3"/>
      <c r="J101" s="3"/>
      <c r="K101" s="3"/>
      <c r="L101" s="4"/>
      <c r="M101" s="32"/>
      <c r="N101" s="32"/>
      <c r="O101" s="32"/>
      <c r="P101" s="32"/>
      <c r="Q101" s="32"/>
      <c r="R101" s="32"/>
      <c r="S101" s="32"/>
      <c r="T101" s="32"/>
      <c r="U101" s="32"/>
      <c r="V101" s="32"/>
      <c r="W101" s="32"/>
      <c r="X101" s="32"/>
      <c r="Y101" s="32"/>
      <c r="Z101" s="32"/>
    </row>
    <row r="102" spans="1:26" ht="17.25" customHeight="1">
      <c r="A102" s="3"/>
      <c r="B102" s="3"/>
      <c r="C102" s="3"/>
      <c r="D102" s="3"/>
      <c r="E102" s="3"/>
      <c r="F102" s="3"/>
      <c r="G102" s="3"/>
      <c r="H102" s="3"/>
      <c r="I102" s="3"/>
      <c r="J102" s="3"/>
      <c r="K102" s="3"/>
      <c r="L102" s="4"/>
      <c r="M102" s="32"/>
      <c r="N102" s="32"/>
      <c r="O102" s="32"/>
      <c r="P102" s="32"/>
      <c r="Q102" s="32"/>
      <c r="R102" s="32"/>
      <c r="S102" s="32"/>
      <c r="T102" s="32"/>
      <c r="U102" s="32"/>
      <c r="V102" s="32"/>
      <c r="W102" s="32"/>
      <c r="X102" s="32"/>
      <c r="Y102" s="32"/>
      <c r="Z102" s="32"/>
    </row>
    <row r="103" spans="1:26" ht="17.25" customHeight="1">
      <c r="A103" s="3"/>
      <c r="B103" s="3"/>
      <c r="C103" s="3"/>
      <c r="D103" s="3"/>
      <c r="E103" s="3"/>
      <c r="F103" s="3"/>
      <c r="G103" s="3"/>
      <c r="H103" s="3"/>
      <c r="I103" s="3"/>
      <c r="J103" s="3"/>
      <c r="K103" s="3"/>
      <c r="L103" s="4"/>
      <c r="M103" s="32"/>
      <c r="N103" s="32"/>
      <c r="O103" s="32"/>
      <c r="P103" s="32"/>
      <c r="Q103" s="32"/>
      <c r="R103" s="32"/>
      <c r="S103" s="32"/>
      <c r="T103" s="32"/>
      <c r="U103" s="32"/>
      <c r="V103" s="32"/>
      <c r="W103" s="32"/>
      <c r="X103" s="32"/>
      <c r="Y103" s="32"/>
      <c r="Z103" s="32"/>
    </row>
    <row r="104" spans="1:26" ht="17.25" customHeight="1">
      <c r="A104" s="3"/>
      <c r="B104" s="3"/>
      <c r="C104" s="3"/>
      <c r="D104" s="3"/>
      <c r="E104" s="3"/>
      <c r="F104" s="3"/>
      <c r="G104" s="3"/>
      <c r="H104" s="3"/>
      <c r="I104" s="3"/>
      <c r="J104" s="3"/>
      <c r="K104" s="3"/>
      <c r="L104" s="4"/>
      <c r="M104" s="32"/>
      <c r="N104" s="32"/>
      <c r="O104" s="32"/>
      <c r="P104" s="32"/>
      <c r="Q104" s="32"/>
      <c r="R104" s="32"/>
      <c r="S104" s="32"/>
      <c r="T104" s="32"/>
      <c r="U104" s="32"/>
      <c r="V104" s="32"/>
      <c r="W104" s="32"/>
      <c r="X104" s="32"/>
      <c r="Y104" s="32"/>
      <c r="Z104" s="32"/>
    </row>
    <row r="105" spans="1:26" ht="17.25" customHeight="1">
      <c r="A105" s="3"/>
      <c r="B105" s="3"/>
      <c r="C105" s="3"/>
      <c r="D105" s="3"/>
      <c r="E105" s="3"/>
      <c r="F105" s="3"/>
      <c r="G105" s="3"/>
      <c r="H105" s="3"/>
      <c r="I105" s="3"/>
      <c r="J105" s="3"/>
      <c r="K105" s="3"/>
      <c r="L105" s="4"/>
      <c r="M105" s="32"/>
      <c r="N105" s="32"/>
      <c r="O105" s="32"/>
      <c r="P105" s="32"/>
      <c r="Q105" s="32"/>
      <c r="R105" s="32"/>
      <c r="S105" s="32"/>
      <c r="T105" s="32"/>
      <c r="U105" s="32"/>
      <c r="V105" s="32"/>
      <c r="W105" s="32"/>
      <c r="X105" s="32"/>
      <c r="Y105" s="32"/>
      <c r="Z105" s="32"/>
    </row>
    <row r="106" spans="1:26" ht="17.25" customHeight="1">
      <c r="A106" s="3"/>
      <c r="B106" s="3"/>
      <c r="C106" s="3"/>
      <c r="D106" s="3"/>
      <c r="E106" s="3"/>
      <c r="F106" s="3"/>
      <c r="G106" s="3"/>
      <c r="H106" s="3"/>
      <c r="I106" s="3"/>
      <c r="J106" s="3"/>
      <c r="K106" s="3"/>
      <c r="L106" s="4"/>
      <c r="M106" s="32"/>
      <c r="N106" s="32"/>
      <c r="O106" s="32"/>
      <c r="P106" s="32"/>
      <c r="Q106" s="32"/>
      <c r="R106" s="32"/>
      <c r="S106" s="32"/>
      <c r="T106" s="32"/>
      <c r="U106" s="32"/>
      <c r="V106" s="32"/>
      <c r="W106" s="32"/>
      <c r="X106" s="32"/>
      <c r="Y106" s="32"/>
      <c r="Z106" s="32"/>
    </row>
    <row r="107" spans="1:26" ht="17.25" customHeight="1">
      <c r="A107" s="3"/>
      <c r="B107" s="3"/>
      <c r="C107" s="3"/>
      <c r="D107" s="3"/>
      <c r="E107" s="3"/>
      <c r="F107" s="3"/>
      <c r="G107" s="3"/>
      <c r="H107" s="3"/>
      <c r="I107" s="3"/>
      <c r="J107" s="3"/>
      <c r="K107" s="3"/>
      <c r="L107" s="4"/>
      <c r="M107" s="32"/>
      <c r="N107" s="32"/>
      <c r="O107" s="32"/>
      <c r="P107" s="32"/>
      <c r="Q107" s="32"/>
      <c r="R107" s="32"/>
      <c r="S107" s="32"/>
      <c r="T107" s="32"/>
      <c r="U107" s="32"/>
      <c r="V107" s="32"/>
      <c r="W107" s="32"/>
      <c r="X107" s="32"/>
      <c r="Y107" s="32"/>
      <c r="Z107" s="32"/>
    </row>
    <row r="108" spans="1:26" ht="17.25" customHeight="1">
      <c r="A108" s="3"/>
      <c r="B108" s="3"/>
      <c r="C108" s="3"/>
      <c r="D108" s="3"/>
      <c r="E108" s="3"/>
      <c r="F108" s="3"/>
      <c r="G108" s="3"/>
      <c r="H108" s="3"/>
      <c r="I108" s="3"/>
      <c r="J108" s="3"/>
      <c r="K108" s="3"/>
      <c r="L108" s="4"/>
      <c r="M108" s="32"/>
      <c r="N108" s="32"/>
      <c r="O108" s="32"/>
      <c r="P108" s="32"/>
      <c r="Q108" s="32"/>
      <c r="R108" s="32"/>
      <c r="S108" s="32"/>
      <c r="T108" s="32"/>
      <c r="U108" s="32"/>
      <c r="V108" s="32"/>
      <c r="W108" s="32"/>
      <c r="X108" s="32"/>
      <c r="Y108" s="32"/>
      <c r="Z108" s="32"/>
    </row>
    <row r="109" spans="1:26" ht="17.25" customHeight="1">
      <c r="A109" s="3"/>
      <c r="B109" s="3"/>
      <c r="C109" s="3"/>
      <c r="D109" s="3"/>
      <c r="E109" s="3"/>
      <c r="F109" s="3"/>
      <c r="G109" s="3"/>
      <c r="H109" s="3"/>
      <c r="I109" s="3"/>
      <c r="J109" s="3"/>
      <c r="K109" s="3"/>
      <c r="L109" s="4"/>
      <c r="M109" s="32"/>
      <c r="N109" s="32"/>
      <c r="O109" s="32"/>
      <c r="P109" s="32"/>
      <c r="Q109" s="32"/>
      <c r="R109" s="32"/>
      <c r="S109" s="32"/>
      <c r="T109" s="32"/>
      <c r="U109" s="32"/>
      <c r="V109" s="32"/>
      <c r="W109" s="32"/>
      <c r="X109" s="32"/>
      <c r="Y109" s="32"/>
      <c r="Z109" s="32"/>
    </row>
    <row r="110" spans="1:26" ht="17.25" customHeight="1">
      <c r="A110" s="3"/>
      <c r="B110" s="3"/>
      <c r="C110" s="3"/>
      <c r="D110" s="3"/>
      <c r="E110" s="3"/>
      <c r="F110" s="3"/>
      <c r="G110" s="3"/>
      <c r="H110" s="3"/>
      <c r="I110" s="3"/>
      <c r="J110" s="3"/>
      <c r="K110" s="3"/>
      <c r="L110" s="4"/>
      <c r="M110" s="32"/>
      <c r="N110" s="32"/>
      <c r="O110" s="32"/>
      <c r="P110" s="32"/>
      <c r="Q110" s="32"/>
      <c r="R110" s="32"/>
      <c r="S110" s="32"/>
      <c r="T110" s="32"/>
      <c r="U110" s="32"/>
      <c r="V110" s="32"/>
      <c r="W110" s="32"/>
      <c r="X110" s="32"/>
      <c r="Y110" s="32"/>
      <c r="Z110" s="32"/>
    </row>
    <row r="111" spans="1:26" ht="17.25" customHeight="1">
      <c r="A111" s="3"/>
      <c r="B111" s="3"/>
      <c r="C111" s="3"/>
      <c r="D111" s="3"/>
      <c r="E111" s="3"/>
      <c r="F111" s="3"/>
      <c r="G111" s="3"/>
      <c r="H111" s="3"/>
      <c r="I111" s="3"/>
      <c r="J111" s="3"/>
      <c r="K111" s="3"/>
      <c r="L111" s="4"/>
      <c r="M111" s="32"/>
      <c r="N111" s="32"/>
      <c r="O111" s="32"/>
      <c r="P111" s="32"/>
      <c r="Q111" s="32"/>
      <c r="R111" s="32"/>
      <c r="S111" s="32"/>
      <c r="T111" s="32"/>
      <c r="U111" s="32"/>
      <c r="V111" s="32"/>
      <c r="W111" s="32"/>
      <c r="X111" s="32"/>
      <c r="Y111" s="32"/>
      <c r="Z111" s="32"/>
    </row>
    <row r="112" spans="1:26" ht="17.25" customHeight="1">
      <c r="A112" s="3"/>
      <c r="B112" s="3"/>
      <c r="C112" s="3"/>
      <c r="D112" s="3"/>
      <c r="E112" s="3"/>
      <c r="F112" s="3"/>
      <c r="G112" s="3"/>
      <c r="H112" s="3"/>
      <c r="I112" s="3"/>
      <c r="J112" s="3"/>
      <c r="K112" s="3"/>
      <c r="L112" s="4"/>
      <c r="M112" s="32"/>
      <c r="N112" s="32"/>
      <c r="O112" s="32"/>
      <c r="P112" s="32"/>
      <c r="Q112" s="32"/>
      <c r="R112" s="32"/>
      <c r="S112" s="32"/>
      <c r="T112" s="32"/>
      <c r="U112" s="32"/>
      <c r="V112" s="32"/>
      <c r="W112" s="32"/>
      <c r="X112" s="32"/>
      <c r="Y112" s="32"/>
      <c r="Z112" s="32"/>
    </row>
    <row r="113" spans="1:26" ht="17.25" customHeight="1">
      <c r="A113" s="3"/>
      <c r="B113" s="3"/>
      <c r="C113" s="3"/>
      <c r="D113" s="3"/>
      <c r="E113" s="3"/>
      <c r="F113" s="3"/>
      <c r="G113" s="3"/>
      <c r="H113" s="3"/>
      <c r="I113" s="3"/>
      <c r="J113" s="3"/>
      <c r="K113" s="3"/>
      <c r="L113" s="4"/>
      <c r="M113" s="32"/>
      <c r="N113" s="32"/>
      <c r="O113" s="32"/>
      <c r="P113" s="32"/>
      <c r="Q113" s="32"/>
      <c r="R113" s="32"/>
      <c r="S113" s="32"/>
      <c r="T113" s="32"/>
      <c r="U113" s="32"/>
      <c r="V113" s="32"/>
      <c r="W113" s="32"/>
      <c r="X113" s="32"/>
      <c r="Y113" s="32"/>
      <c r="Z113" s="32"/>
    </row>
    <row r="114" spans="1:26" ht="17.25" customHeight="1">
      <c r="A114" s="3"/>
      <c r="B114" s="3"/>
      <c r="C114" s="3"/>
      <c r="D114" s="3"/>
      <c r="E114" s="3"/>
      <c r="F114" s="3"/>
      <c r="G114" s="3"/>
      <c r="H114" s="3"/>
      <c r="I114" s="3"/>
      <c r="J114" s="3"/>
      <c r="K114" s="3"/>
      <c r="L114" s="4"/>
      <c r="M114" s="32"/>
      <c r="N114" s="32"/>
      <c r="O114" s="32"/>
      <c r="P114" s="32"/>
      <c r="Q114" s="32"/>
      <c r="R114" s="32"/>
      <c r="S114" s="32"/>
      <c r="T114" s="32"/>
      <c r="U114" s="32"/>
      <c r="V114" s="32"/>
      <c r="W114" s="32"/>
      <c r="X114" s="32"/>
      <c r="Y114" s="32"/>
      <c r="Z114" s="32"/>
    </row>
    <row r="115" spans="1:26" ht="17.25" customHeight="1">
      <c r="A115" s="3"/>
      <c r="B115" s="3"/>
      <c r="C115" s="3"/>
      <c r="D115" s="3"/>
      <c r="E115" s="3"/>
      <c r="F115" s="3"/>
      <c r="G115" s="3"/>
      <c r="H115" s="3"/>
      <c r="I115" s="3"/>
      <c r="J115" s="3"/>
      <c r="K115" s="3"/>
      <c r="L115" s="4"/>
      <c r="M115" s="32"/>
      <c r="N115" s="32"/>
      <c r="O115" s="32"/>
      <c r="P115" s="32"/>
      <c r="Q115" s="32"/>
      <c r="R115" s="32"/>
      <c r="S115" s="32"/>
      <c r="T115" s="32"/>
      <c r="U115" s="32"/>
      <c r="V115" s="32"/>
      <c r="W115" s="32"/>
      <c r="X115" s="32"/>
      <c r="Y115" s="32"/>
      <c r="Z115" s="32"/>
    </row>
    <row r="116" spans="1:26" ht="17.25" customHeight="1">
      <c r="A116" s="3"/>
      <c r="B116" s="3"/>
      <c r="C116" s="3"/>
      <c r="D116" s="3"/>
      <c r="E116" s="3"/>
      <c r="F116" s="3"/>
      <c r="G116" s="3"/>
      <c r="H116" s="3"/>
      <c r="I116" s="3"/>
      <c r="J116" s="3"/>
      <c r="K116" s="3"/>
      <c r="L116" s="4"/>
      <c r="M116" s="32"/>
      <c r="N116" s="32"/>
      <c r="O116" s="32"/>
      <c r="P116" s="32"/>
      <c r="Q116" s="32"/>
      <c r="R116" s="32"/>
      <c r="S116" s="32"/>
      <c r="T116" s="32"/>
      <c r="U116" s="32"/>
      <c r="V116" s="32"/>
      <c r="W116" s="32"/>
      <c r="X116" s="32"/>
      <c r="Y116" s="32"/>
      <c r="Z116" s="32"/>
    </row>
    <row r="117" spans="1:26" ht="17.25" customHeight="1">
      <c r="A117" s="3"/>
      <c r="B117" s="3"/>
      <c r="C117" s="3"/>
      <c r="D117" s="3"/>
      <c r="E117" s="3"/>
      <c r="F117" s="3"/>
      <c r="G117" s="3"/>
      <c r="H117" s="3"/>
      <c r="I117" s="3"/>
      <c r="J117" s="3"/>
      <c r="K117" s="3"/>
      <c r="L117" s="4"/>
      <c r="M117" s="32"/>
      <c r="N117" s="32"/>
      <c r="O117" s="32"/>
      <c r="P117" s="32"/>
      <c r="Q117" s="32"/>
      <c r="R117" s="32"/>
      <c r="S117" s="32"/>
      <c r="T117" s="32"/>
      <c r="U117" s="32"/>
      <c r="V117" s="32"/>
      <c r="W117" s="32"/>
      <c r="X117" s="32"/>
      <c r="Y117" s="32"/>
      <c r="Z117" s="32"/>
    </row>
    <row r="118" spans="1:26" ht="17.25" customHeight="1">
      <c r="A118" s="3"/>
      <c r="B118" s="3"/>
      <c r="C118" s="3"/>
      <c r="D118" s="3"/>
      <c r="E118" s="3"/>
      <c r="F118" s="3"/>
      <c r="G118" s="3"/>
      <c r="H118" s="3"/>
      <c r="I118" s="3"/>
      <c r="J118" s="3"/>
      <c r="K118" s="3"/>
      <c r="L118" s="4"/>
      <c r="M118" s="32"/>
      <c r="N118" s="32"/>
      <c r="O118" s="32"/>
      <c r="P118" s="32"/>
      <c r="Q118" s="32"/>
      <c r="R118" s="32"/>
      <c r="S118" s="32"/>
      <c r="T118" s="32"/>
      <c r="U118" s="32"/>
      <c r="V118" s="32"/>
      <c r="W118" s="32"/>
      <c r="X118" s="32"/>
      <c r="Y118" s="32"/>
      <c r="Z118" s="32"/>
    </row>
    <row r="119" spans="1:26" ht="17.25" customHeight="1">
      <c r="A119" s="3"/>
      <c r="B119" s="3"/>
      <c r="C119" s="3"/>
      <c r="D119" s="3"/>
      <c r="E119" s="3"/>
      <c r="F119" s="3"/>
      <c r="G119" s="3"/>
      <c r="H119" s="3"/>
      <c r="I119" s="3"/>
      <c r="J119" s="3"/>
      <c r="K119" s="3"/>
      <c r="L119" s="4"/>
      <c r="M119" s="32"/>
      <c r="N119" s="32"/>
      <c r="O119" s="32"/>
      <c r="P119" s="32"/>
      <c r="Q119" s="32"/>
      <c r="R119" s="32"/>
      <c r="S119" s="32"/>
      <c r="T119" s="32"/>
      <c r="U119" s="32"/>
      <c r="V119" s="32"/>
      <c r="W119" s="32"/>
      <c r="X119" s="32"/>
      <c r="Y119" s="32"/>
      <c r="Z119" s="32"/>
    </row>
    <row r="120" spans="1:26" ht="17.25" customHeight="1">
      <c r="A120" s="3"/>
      <c r="B120" s="3"/>
      <c r="C120" s="3"/>
      <c r="D120" s="3"/>
      <c r="E120" s="3"/>
      <c r="F120" s="3"/>
      <c r="G120" s="3"/>
      <c r="H120" s="3"/>
      <c r="I120" s="3"/>
      <c r="J120" s="3"/>
      <c r="K120" s="3"/>
      <c r="L120" s="4"/>
      <c r="M120" s="32"/>
      <c r="N120" s="32"/>
      <c r="O120" s="32"/>
      <c r="P120" s="32"/>
      <c r="Q120" s="32"/>
      <c r="R120" s="32"/>
      <c r="S120" s="32"/>
      <c r="T120" s="32"/>
      <c r="U120" s="32"/>
      <c r="V120" s="32"/>
      <c r="W120" s="32"/>
      <c r="X120" s="32"/>
      <c r="Y120" s="32"/>
      <c r="Z120" s="32"/>
    </row>
    <row r="121" spans="1:26" ht="17.25" customHeight="1">
      <c r="A121" s="3"/>
      <c r="B121" s="3"/>
      <c r="C121" s="3"/>
      <c r="D121" s="3"/>
      <c r="E121" s="3"/>
      <c r="F121" s="3"/>
      <c r="G121" s="3"/>
      <c r="H121" s="3"/>
      <c r="I121" s="3"/>
      <c r="J121" s="3"/>
      <c r="K121" s="3"/>
      <c r="L121" s="4"/>
      <c r="M121" s="32"/>
      <c r="N121" s="32"/>
      <c r="O121" s="32"/>
      <c r="P121" s="32"/>
      <c r="Q121" s="32"/>
      <c r="R121" s="32"/>
      <c r="S121" s="32"/>
      <c r="T121" s="32"/>
      <c r="U121" s="32"/>
      <c r="V121" s="32"/>
      <c r="W121" s="32"/>
      <c r="X121" s="32"/>
      <c r="Y121" s="32"/>
      <c r="Z121" s="32"/>
    </row>
    <row r="122" spans="1:26" ht="17.25" customHeight="1">
      <c r="A122" s="3"/>
      <c r="B122" s="3"/>
      <c r="C122" s="3"/>
      <c r="D122" s="3"/>
      <c r="E122" s="3"/>
      <c r="F122" s="3"/>
      <c r="G122" s="3"/>
      <c r="H122" s="3"/>
      <c r="I122" s="3"/>
      <c r="J122" s="3"/>
      <c r="K122" s="3"/>
      <c r="L122" s="4"/>
      <c r="M122" s="32"/>
      <c r="N122" s="32"/>
      <c r="O122" s="32"/>
      <c r="P122" s="32"/>
      <c r="Q122" s="32"/>
      <c r="R122" s="32"/>
      <c r="S122" s="32"/>
      <c r="T122" s="32"/>
      <c r="U122" s="32"/>
      <c r="V122" s="32"/>
      <c r="W122" s="32"/>
      <c r="X122" s="32"/>
      <c r="Y122" s="32"/>
      <c r="Z122" s="32"/>
    </row>
    <row r="123" spans="1:26" ht="17.25" customHeight="1">
      <c r="A123" s="3"/>
      <c r="B123" s="3"/>
      <c r="C123" s="3"/>
      <c r="D123" s="3"/>
      <c r="E123" s="3"/>
      <c r="F123" s="3"/>
      <c r="G123" s="3"/>
      <c r="H123" s="3"/>
      <c r="I123" s="3"/>
      <c r="J123" s="3"/>
      <c r="K123" s="3"/>
      <c r="L123" s="4"/>
      <c r="M123" s="32"/>
      <c r="N123" s="32"/>
      <c r="O123" s="32"/>
      <c r="P123" s="32"/>
      <c r="Q123" s="32"/>
      <c r="R123" s="32"/>
      <c r="S123" s="32"/>
      <c r="T123" s="32"/>
      <c r="U123" s="32"/>
      <c r="V123" s="32"/>
      <c r="W123" s="32"/>
      <c r="X123" s="32"/>
      <c r="Y123" s="32"/>
      <c r="Z123" s="32"/>
    </row>
    <row r="124" spans="1:26" ht="17.25" customHeight="1">
      <c r="A124" s="3"/>
      <c r="B124" s="3"/>
      <c r="C124" s="3"/>
      <c r="D124" s="3"/>
      <c r="E124" s="3"/>
      <c r="F124" s="3"/>
      <c r="G124" s="3"/>
      <c r="H124" s="3"/>
      <c r="I124" s="3"/>
      <c r="J124" s="3"/>
      <c r="K124" s="3"/>
      <c r="L124" s="4"/>
      <c r="M124" s="32"/>
      <c r="N124" s="32"/>
      <c r="O124" s="32"/>
      <c r="P124" s="32"/>
      <c r="Q124" s="32"/>
      <c r="R124" s="32"/>
      <c r="S124" s="32"/>
      <c r="T124" s="32"/>
      <c r="U124" s="32"/>
      <c r="V124" s="32"/>
      <c r="W124" s="32"/>
      <c r="X124" s="32"/>
      <c r="Y124" s="32"/>
      <c r="Z124" s="32"/>
    </row>
    <row r="125" spans="1:26" ht="17.25" customHeight="1">
      <c r="A125" s="3"/>
      <c r="B125" s="3"/>
      <c r="C125" s="3"/>
      <c r="D125" s="3"/>
      <c r="E125" s="3"/>
      <c r="F125" s="3"/>
      <c r="G125" s="3"/>
      <c r="H125" s="3"/>
      <c r="I125" s="3"/>
      <c r="J125" s="3"/>
      <c r="K125" s="3"/>
      <c r="L125" s="4"/>
      <c r="M125" s="32"/>
      <c r="N125" s="32"/>
      <c r="O125" s="32"/>
      <c r="P125" s="32"/>
      <c r="Q125" s="32"/>
      <c r="R125" s="32"/>
      <c r="S125" s="32"/>
      <c r="T125" s="32"/>
      <c r="U125" s="32"/>
      <c r="V125" s="32"/>
      <c r="W125" s="32"/>
      <c r="X125" s="32"/>
      <c r="Y125" s="32"/>
      <c r="Z125" s="32"/>
    </row>
    <row r="126" spans="1:26" ht="17.25" customHeight="1">
      <c r="A126" s="3"/>
      <c r="B126" s="3"/>
      <c r="C126" s="3"/>
      <c r="D126" s="3"/>
      <c r="E126" s="3"/>
      <c r="F126" s="3"/>
      <c r="G126" s="3"/>
      <c r="H126" s="3"/>
      <c r="I126" s="3"/>
      <c r="J126" s="3"/>
      <c r="K126" s="3"/>
      <c r="L126" s="4"/>
      <c r="M126" s="32"/>
      <c r="N126" s="32"/>
      <c r="O126" s="32"/>
      <c r="P126" s="32"/>
      <c r="Q126" s="32"/>
      <c r="R126" s="32"/>
      <c r="S126" s="32"/>
      <c r="T126" s="32"/>
      <c r="U126" s="32"/>
      <c r="V126" s="32"/>
      <c r="W126" s="32"/>
      <c r="X126" s="32"/>
      <c r="Y126" s="32"/>
      <c r="Z126" s="32"/>
    </row>
    <row r="127" spans="1:26" ht="17.25" customHeight="1">
      <c r="A127" s="3"/>
      <c r="B127" s="3"/>
      <c r="C127" s="3"/>
      <c r="D127" s="3"/>
      <c r="E127" s="3"/>
      <c r="F127" s="3"/>
      <c r="G127" s="3"/>
      <c r="H127" s="3"/>
      <c r="I127" s="3"/>
      <c r="J127" s="3"/>
      <c r="K127" s="3"/>
      <c r="L127" s="4"/>
      <c r="M127" s="32"/>
      <c r="N127" s="32"/>
      <c r="O127" s="32"/>
      <c r="P127" s="32"/>
      <c r="Q127" s="32"/>
      <c r="R127" s="32"/>
      <c r="S127" s="32"/>
      <c r="T127" s="32"/>
      <c r="U127" s="32"/>
      <c r="V127" s="32"/>
      <c r="W127" s="32"/>
      <c r="X127" s="32"/>
      <c r="Y127" s="32"/>
      <c r="Z127" s="32"/>
    </row>
    <row r="128" spans="1:26" ht="17.25" customHeight="1">
      <c r="A128" s="3"/>
      <c r="B128" s="3"/>
      <c r="C128" s="3"/>
      <c r="D128" s="3"/>
      <c r="E128" s="3"/>
      <c r="F128" s="3"/>
      <c r="G128" s="3"/>
      <c r="H128" s="3"/>
      <c r="I128" s="3"/>
      <c r="J128" s="3"/>
      <c r="K128" s="3"/>
      <c r="L128" s="4"/>
      <c r="M128" s="32"/>
      <c r="N128" s="32"/>
      <c r="O128" s="32"/>
      <c r="P128" s="32"/>
      <c r="Q128" s="32"/>
      <c r="R128" s="32"/>
      <c r="S128" s="32"/>
      <c r="T128" s="32"/>
      <c r="U128" s="32"/>
      <c r="V128" s="32"/>
      <c r="W128" s="32"/>
      <c r="X128" s="32"/>
      <c r="Y128" s="32"/>
      <c r="Z128" s="32"/>
    </row>
    <row r="129" spans="1:26" ht="17.25" customHeight="1">
      <c r="A129" s="3"/>
      <c r="B129" s="3"/>
      <c r="C129" s="3"/>
      <c r="D129" s="3"/>
      <c r="E129" s="3"/>
      <c r="F129" s="3"/>
      <c r="G129" s="3"/>
      <c r="H129" s="3"/>
      <c r="I129" s="3"/>
      <c r="J129" s="3"/>
      <c r="K129" s="3"/>
      <c r="L129" s="4"/>
      <c r="M129" s="32"/>
      <c r="N129" s="32"/>
      <c r="O129" s="32"/>
      <c r="P129" s="32"/>
      <c r="Q129" s="32"/>
      <c r="R129" s="32"/>
      <c r="S129" s="32"/>
      <c r="T129" s="32"/>
      <c r="U129" s="32"/>
      <c r="V129" s="32"/>
      <c r="W129" s="32"/>
      <c r="X129" s="32"/>
      <c r="Y129" s="32"/>
      <c r="Z129" s="32"/>
    </row>
    <row r="130" spans="1:26" ht="17.25" customHeight="1">
      <c r="A130" s="3"/>
      <c r="B130" s="3"/>
      <c r="C130" s="3"/>
      <c r="D130" s="3"/>
      <c r="E130" s="3"/>
      <c r="F130" s="3"/>
      <c r="G130" s="3"/>
      <c r="H130" s="3"/>
      <c r="I130" s="3"/>
      <c r="J130" s="3"/>
      <c r="K130" s="3"/>
      <c r="L130" s="4"/>
      <c r="M130" s="32"/>
      <c r="N130" s="32"/>
      <c r="O130" s="32"/>
      <c r="P130" s="32"/>
      <c r="Q130" s="32"/>
      <c r="R130" s="32"/>
      <c r="S130" s="32"/>
      <c r="T130" s="32"/>
      <c r="U130" s="32"/>
      <c r="V130" s="32"/>
      <c r="W130" s="32"/>
      <c r="X130" s="32"/>
      <c r="Y130" s="32"/>
      <c r="Z130" s="32"/>
    </row>
    <row r="131" spans="1:26" ht="17.25" customHeight="1">
      <c r="A131" s="3"/>
      <c r="B131" s="3"/>
      <c r="C131" s="3"/>
      <c r="D131" s="3"/>
      <c r="E131" s="3"/>
      <c r="F131" s="3"/>
      <c r="G131" s="3"/>
      <c r="H131" s="3"/>
      <c r="I131" s="3"/>
      <c r="J131" s="3"/>
      <c r="K131" s="3"/>
      <c r="L131" s="4"/>
      <c r="M131" s="32"/>
      <c r="N131" s="32"/>
      <c r="O131" s="32"/>
      <c r="P131" s="32"/>
      <c r="Q131" s="32"/>
      <c r="R131" s="32"/>
      <c r="S131" s="32"/>
      <c r="T131" s="32"/>
      <c r="U131" s="32"/>
      <c r="V131" s="32"/>
      <c r="W131" s="32"/>
      <c r="X131" s="32"/>
      <c r="Y131" s="32"/>
      <c r="Z131" s="32"/>
    </row>
    <row r="132" spans="1:26" ht="17.25" customHeight="1">
      <c r="A132" s="3"/>
      <c r="B132" s="3"/>
      <c r="C132" s="3"/>
      <c r="D132" s="3"/>
      <c r="E132" s="3"/>
      <c r="F132" s="3"/>
      <c r="G132" s="3"/>
      <c r="H132" s="3"/>
      <c r="I132" s="3"/>
      <c r="J132" s="3"/>
      <c r="K132" s="3"/>
      <c r="L132" s="4"/>
      <c r="M132" s="32"/>
      <c r="N132" s="32"/>
      <c r="O132" s="32"/>
      <c r="P132" s="32"/>
      <c r="Q132" s="32"/>
      <c r="R132" s="32"/>
      <c r="S132" s="32"/>
      <c r="T132" s="32"/>
      <c r="U132" s="32"/>
      <c r="V132" s="32"/>
      <c r="W132" s="32"/>
      <c r="X132" s="32"/>
      <c r="Y132" s="32"/>
      <c r="Z132" s="32"/>
    </row>
    <row r="133" spans="1:26" ht="17.25" customHeight="1">
      <c r="A133" s="3"/>
      <c r="B133" s="3"/>
      <c r="C133" s="3"/>
      <c r="D133" s="3"/>
      <c r="E133" s="3"/>
      <c r="F133" s="3"/>
      <c r="G133" s="3"/>
      <c r="H133" s="3"/>
      <c r="I133" s="3"/>
      <c r="J133" s="3"/>
      <c r="K133" s="3"/>
      <c r="L133" s="4"/>
      <c r="M133" s="32"/>
      <c r="N133" s="32"/>
      <c r="O133" s="32"/>
      <c r="P133" s="32"/>
      <c r="Q133" s="32"/>
      <c r="R133" s="32"/>
      <c r="S133" s="32"/>
      <c r="T133" s="32"/>
      <c r="U133" s="32"/>
      <c r="V133" s="32"/>
      <c r="W133" s="32"/>
      <c r="X133" s="32"/>
      <c r="Y133" s="32"/>
      <c r="Z133" s="32"/>
    </row>
    <row r="134" spans="1:26" ht="17.25" customHeight="1">
      <c r="A134" s="3"/>
      <c r="B134" s="3"/>
      <c r="C134" s="3"/>
      <c r="D134" s="3"/>
      <c r="E134" s="3"/>
      <c r="F134" s="3"/>
      <c r="G134" s="3"/>
      <c r="H134" s="3"/>
      <c r="I134" s="3"/>
      <c r="J134" s="3"/>
      <c r="K134" s="3"/>
      <c r="L134" s="4"/>
      <c r="M134" s="32"/>
      <c r="N134" s="32"/>
      <c r="O134" s="32"/>
      <c r="P134" s="32"/>
      <c r="Q134" s="32"/>
      <c r="R134" s="32"/>
      <c r="S134" s="32"/>
      <c r="T134" s="32"/>
      <c r="U134" s="32"/>
      <c r="V134" s="32"/>
      <c r="W134" s="32"/>
      <c r="X134" s="32"/>
      <c r="Y134" s="32"/>
      <c r="Z134" s="32"/>
    </row>
    <row r="135" spans="1:26" ht="17.25" customHeight="1">
      <c r="A135" s="3"/>
      <c r="B135" s="3"/>
      <c r="C135" s="3"/>
      <c r="D135" s="3"/>
      <c r="E135" s="3"/>
      <c r="F135" s="3"/>
      <c r="G135" s="3"/>
      <c r="H135" s="3"/>
      <c r="I135" s="3"/>
      <c r="J135" s="3"/>
      <c r="K135" s="3"/>
      <c r="L135" s="4"/>
      <c r="M135" s="32"/>
      <c r="N135" s="32"/>
      <c r="O135" s="32"/>
      <c r="P135" s="32"/>
      <c r="Q135" s="32"/>
      <c r="R135" s="32"/>
      <c r="S135" s="32"/>
      <c r="T135" s="32"/>
      <c r="U135" s="32"/>
      <c r="V135" s="32"/>
      <c r="W135" s="32"/>
      <c r="X135" s="32"/>
      <c r="Y135" s="32"/>
      <c r="Z135" s="32"/>
    </row>
    <row r="136" spans="1:26" ht="17.25" customHeight="1">
      <c r="A136" s="3"/>
      <c r="B136" s="3"/>
      <c r="C136" s="3"/>
      <c r="D136" s="3"/>
      <c r="E136" s="3"/>
      <c r="F136" s="3"/>
      <c r="G136" s="3"/>
      <c r="H136" s="3"/>
      <c r="I136" s="3"/>
      <c r="J136" s="3"/>
      <c r="K136" s="3"/>
      <c r="L136" s="4"/>
      <c r="M136" s="32"/>
      <c r="N136" s="32"/>
      <c r="O136" s="32"/>
      <c r="P136" s="32"/>
      <c r="Q136" s="32"/>
      <c r="R136" s="32"/>
      <c r="S136" s="32"/>
      <c r="T136" s="32"/>
      <c r="U136" s="32"/>
      <c r="V136" s="32"/>
      <c r="W136" s="32"/>
      <c r="X136" s="32"/>
      <c r="Y136" s="32"/>
      <c r="Z136" s="32"/>
    </row>
    <row r="137" spans="1:26" ht="17.25" customHeight="1">
      <c r="A137" s="3"/>
      <c r="B137" s="3"/>
      <c r="C137" s="3"/>
      <c r="D137" s="3"/>
      <c r="E137" s="3"/>
      <c r="F137" s="3"/>
      <c r="G137" s="3"/>
      <c r="H137" s="3"/>
      <c r="I137" s="3"/>
      <c r="J137" s="3"/>
      <c r="K137" s="3"/>
      <c r="L137" s="4"/>
      <c r="M137" s="32"/>
      <c r="N137" s="32"/>
      <c r="O137" s="32"/>
      <c r="P137" s="32"/>
      <c r="Q137" s="32"/>
      <c r="R137" s="32"/>
      <c r="S137" s="32"/>
      <c r="T137" s="32"/>
      <c r="U137" s="32"/>
      <c r="V137" s="32"/>
      <c r="W137" s="32"/>
      <c r="X137" s="32"/>
      <c r="Y137" s="32"/>
      <c r="Z137" s="32"/>
    </row>
    <row r="138" spans="1:26" ht="17.25" customHeight="1">
      <c r="A138" s="3"/>
      <c r="B138" s="3"/>
      <c r="C138" s="3"/>
      <c r="D138" s="3"/>
      <c r="E138" s="3"/>
      <c r="F138" s="3"/>
      <c r="G138" s="3"/>
      <c r="H138" s="3"/>
      <c r="I138" s="3"/>
      <c r="J138" s="3"/>
      <c r="K138" s="3"/>
      <c r="L138" s="4"/>
      <c r="M138" s="32"/>
      <c r="N138" s="32"/>
      <c r="O138" s="32"/>
      <c r="P138" s="32"/>
      <c r="Q138" s="32"/>
      <c r="R138" s="32"/>
      <c r="S138" s="32"/>
      <c r="T138" s="32"/>
      <c r="U138" s="32"/>
      <c r="V138" s="32"/>
      <c r="W138" s="32"/>
      <c r="X138" s="32"/>
      <c r="Y138" s="32"/>
      <c r="Z138" s="32"/>
    </row>
    <row r="139" spans="1:26" ht="17.25" customHeight="1">
      <c r="A139" s="3"/>
      <c r="B139" s="3"/>
      <c r="C139" s="3"/>
      <c r="D139" s="3"/>
      <c r="E139" s="3"/>
      <c r="F139" s="3"/>
      <c r="G139" s="3"/>
      <c r="H139" s="3"/>
      <c r="I139" s="3"/>
      <c r="J139" s="3"/>
      <c r="K139" s="3"/>
      <c r="L139" s="4"/>
      <c r="M139" s="32"/>
      <c r="N139" s="32"/>
      <c r="O139" s="32"/>
      <c r="P139" s="32"/>
      <c r="Q139" s="32"/>
      <c r="R139" s="32"/>
      <c r="S139" s="32"/>
      <c r="T139" s="32"/>
      <c r="U139" s="32"/>
      <c r="V139" s="32"/>
      <c r="W139" s="32"/>
      <c r="X139" s="32"/>
      <c r="Y139" s="32"/>
      <c r="Z139" s="32"/>
    </row>
    <row r="140" spans="1:26" ht="17.25" customHeight="1">
      <c r="A140" s="3"/>
      <c r="B140" s="3"/>
      <c r="C140" s="3"/>
      <c r="D140" s="3"/>
      <c r="E140" s="3"/>
      <c r="F140" s="3"/>
      <c r="G140" s="3"/>
      <c r="H140" s="3"/>
      <c r="I140" s="3"/>
      <c r="J140" s="3"/>
      <c r="K140" s="3"/>
      <c r="L140" s="4"/>
      <c r="M140" s="32"/>
      <c r="N140" s="32"/>
      <c r="O140" s="32"/>
      <c r="P140" s="32"/>
      <c r="Q140" s="32"/>
      <c r="R140" s="32"/>
      <c r="S140" s="32"/>
      <c r="T140" s="32"/>
      <c r="U140" s="32"/>
      <c r="V140" s="32"/>
      <c r="W140" s="32"/>
      <c r="X140" s="32"/>
      <c r="Y140" s="32"/>
      <c r="Z140" s="32"/>
    </row>
    <row r="141" spans="1:26" ht="17.25" customHeight="1">
      <c r="A141" s="3"/>
      <c r="B141" s="3"/>
      <c r="C141" s="3"/>
      <c r="D141" s="3"/>
      <c r="E141" s="3"/>
      <c r="F141" s="3"/>
      <c r="G141" s="3"/>
      <c r="H141" s="3"/>
      <c r="I141" s="3"/>
      <c r="J141" s="3"/>
      <c r="K141" s="3"/>
      <c r="L141" s="4"/>
      <c r="M141" s="32"/>
      <c r="N141" s="32"/>
      <c r="O141" s="32"/>
      <c r="P141" s="32"/>
      <c r="Q141" s="32"/>
      <c r="R141" s="32"/>
      <c r="S141" s="32"/>
      <c r="T141" s="32"/>
      <c r="U141" s="32"/>
      <c r="V141" s="32"/>
      <c r="W141" s="32"/>
      <c r="X141" s="32"/>
      <c r="Y141" s="32"/>
      <c r="Z141" s="32"/>
    </row>
    <row r="142" spans="1:26" ht="17.25" customHeight="1">
      <c r="A142" s="3"/>
      <c r="B142" s="3"/>
      <c r="C142" s="3"/>
      <c r="D142" s="3"/>
      <c r="E142" s="3"/>
      <c r="F142" s="3"/>
      <c r="G142" s="3"/>
      <c r="H142" s="3"/>
      <c r="I142" s="3"/>
      <c r="J142" s="3"/>
      <c r="K142" s="3"/>
      <c r="L142" s="4"/>
      <c r="M142" s="32"/>
      <c r="N142" s="32"/>
      <c r="O142" s="32"/>
      <c r="P142" s="32"/>
      <c r="Q142" s="32"/>
      <c r="R142" s="32"/>
      <c r="S142" s="32"/>
      <c r="T142" s="32"/>
      <c r="U142" s="32"/>
      <c r="V142" s="32"/>
      <c r="W142" s="32"/>
      <c r="X142" s="32"/>
      <c r="Y142" s="32"/>
      <c r="Z142" s="32"/>
    </row>
    <row r="143" spans="1:26" ht="17.25" customHeight="1">
      <c r="A143" s="3"/>
      <c r="B143" s="3"/>
      <c r="C143" s="3"/>
      <c r="D143" s="3"/>
      <c r="E143" s="3"/>
      <c r="F143" s="3"/>
      <c r="G143" s="3"/>
      <c r="H143" s="3"/>
      <c r="I143" s="3"/>
      <c r="J143" s="3"/>
      <c r="K143" s="3"/>
      <c r="L143" s="4"/>
      <c r="M143" s="32"/>
      <c r="N143" s="32"/>
      <c r="O143" s="32"/>
      <c r="P143" s="32"/>
      <c r="Q143" s="32"/>
      <c r="R143" s="32"/>
      <c r="S143" s="32"/>
      <c r="T143" s="32"/>
      <c r="U143" s="32"/>
      <c r="V143" s="32"/>
      <c r="W143" s="32"/>
      <c r="X143" s="32"/>
      <c r="Y143" s="32"/>
      <c r="Z143" s="32"/>
    </row>
    <row r="144" spans="1:26" ht="17.25" customHeight="1">
      <c r="A144" s="3"/>
      <c r="B144" s="3"/>
      <c r="C144" s="3"/>
      <c r="D144" s="3"/>
      <c r="E144" s="3"/>
      <c r="F144" s="3"/>
      <c r="G144" s="3"/>
      <c r="H144" s="3"/>
      <c r="I144" s="3"/>
      <c r="J144" s="3"/>
      <c r="K144" s="3"/>
      <c r="L144" s="4"/>
      <c r="M144" s="32"/>
      <c r="N144" s="32"/>
      <c r="O144" s="32"/>
      <c r="P144" s="32"/>
      <c r="Q144" s="32"/>
      <c r="R144" s="32"/>
      <c r="S144" s="32"/>
      <c r="T144" s="32"/>
      <c r="U144" s="32"/>
      <c r="V144" s="32"/>
      <c r="W144" s="32"/>
      <c r="X144" s="32"/>
      <c r="Y144" s="32"/>
      <c r="Z144" s="32"/>
    </row>
    <row r="145" spans="1:26" ht="17.25" customHeight="1">
      <c r="A145" s="3"/>
      <c r="B145" s="3"/>
      <c r="C145" s="3"/>
      <c r="D145" s="3"/>
      <c r="E145" s="3"/>
      <c r="F145" s="3"/>
      <c r="G145" s="3"/>
      <c r="H145" s="3"/>
      <c r="I145" s="3"/>
      <c r="J145" s="3"/>
      <c r="K145" s="3"/>
      <c r="L145" s="4"/>
      <c r="M145" s="32"/>
      <c r="N145" s="32"/>
      <c r="O145" s="32"/>
      <c r="P145" s="32"/>
      <c r="Q145" s="32"/>
      <c r="R145" s="32"/>
      <c r="S145" s="32"/>
      <c r="T145" s="32"/>
      <c r="U145" s="32"/>
      <c r="V145" s="32"/>
      <c r="W145" s="32"/>
      <c r="X145" s="32"/>
      <c r="Y145" s="32"/>
      <c r="Z145" s="32"/>
    </row>
    <row r="146" spans="1:26" ht="17.25" customHeight="1">
      <c r="A146" s="3"/>
      <c r="B146" s="3"/>
      <c r="C146" s="3"/>
      <c r="D146" s="3"/>
      <c r="E146" s="3"/>
      <c r="F146" s="3"/>
      <c r="G146" s="3"/>
      <c r="H146" s="3"/>
      <c r="I146" s="3"/>
      <c r="J146" s="3"/>
      <c r="K146" s="3"/>
      <c r="L146" s="4"/>
      <c r="M146" s="32"/>
      <c r="N146" s="32"/>
      <c r="O146" s="32"/>
      <c r="P146" s="32"/>
      <c r="Q146" s="32"/>
      <c r="R146" s="32"/>
      <c r="S146" s="32"/>
      <c r="T146" s="32"/>
      <c r="U146" s="32"/>
      <c r="V146" s="32"/>
      <c r="W146" s="32"/>
      <c r="X146" s="32"/>
      <c r="Y146" s="32"/>
      <c r="Z146" s="32"/>
    </row>
    <row r="147" spans="1:26" ht="17.25" customHeight="1">
      <c r="A147" s="3"/>
      <c r="B147" s="3"/>
      <c r="C147" s="3"/>
      <c r="D147" s="3"/>
      <c r="E147" s="3"/>
      <c r="F147" s="3"/>
      <c r="G147" s="3"/>
      <c r="H147" s="3"/>
      <c r="I147" s="3"/>
      <c r="J147" s="3"/>
      <c r="K147" s="3"/>
      <c r="L147" s="4"/>
      <c r="M147" s="32"/>
      <c r="N147" s="32"/>
      <c r="O147" s="32"/>
      <c r="P147" s="32"/>
      <c r="Q147" s="32"/>
      <c r="R147" s="32"/>
      <c r="S147" s="32"/>
      <c r="T147" s="32"/>
      <c r="U147" s="32"/>
      <c r="V147" s="32"/>
      <c r="W147" s="32"/>
      <c r="X147" s="32"/>
      <c r="Y147" s="32"/>
      <c r="Z147" s="32"/>
    </row>
    <row r="148" spans="1:26" ht="17.25" customHeight="1">
      <c r="A148" s="3"/>
      <c r="B148" s="3"/>
      <c r="C148" s="3"/>
      <c r="D148" s="3"/>
      <c r="E148" s="3"/>
      <c r="F148" s="3"/>
      <c r="G148" s="3"/>
      <c r="H148" s="3"/>
      <c r="I148" s="3"/>
      <c r="J148" s="3"/>
      <c r="K148" s="3"/>
      <c r="L148" s="4"/>
      <c r="M148" s="32"/>
      <c r="N148" s="32"/>
      <c r="O148" s="32"/>
      <c r="P148" s="32"/>
      <c r="Q148" s="32"/>
      <c r="R148" s="32"/>
      <c r="S148" s="32"/>
      <c r="T148" s="32"/>
      <c r="U148" s="32"/>
      <c r="V148" s="32"/>
      <c r="W148" s="32"/>
      <c r="X148" s="32"/>
      <c r="Y148" s="32"/>
      <c r="Z148" s="32"/>
    </row>
    <row r="149" spans="1:26" ht="17.25" customHeight="1">
      <c r="A149" s="3"/>
      <c r="B149" s="3"/>
      <c r="C149" s="3"/>
      <c r="D149" s="3"/>
      <c r="E149" s="3"/>
      <c r="F149" s="3"/>
      <c r="G149" s="3"/>
      <c r="H149" s="3"/>
      <c r="I149" s="3"/>
      <c r="J149" s="3"/>
      <c r="K149" s="3"/>
      <c r="L149" s="4"/>
      <c r="M149" s="32"/>
      <c r="N149" s="32"/>
      <c r="O149" s="32"/>
      <c r="P149" s="32"/>
      <c r="Q149" s="32"/>
      <c r="R149" s="32"/>
      <c r="S149" s="32"/>
      <c r="T149" s="32"/>
      <c r="U149" s="32"/>
      <c r="V149" s="32"/>
      <c r="W149" s="32"/>
      <c r="X149" s="32"/>
      <c r="Y149" s="32"/>
      <c r="Z149" s="32"/>
    </row>
    <row r="150" spans="1:26" ht="17.25" customHeight="1">
      <c r="A150" s="3"/>
      <c r="B150" s="3"/>
      <c r="C150" s="3"/>
      <c r="D150" s="3"/>
      <c r="E150" s="3"/>
      <c r="F150" s="3"/>
      <c r="G150" s="3"/>
      <c r="H150" s="3"/>
      <c r="I150" s="3"/>
      <c r="J150" s="3"/>
      <c r="K150" s="3"/>
      <c r="L150" s="4"/>
      <c r="M150" s="32"/>
      <c r="N150" s="32"/>
      <c r="O150" s="32"/>
      <c r="P150" s="32"/>
      <c r="Q150" s="32"/>
      <c r="R150" s="32"/>
      <c r="S150" s="32"/>
      <c r="T150" s="32"/>
      <c r="U150" s="32"/>
      <c r="V150" s="32"/>
      <c r="W150" s="32"/>
      <c r="X150" s="32"/>
      <c r="Y150" s="32"/>
      <c r="Z150" s="32"/>
    </row>
    <row r="151" spans="1:26" ht="17.25" customHeight="1">
      <c r="A151" s="3"/>
      <c r="B151" s="3"/>
      <c r="C151" s="3"/>
      <c r="D151" s="3"/>
      <c r="E151" s="3"/>
      <c r="F151" s="3"/>
      <c r="G151" s="3"/>
      <c r="H151" s="3"/>
      <c r="I151" s="3"/>
      <c r="J151" s="3"/>
      <c r="K151" s="3"/>
      <c r="L151" s="4"/>
      <c r="M151" s="32"/>
      <c r="N151" s="32"/>
      <c r="O151" s="32"/>
      <c r="P151" s="32"/>
      <c r="Q151" s="32"/>
      <c r="R151" s="32"/>
      <c r="S151" s="32"/>
      <c r="T151" s="32"/>
      <c r="U151" s="32"/>
      <c r="V151" s="32"/>
      <c r="W151" s="32"/>
      <c r="X151" s="32"/>
      <c r="Y151" s="32"/>
      <c r="Z151" s="32"/>
    </row>
    <row r="152" spans="1:26" ht="17.25" customHeight="1">
      <c r="A152" s="3"/>
      <c r="B152" s="3"/>
      <c r="C152" s="3"/>
      <c r="D152" s="3"/>
      <c r="E152" s="3"/>
      <c r="F152" s="3"/>
      <c r="G152" s="3"/>
      <c r="H152" s="3"/>
      <c r="I152" s="3"/>
      <c r="J152" s="3"/>
      <c r="K152" s="3"/>
      <c r="L152" s="4"/>
      <c r="M152" s="32"/>
      <c r="N152" s="32"/>
      <c r="O152" s="32"/>
      <c r="P152" s="32"/>
      <c r="Q152" s="32"/>
      <c r="R152" s="32"/>
      <c r="S152" s="32"/>
      <c r="T152" s="32"/>
      <c r="U152" s="32"/>
      <c r="V152" s="32"/>
      <c r="W152" s="32"/>
      <c r="X152" s="32"/>
      <c r="Y152" s="32"/>
      <c r="Z152" s="32"/>
    </row>
    <row r="153" spans="1:26" ht="17.25" customHeight="1">
      <c r="A153" s="3"/>
      <c r="B153" s="3"/>
      <c r="C153" s="3"/>
      <c r="D153" s="3"/>
      <c r="E153" s="3"/>
      <c r="F153" s="3"/>
      <c r="G153" s="3"/>
      <c r="H153" s="3"/>
      <c r="I153" s="3"/>
      <c r="J153" s="3"/>
      <c r="K153" s="3"/>
      <c r="L153" s="4"/>
      <c r="M153" s="32"/>
      <c r="N153" s="32"/>
      <c r="O153" s="32"/>
      <c r="P153" s="32"/>
      <c r="Q153" s="32"/>
      <c r="R153" s="32"/>
      <c r="S153" s="32"/>
      <c r="T153" s="32"/>
      <c r="U153" s="32"/>
      <c r="V153" s="32"/>
      <c r="W153" s="32"/>
      <c r="X153" s="32"/>
      <c r="Y153" s="32"/>
      <c r="Z153" s="32"/>
    </row>
    <row r="154" spans="1:26" ht="17.25" customHeight="1">
      <c r="A154" s="3"/>
      <c r="B154" s="3"/>
      <c r="C154" s="3"/>
      <c r="D154" s="3"/>
      <c r="E154" s="3"/>
      <c r="F154" s="3"/>
      <c r="G154" s="3"/>
      <c r="H154" s="3"/>
      <c r="I154" s="3"/>
      <c r="J154" s="3"/>
      <c r="K154" s="3"/>
      <c r="L154" s="4"/>
      <c r="M154" s="32"/>
      <c r="N154" s="32"/>
      <c r="O154" s="32"/>
      <c r="P154" s="32"/>
      <c r="Q154" s="32"/>
      <c r="R154" s="32"/>
      <c r="S154" s="32"/>
      <c r="T154" s="32"/>
      <c r="U154" s="32"/>
      <c r="V154" s="32"/>
      <c r="W154" s="32"/>
      <c r="X154" s="32"/>
      <c r="Y154" s="32"/>
      <c r="Z154" s="32"/>
    </row>
    <row r="155" spans="1:26" ht="17.25" customHeight="1">
      <c r="A155" s="3"/>
      <c r="B155" s="3"/>
      <c r="C155" s="3"/>
      <c r="D155" s="3"/>
      <c r="E155" s="3"/>
      <c r="F155" s="3"/>
      <c r="G155" s="3"/>
      <c r="H155" s="3"/>
      <c r="I155" s="3"/>
      <c r="J155" s="3"/>
      <c r="K155" s="3"/>
      <c r="L155" s="4"/>
      <c r="M155" s="32"/>
      <c r="N155" s="32"/>
      <c r="O155" s="32"/>
      <c r="P155" s="32"/>
      <c r="Q155" s="32"/>
      <c r="R155" s="32"/>
      <c r="S155" s="32"/>
      <c r="T155" s="32"/>
      <c r="U155" s="32"/>
      <c r="V155" s="32"/>
      <c r="W155" s="32"/>
      <c r="X155" s="32"/>
      <c r="Y155" s="32"/>
      <c r="Z155" s="32"/>
    </row>
    <row r="156" spans="1:26" ht="17.25" customHeight="1">
      <c r="A156" s="3"/>
      <c r="B156" s="3"/>
      <c r="C156" s="3"/>
      <c r="D156" s="3"/>
      <c r="E156" s="3"/>
      <c r="F156" s="3"/>
      <c r="G156" s="3"/>
      <c r="H156" s="3"/>
      <c r="I156" s="3"/>
      <c r="J156" s="3"/>
      <c r="K156" s="3"/>
      <c r="L156" s="4"/>
      <c r="M156" s="32"/>
      <c r="N156" s="32"/>
      <c r="O156" s="32"/>
      <c r="P156" s="32"/>
      <c r="Q156" s="32"/>
      <c r="R156" s="32"/>
      <c r="S156" s="32"/>
      <c r="T156" s="32"/>
      <c r="U156" s="32"/>
      <c r="V156" s="32"/>
      <c r="W156" s="32"/>
      <c r="X156" s="32"/>
      <c r="Y156" s="32"/>
      <c r="Z156" s="32"/>
    </row>
    <row r="157" spans="1:26" ht="17.25" customHeight="1">
      <c r="A157" s="3"/>
      <c r="B157" s="3"/>
      <c r="C157" s="3"/>
      <c r="D157" s="3"/>
      <c r="E157" s="3"/>
      <c r="F157" s="3"/>
      <c r="G157" s="3"/>
      <c r="H157" s="3"/>
      <c r="I157" s="3"/>
      <c r="J157" s="3"/>
      <c r="K157" s="3"/>
      <c r="L157" s="4"/>
      <c r="M157" s="32"/>
      <c r="N157" s="32"/>
      <c r="O157" s="32"/>
      <c r="P157" s="32"/>
      <c r="Q157" s="32"/>
      <c r="R157" s="32"/>
      <c r="S157" s="32"/>
      <c r="T157" s="32"/>
      <c r="U157" s="32"/>
      <c r="V157" s="32"/>
      <c r="W157" s="32"/>
      <c r="X157" s="32"/>
      <c r="Y157" s="32"/>
      <c r="Z157" s="32"/>
    </row>
    <row r="158" spans="1:26" ht="17.25" customHeight="1">
      <c r="A158" s="3"/>
      <c r="B158" s="3"/>
      <c r="C158" s="3"/>
      <c r="D158" s="3"/>
      <c r="E158" s="3"/>
      <c r="F158" s="3"/>
      <c r="G158" s="3"/>
      <c r="H158" s="3"/>
      <c r="I158" s="3"/>
      <c r="J158" s="3"/>
      <c r="K158" s="3"/>
      <c r="L158" s="4"/>
      <c r="M158" s="32"/>
      <c r="N158" s="32"/>
      <c r="O158" s="32"/>
      <c r="P158" s="32"/>
      <c r="Q158" s="32"/>
      <c r="R158" s="32"/>
      <c r="S158" s="32"/>
      <c r="T158" s="32"/>
      <c r="U158" s="32"/>
      <c r="V158" s="32"/>
      <c r="W158" s="32"/>
      <c r="X158" s="32"/>
      <c r="Y158" s="32"/>
      <c r="Z158" s="32"/>
    </row>
    <row r="159" spans="1:26" ht="17.25" customHeight="1">
      <c r="A159" s="3"/>
      <c r="B159" s="3"/>
      <c r="C159" s="3"/>
      <c r="D159" s="3"/>
      <c r="E159" s="3"/>
      <c r="F159" s="3"/>
      <c r="G159" s="3"/>
      <c r="H159" s="3"/>
      <c r="I159" s="3"/>
      <c r="J159" s="3"/>
      <c r="K159" s="3"/>
      <c r="L159" s="4"/>
      <c r="M159" s="32"/>
      <c r="N159" s="32"/>
      <c r="O159" s="32"/>
      <c r="P159" s="32"/>
      <c r="Q159" s="32"/>
      <c r="R159" s="32"/>
      <c r="S159" s="32"/>
      <c r="T159" s="32"/>
      <c r="U159" s="32"/>
      <c r="V159" s="32"/>
      <c r="W159" s="32"/>
      <c r="X159" s="32"/>
      <c r="Y159" s="32"/>
      <c r="Z159" s="32"/>
    </row>
    <row r="160" spans="1:26" ht="17.25" customHeight="1">
      <c r="A160" s="3"/>
      <c r="B160" s="3"/>
      <c r="C160" s="3"/>
      <c r="D160" s="3"/>
      <c r="E160" s="3"/>
      <c r="F160" s="3"/>
      <c r="G160" s="3"/>
      <c r="H160" s="3"/>
      <c r="I160" s="3"/>
      <c r="J160" s="3"/>
      <c r="K160" s="3"/>
      <c r="L160" s="4"/>
      <c r="M160" s="32"/>
      <c r="N160" s="32"/>
      <c r="O160" s="32"/>
      <c r="P160" s="32"/>
      <c r="Q160" s="32"/>
      <c r="R160" s="32"/>
      <c r="S160" s="32"/>
      <c r="T160" s="32"/>
      <c r="U160" s="32"/>
      <c r="V160" s="32"/>
      <c r="W160" s="32"/>
      <c r="X160" s="32"/>
      <c r="Y160" s="32"/>
      <c r="Z160" s="32"/>
    </row>
    <row r="161" spans="1:26" ht="17.25" customHeight="1">
      <c r="A161" s="3"/>
      <c r="B161" s="3"/>
      <c r="C161" s="3"/>
      <c r="D161" s="3"/>
      <c r="E161" s="3"/>
      <c r="F161" s="3"/>
      <c r="G161" s="3"/>
      <c r="H161" s="3"/>
      <c r="I161" s="3"/>
      <c r="J161" s="3"/>
      <c r="K161" s="3"/>
      <c r="L161" s="4"/>
      <c r="M161" s="32"/>
      <c r="N161" s="32"/>
      <c r="O161" s="32"/>
      <c r="P161" s="32"/>
      <c r="Q161" s="32"/>
      <c r="R161" s="32"/>
      <c r="S161" s="32"/>
      <c r="T161" s="32"/>
      <c r="U161" s="32"/>
      <c r="V161" s="32"/>
      <c r="W161" s="32"/>
      <c r="X161" s="32"/>
      <c r="Y161" s="32"/>
      <c r="Z161" s="32"/>
    </row>
    <row r="162" spans="1:26" ht="17.25" customHeight="1">
      <c r="A162" s="3"/>
      <c r="B162" s="3"/>
      <c r="C162" s="3"/>
      <c r="D162" s="3"/>
      <c r="E162" s="3"/>
      <c r="F162" s="3"/>
      <c r="G162" s="3"/>
      <c r="H162" s="3"/>
      <c r="I162" s="3"/>
      <c r="J162" s="3"/>
      <c r="K162" s="3"/>
      <c r="L162" s="4"/>
      <c r="M162" s="32"/>
      <c r="N162" s="32"/>
      <c r="O162" s="32"/>
      <c r="P162" s="32"/>
      <c r="Q162" s="32"/>
      <c r="R162" s="32"/>
      <c r="S162" s="32"/>
      <c r="T162" s="32"/>
      <c r="U162" s="32"/>
      <c r="V162" s="32"/>
      <c r="W162" s="32"/>
      <c r="X162" s="32"/>
      <c r="Y162" s="32"/>
      <c r="Z162" s="32"/>
    </row>
    <row r="163" spans="1:26" ht="17.25" customHeight="1">
      <c r="A163" s="3"/>
      <c r="B163" s="3"/>
      <c r="C163" s="3"/>
      <c r="D163" s="3"/>
      <c r="E163" s="3"/>
      <c r="F163" s="3"/>
      <c r="G163" s="3"/>
      <c r="H163" s="3"/>
      <c r="I163" s="3"/>
      <c r="J163" s="3"/>
      <c r="K163" s="3"/>
      <c r="L163" s="4"/>
      <c r="M163" s="32"/>
      <c r="N163" s="32"/>
      <c r="O163" s="32"/>
      <c r="P163" s="32"/>
      <c r="Q163" s="32"/>
      <c r="R163" s="32"/>
      <c r="S163" s="32"/>
      <c r="T163" s="32"/>
      <c r="U163" s="32"/>
      <c r="V163" s="32"/>
      <c r="W163" s="32"/>
      <c r="X163" s="32"/>
      <c r="Y163" s="32"/>
      <c r="Z163" s="32"/>
    </row>
    <row r="164" spans="1:26" ht="17.25" customHeight="1">
      <c r="A164" s="3"/>
      <c r="B164" s="3"/>
      <c r="C164" s="3"/>
      <c r="D164" s="3"/>
      <c r="E164" s="3"/>
      <c r="F164" s="3"/>
      <c r="G164" s="3"/>
      <c r="H164" s="3"/>
      <c r="I164" s="3"/>
      <c r="J164" s="3"/>
      <c r="K164" s="3"/>
      <c r="L164" s="4"/>
      <c r="M164" s="32"/>
      <c r="N164" s="32"/>
      <c r="O164" s="32"/>
      <c r="P164" s="32"/>
      <c r="Q164" s="32"/>
      <c r="R164" s="32"/>
      <c r="S164" s="32"/>
      <c r="T164" s="32"/>
      <c r="U164" s="32"/>
      <c r="V164" s="32"/>
      <c r="W164" s="32"/>
      <c r="X164" s="32"/>
      <c r="Y164" s="32"/>
      <c r="Z164" s="32"/>
    </row>
    <row r="165" spans="1:26" ht="17.25" customHeight="1">
      <c r="A165" s="3"/>
      <c r="B165" s="3"/>
      <c r="C165" s="3"/>
      <c r="D165" s="3"/>
      <c r="E165" s="3"/>
      <c r="F165" s="3"/>
      <c r="G165" s="3"/>
      <c r="H165" s="3"/>
      <c r="I165" s="3"/>
      <c r="J165" s="3"/>
      <c r="K165" s="3"/>
      <c r="L165" s="4"/>
      <c r="M165" s="32"/>
      <c r="N165" s="32"/>
      <c r="O165" s="32"/>
      <c r="P165" s="32"/>
      <c r="Q165" s="32"/>
      <c r="R165" s="32"/>
      <c r="S165" s="32"/>
      <c r="T165" s="32"/>
      <c r="U165" s="32"/>
      <c r="V165" s="32"/>
      <c r="W165" s="32"/>
      <c r="X165" s="32"/>
      <c r="Y165" s="32"/>
      <c r="Z165" s="32"/>
    </row>
    <row r="166" spans="1:26" ht="17.25" customHeight="1">
      <c r="A166" s="3"/>
      <c r="B166" s="3"/>
      <c r="C166" s="3"/>
      <c r="D166" s="3"/>
      <c r="E166" s="3"/>
      <c r="F166" s="3"/>
      <c r="G166" s="3"/>
      <c r="H166" s="3"/>
      <c r="I166" s="3"/>
      <c r="J166" s="3"/>
      <c r="K166" s="3"/>
      <c r="L166" s="4"/>
      <c r="M166" s="32"/>
      <c r="N166" s="32"/>
      <c r="O166" s="32"/>
      <c r="P166" s="32"/>
      <c r="Q166" s="32"/>
      <c r="R166" s="32"/>
      <c r="S166" s="32"/>
      <c r="T166" s="32"/>
      <c r="U166" s="32"/>
      <c r="V166" s="32"/>
      <c r="W166" s="32"/>
      <c r="X166" s="32"/>
      <c r="Y166" s="32"/>
      <c r="Z166" s="32"/>
    </row>
    <row r="167" spans="1:26" ht="17.25" customHeight="1">
      <c r="A167" s="3"/>
      <c r="B167" s="3"/>
      <c r="C167" s="3"/>
      <c r="D167" s="3"/>
      <c r="E167" s="3"/>
      <c r="F167" s="3"/>
      <c r="G167" s="3"/>
      <c r="H167" s="3"/>
      <c r="I167" s="3"/>
      <c r="J167" s="3"/>
      <c r="K167" s="3"/>
      <c r="L167" s="4"/>
      <c r="M167" s="32"/>
      <c r="N167" s="32"/>
      <c r="O167" s="32"/>
      <c r="P167" s="32"/>
      <c r="Q167" s="32"/>
      <c r="R167" s="32"/>
      <c r="S167" s="32"/>
      <c r="T167" s="32"/>
      <c r="U167" s="32"/>
      <c r="V167" s="32"/>
      <c r="W167" s="32"/>
      <c r="X167" s="32"/>
      <c r="Y167" s="32"/>
      <c r="Z167" s="32"/>
    </row>
    <row r="168" spans="1:26" ht="17.25" customHeight="1">
      <c r="A168" s="3"/>
      <c r="B168" s="3"/>
      <c r="C168" s="3"/>
      <c r="D168" s="3"/>
      <c r="E168" s="3"/>
      <c r="F168" s="3"/>
      <c r="G168" s="3"/>
      <c r="H168" s="3"/>
      <c r="I168" s="3"/>
      <c r="J168" s="3"/>
      <c r="K168" s="3"/>
      <c r="L168" s="4"/>
      <c r="M168" s="32"/>
      <c r="N168" s="32"/>
      <c r="O168" s="32"/>
      <c r="P168" s="32"/>
      <c r="Q168" s="32"/>
      <c r="R168" s="32"/>
      <c r="S168" s="32"/>
      <c r="T168" s="32"/>
      <c r="U168" s="32"/>
      <c r="V168" s="32"/>
      <c r="W168" s="32"/>
      <c r="X168" s="32"/>
      <c r="Y168" s="32"/>
      <c r="Z168" s="32"/>
    </row>
    <row r="169" spans="1:26" ht="17.25" customHeight="1">
      <c r="A169" s="3"/>
      <c r="B169" s="3"/>
      <c r="C169" s="3"/>
      <c r="D169" s="3"/>
      <c r="E169" s="3"/>
      <c r="F169" s="3"/>
      <c r="G169" s="3"/>
      <c r="H169" s="3"/>
      <c r="I169" s="3"/>
      <c r="J169" s="3"/>
      <c r="K169" s="3"/>
      <c r="L169" s="4"/>
      <c r="M169" s="32"/>
      <c r="N169" s="32"/>
      <c r="O169" s="32"/>
      <c r="P169" s="32"/>
      <c r="Q169" s="32"/>
      <c r="R169" s="32"/>
      <c r="S169" s="32"/>
      <c r="T169" s="32"/>
      <c r="U169" s="32"/>
      <c r="V169" s="32"/>
      <c r="W169" s="32"/>
      <c r="X169" s="32"/>
      <c r="Y169" s="32"/>
      <c r="Z169" s="32"/>
    </row>
    <row r="170" spans="1:26" ht="17.25" customHeight="1">
      <c r="A170" s="3"/>
      <c r="B170" s="3"/>
      <c r="C170" s="3"/>
      <c r="D170" s="3"/>
      <c r="E170" s="3"/>
      <c r="F170" s="3"/>
      <c r="G170" s="3"/>
      <c r="H170" s="3"/>
      <c r="I170" s="3"/>
      <c r="J170" s="3"/>
      <c r="K170" s="3"/>
      <c r="L170" s="4"/>
      <c r="M170" s="32"/>
      <c r="N170" s="32"/>
      <c r="O170" s="32"/>
      <c r="P170" s="32"/>
      <c r="Q170" s="32"/>
      <c r="R170" s="32"/>
      <c r="S170" s="32"/>
      <c r="T170" s="32"/>
      <c r="U170" s="32"/>
      <c r="V170" s="32"/>
      <c r="W170" s="32"/>
      <c r="X170" s="32"/>
      <c r="Y170" s="32"/>
      <c r="Z170" s="32"/>
    </row>
    <row r="171" spans="1:26" ht="17.25" customHeight="1">
      <c r="A171" s="3"/>
      <c r="B171" s="3"/>
      <c r="C171" s="3"/>
      <c r="D171" s="3"/>
      <c r="E171" s="3"/>
      <c r="F171" s="3"/>
      <c r="G171" s="3"/>
      <c r="H171" s="3"/>
      <c r="I171" s="3"/>
      <c r="J171" s="3"/>
      <c r="K171" s="3"/>
      <c r="L171" s="4"/>
      <c r="M171" s="32"/>
      <c r="N171" s="32"/>
      <c r="O171" s="32"/>
      <c r="P171" s="32"/>
      <c r="Q171" s="32"/>
      <c r="R171" s="32"/>
      <c r="S171" s="32"/>
      <c r="T171" s="32"/>
      <c r="U171" s="32"/>
      <c r="V171" s="32"/>
      <c r="W171" s="32"/>
      <c r="X171" s="32"/>
      <c r="Y171" s="32"/>
      <c r="Z171" s="32"/>
    </row>
    <row r="172" spans="1:26" ht="17.25" customHeight="1">
      <c r="A172" s="3"/>
      <c r="B172" s="3"/>
      <c r="C172" s="3"/>
      <c r="D172" s="3"/>
      <c r="E172" s="3"/>
      <c r="F172" s="3"/>
      <c r="G172" s="3"/>
      <c r="H172" s="3"/>
      <c r="I172" s="3"/>
      <c r="J172" s="3"/>
      <c r="K172" s="3"/>
      <c r="L172" s="4"/>
      <c r="M172" s="32"/>
      <c r="N172" s="32"/>
      <c r="O172" s="32"/>
      <c r="P172" s="32"/>
      <c r="Q172" s="32"/>
      <c r="R172" s="32"/>
      <c r="S172" s="32"/>
      <c r="T172" s="32"/>
      <c r="U172" s="32"/>
      <c r="V172" s="32"/>
      <c r="W172" s="32"/>
      <c r="X172" s="32"/>
      <c r="Y172" s="32"/>
      <c r="Z172" s="32"/>
    </row>
    <row r="173" spans="1:26" ht="17.25" customHeight="1">
      <c r="A173" s="3"/>
      <c r="B173" s="3"/>
      <c r="C173" s="3"/>
      <c r="D173" s="3"/>
      <c r="E173" s="3"/>
      <c r="F173" s="3"/>
      <c r="G173" s="3"/>
      <c r="H173" s="3"/>
      <c r="I173" s="3"/>
      <c r="J173" s="3"/>
      <c r="K173" s="3"/>
      <c r="L173" s="4"/>
      <c r="M173" s="32"/>
      <c r="N173" s="32"/>
      <c r="O173" s="32"/>
      <c r="P173" s="32"/>
      <c r="Q173" s="32"/>
      <c r="R173" s="32"/>
      <c r="S173" s="32"/>
      <c r="T173" s="32"/>
      <c r="U173" s="32"/>
      <c r="V173" s="32"/>
      <c r="W173" s="32"/>
      <c r="X173" s="32"/>
      <c r="Y173" s="32"/>
      <c r="Z173" s="32"/>
    </row>
    <row r="174" spans="1:26" ht="17.25" customHeight="1">
      <c r="A174" s="3"/>
      <c r="B174" s="3"/>
      <c r="C174" s="3"/>
      <c r="D174" s="3"/>
      <c r="E174" s="3"/>
      <c r="F174" s="3"/>
      <c r="G174" s="3"/>
      <c r="H174" s="3"/>
      <c r="I174" s="3"/>
      <c r="J174" s="3"/>
      <c r="K174" s="3"/>
      <c r="L174" s="4"/>
      <c r="M174" s="32"/>
      <c r="N174" s="32"/>
      <c r="O174" s="32"/>
      <c r="P174" s="32"/>
      <c r="Q174" s="32"/>
      <c r="R174" s="32"/>
      <c r="S174" s="32"/>
      <c r="T174" s="32"/>
      <c r="U174" s="32"/>
      <c r="V174" s="32"/>
      <c r="W174" s="32"/>
      <c r="X174" s="32"/>
      <c r="Y174" s="32"/>
      <c r="Z174" s="32"/>
    </row>
    <row r="175" spans="1:26" ht="17.25" customHeight="1">
      <c r="A175" s="3"/>
      <c r="B175" s="3"/>
      <c r="C175" s="3"/>
      <c r="D175" s="3"/>
      <c r="E175" s="3"/>
      <c r="F175" s="3"/>
      <c r="G175" s="3"/>
      <c r="H175" s="3"/>
      <c r="I175" s="3"/>
      <c r="J175" s="3"/>
      <c r="K175" s="3"/>
      <c r="L175" s="4"/>
      <c r="M175" s="32"/>
      <c r="N175" s="32"/>
      <c r="O175" s="32"/>
      <c r="P175" s="32"/>
      <c r="Q175" s="32"/>
      <c r="R175" s="32"/>
      <c r="S175" s="32"/>
      <c r="T175" s="32"/>
      <c r="U175" s="32"/>
      <c r="V175" s="32"/>
      <c r="W175" s="32"/>
      <c r="X175" s="32"/>
      <c r="Y175" s="32"/>
      <c r="Z175" s="32"/>
    </row>
    <row r="176" spans="1:26" ht="17.25" customHeight="1">
      <c r="A176" s="3"/>
      <c r="B176" s="3"/>
      <c r="C176" s="3"/>
      <c r="D176" s="3"/>
      <c r="E176" s="3"/>
      <c r="F176" s="3"/>
      <c r="G176" s="3"/>
      <c r="H176" s="3"/>
      <c r="I176" s="3"/>
      <c r="J176" s="3"/>
      <c r="K176" s="3"/>
      <c r="L176" s="4"/>
      <c r="M176" s="32"/>
      <c r="N176" s="32"/>
      <c r="O176" s="32"/>
      <c r="P176" s="32"/>
      <c r="Q176" s="32"/>
      <c r="R176" s="32"/>
      <c r="S176" s="32"/>
      <c r="T176" s="32"/>
      <c r="U176" s="32"/>
      <c r="V176" s="32"/>
      <c r="W176" s="32"/>
      <c r="X176" s="32"/>
      <c r="Y176" s="32"/>
      <c r="Z176" s="32"/>
    </row>
    <row r="177" spans="1:26" ht="17.25" customHeight="1">
      <c r="A177" s="3"/>
      <c r="B177" s="3"/>
      <c r="C177" s="3"/>
      <c r="D177" s="3"/>
      <c r="E177" s="3"/>
      <c r="F177" s="3"/>
      <c r="G177" s="3"/>
      <c r="H177" s="3"/>
      <c r="I177" s="3"/>
      <c r="J177" s="3"/>
      <c r="K177" s="3"/>
      <c r="L177" s="4"/>
      <c r="M177" s="32"/>
      <c r="N177" s="32"/>
      <c r="O177" s="32"/>
      <c r="P177" s="32"/>
      <c r="Q177" s="32"/>
      <c r="R177" s="32"/>
      <c r="S177" s="32"/>
      <c r="T177" s="32"/>
      <c r="U177" s="32"/>
      <c r="V177" s="32"/>
      <c r="W177" s="32"/>
      <c r="X177" s="32"/>
      <c r="Y177" s="32"/>
      <c r="Z177" s="32"/>
    </row>
    <row r="178" spans="1:26" ht="17.25" customHeight="1">
      <c r="A178" s="3"/>
      <c r="B178" s="3"/>
      <c r="C178" s="3"/>
      <c r="D178" s="3"/>
      <c r="E178" s="3"/>
      <c r="F178" s="3"/>
      <c r="G178" s="3"/>
      <c r="H178" s="3"/>
      <c r="I178" s="3"/>
      <c r="J178" s="3"/>
      <c r="K178" s="3"/>
      <c r="L178" s="4"/>
      <c r="M178" s="32"/>
      <c r="N178" s="32"/>
      <c r="O178" s="32"/>
      <c r="P178" s="32"/>
      <c r="Q178" s="32"/>
      <c r="R178" s="32"/>
      <c r="S178" s="32"/>
      <c r="T178" s="32"/>
      <c r="U178" s="32"/>
      <c r="V178" s="32"/>
      <c r="W178" s="32"/>
      <c r="X178" s="32"/>
      <c r="Y178" s="32"/>
      <c r="Z178" s="32"/>
    </row>
    <row r="179" spans="1:26" ht="17.25" customHeight="1">
      <c r="A179" s="3"/>
      <c r="B179" s="3"/>
      <c r="C179" s="3"/>
      <c r="D179" s="3"/>
      <c r="E179" s="3"/>
      <c r="F179" s="3"/>
      <c r="G179" s="3"/>
      <c r="H179" s="3"/>
      <c r="I179" s="3"/>
      <c r="J179" s="3"/>
      <c r="K179" s="3"/>
      <c r="L179" s="4"/>
      <c r="M179" s="32"/>
      <c r="N179" s="32"/>
      <c r="O179" s="32"/>
      <c r="P179" s="32"/>
      <c r="Q179" s="32"/>
      <c r="R179" s="32"/>
      <c r="S179" s="32"/>
      <c r="T179" s="32"/>
      <c r="U179" s="32"/>
      <c r="V179" s="32"/>
      <c r="W179" s="32"/>
      <c r="X179" s="32"/>
      <c r="Y179" s="32"/>
      <c r="Z179" s="32"/>
    </row>
    <row r="180" spans="1:26" ht="17.25" customHeight="1">
      <c r="A180" s="3"/>
      <c r="B180" s="3"/>
      <c r="C180" s="3"/>
      <c r="D180" s="3"/>
      <c r="E180" s="3"/>
      <c r="F180" s="3"/>
      <c r="G180" s="3"/>
      <c r="H180" s="3"/>
      <c r="I180" s="3"/>
      <c r="J180" s="3"/>
      <c r="K180" s="3"/>
      <c r="L180" s="4"/>
      <c r="M180" s="32"/>
      <c r="N180" s="32"/>
      <c r="O180" s="32"/>
      <c r="P180" s="32"/>
      <c r="Q180" s="32"/>
      <c r="R180" s="32"/>
      <c r="S180" s="32"/>
      <c r="T180" s="32"/>
      <c r="U180" s="32"/>
      <c r="V180" s="32"/>
      <c r="W180" s="32"/>
      <c r="X180" s="32"/>
      <c r="Y180" s="32"/>
      <c r="Z180" s="32"/>
    </row>
    <row r="181" spans="1:26" ht="17.25" customHeight="1">
      <c r="A181" s="3"/>
      <c r="B181" s="3"/>
      <c r="C181" s="3"/>
      <c r="D181" s="3"/>
      <c r="E181" s="3"/>
      <c r="F181" s="3"/>
      <c r="G181" s="3"/>
      <c r="H181" s="3"/>
      <c r="I181" s="3"/>
      <c r="J181" s="3"/>
      <c r="K181" s="3"/>
      <c r="L181" s="4"/>
      <c r="M181" s="32"/>
      <c r="N181" s="32"/>
      <c r="O181" s="32"/>
      <c r="P181" s="32"/>
      <c r="Q181" s="32"/>
      <c r="R181" s="32"/>
      <c r="S181" s="32"/>
      <c r="T181" s="32"/>
      <c r="U181" s="32"/>
      <c r="V181" s="32"/>
      <c r="W181" s="32"/>
      <c r="X181" s="32"/>
      <c r="Y181" s="32"/>
      <c r="Z181" s="32"/>
    </row>
    <row r="182" spans="1:26" ht="17.25" customHeight="1">
      <c r="A182" s="3"/>
      <c r="B182" s="3"/>
      <c r="C182" s="3"/>
      <c r="D182" s="3"/>
      <c r="E182" s="3"/>
      <c r="F182" s="3"/>
      <c r="G182" s="3"/>
      <c r="H182" s="3"/>
      <c r="I182" s="3"/>
      <c r="J182" s="3"/>
      <c r="K182" s="3"/>
      <c r="L182" s="4"/>
      <c r="M182" s="32"/>
      <c r="N182" s="32"/>
      <c r="O182" s="32"/>
      <c r="P182" s="32"/>
      <c r="Q182" s="32"/>
      <c r="R182" s="32"/>
      <c r="S182" s="32"/>
      <c r="T182" s="32"/>
      <c r="U182" s="32"/>
      <c r="V182" s="32"/>
      <c r="W182" s="32"/>
      <c r="X182" s="32"/>
      <c r="Y182" s="32"/>
      <c r="Z182" s="32"/>
    </row>
    <row r="183" spans="1:26" ht="17.25" customHeight="1">
      <c r="A183" s="3"/>
      <c r="B183" s="3"/>
      <c r="C183" s="3"/>
      <c r="D183" s="3"/>
      <c r="E183" s="3"/>
      <c r="F183" s="3"/>
      <c r="G183" s="3"/>
      <c r="H183" s="3"/>
      <c r="I183" s="3"/>
      <c r="J183" s="3"/>
      <c r="K183" s="3"/>
      <c r="L183" s="4"/>
      <c r="M183" s="32"/>
      <c r="N183" s="32"/>
      <c r="O183" s="32"/>
      <c r="P183" s="32"/>
      <c r="Q183" s="32"/>
      <c r="R183" s="32"/>
      <c r="S183" s="32"/>
      <c r="T183" s="32"/>
      <c r="U183" s="32"/>
      <c r="V183" s="32"/>
      <c r="W183" s="32"/>
      <c r="X183" s="32"/>
      <c r="Y183" s="32"/>
      <c r="Z183" s="32"/>
    </row>
    <row r="184" spans="1:26" ht="17.25" customHeight="1">
      <c r="A184" s="3"/>
      <c r="B184" s="3"/>
      <c r="C184" s="3"/>
      <c r="D184" s="3"/>
      <c r="E184" s="3"/>
      <c r="F184" s="3"/>
      <c r="G184" s="3"/>
      <c r="H184" s="3"/>
      <c r="I184" s="3"/>
      <c r="J184" s="3"/>
      <c r="K184" s="3"/>
      <c r="L184" s="4"/>
      <c r="M184" s="32"/>
      <c r="N184" s="32"/>
      <c r="O184" s="32"/>
      <c r="P184" s="32"/>
      <c r="Q184" s="32"/>
      <c r="R184" s="32"/>
      <c r="S184" s="32"/>
      <c r="T184" s="32"/>
      <c r="U184" s="32"/>
      <c r="V184" s="32"/>
      <c r="W184" s="32"/>
      <c r="X184" s="32"/>
      <c r="Y184" s="32"/>
      <c r="Z184" s="32"/>
    </row>
    <row r="185" spans="1:26" ht="17.25" customHeight="1">
      <c r="A185" s="3"/>
      <c r="B185" s="3"/>
      <c r="C185" s="3"/>
      <c r="D185" s="3"/>
      <c r="E185" s="3"/>
      <c r="F185" s="3"/>
      <c r="G185" s="3"/>
      <c r="H185" s="3"/>
      <c r="I185" s="3"/>
      <c r="J185" s="3"/>
      <c r="K185" s="3"/>
      <c r="L185" s="4"/>
      <c r="M185" s="32"/>
      <c r="N185" s="32"/>
      <c r="O185" s="32"/>
      <c r="P185" s="32"/>
      <c r="Q185" s="32"/>
      <c r="R185" s="32"/>
      <c r="S185" s="32"/>
      <c r="T185" s="32"/>
      <c r="U185" s="32"/>
      <c r="V185" s="32"/>
      <c r="W185" s="32"/>
      <c r="X185" s="32"/>
      <c r="Y185" s="32"/>
      <c r="Z185" s="32"/>
    </row>
    <row r="186" spans="1:26" ht="17.25" customHeight="1">
      <c r="A186" s="3"/>
      <c r="B186" s="3"/>
      <c r="C186" s="3"/>
      <c r="D186" s="3"/>
      <c r="E186" s="3"/>
      <c r="F186" s="3"/>
      <c r="G186" s="3"/>
      <c r="H186" s="3"/>
      <c r="I186" s="3"/>
      <c r="J186" s="3"/>
      <c r="K186" s="3"/>
      <c r="L186" s="4"/>
      <c r="M186" s="32"/>
      <c r="N186" s="32"/>
      <c r="O186" s="32"/>
      <c r="P186" s="32"/>
      <c r="Q186" s="32"/>
      <c r="R186" s="32"/>
      <c r="S186" s="32"/>
      <c r="T186" s="32"/>
      <c r="U186" s="32"/>
      <c r="V186" s="32"/>
      <c r="W186" s="32"/>
      <c r="X186" s="32"/>
      <c r="Y186" s="32"/>
      <c r="Z186" s="32"/>
    </row>
    <row r="187" spans="1:26" ht="17.25" customHeight="1">
      <c r="A187" s="3"/>
      <c r="B187" s="3"/>
      <c r="C187" s="3"/>
      <c r="D187" s="3"/>
      <c r="E187" s="3"/>
      <c r="F187" s="3"/>
      <c r="G187" s="3"/>
      <c r="H187" s="3"/>
      <c r="I187" s="3"/>
      <c r="J187" s="3"/>
      <c r="K187" s="3"/>
      <c r="L187" s="4"/>
      <c r="M187" s="32"/>
      <c r="N187" s="32"/>
      <c r="O187" s="32"/>
      <c r="P187" s="32"/>
      <c r="Q187" s="32"/>
      <c r="R187" s="32"/>
      <c r="S187" s="32"/>
      <c r="T187" s="32"/>
      <c r="U187" s="32"/>
      <c r="V187" s="32"/>
      <c r="W187" s="32"/>
      <c r="X187" s="32"/>
      <c r="Y187" s="32"/>
      <c r="Z187" s="32"/>
    </row>
    <row r="188" spans="1:26" ht="17.25" customHeight="1">
      <c r="A188" s="3"/>
      <c r="B188" s="3"/>
      <c r="C188" s="3"/>
      <c r="D188" s="3"/>
      <c r="E188" s="3"/>
      <c r="F188" s="3"/>
      <c r="G188" s="3"/>
      <c r="H188" s="3"/>
      <c r="I188" s="3"/>
      <c r="J188" s="3"/>
      <c r="K188" s="3"/>
      <c r="L188" s="4"/>
      <c r="M188" s="32"/>
      <c r="N188" s="32"/>
      <c r="O188" s="32"/>
      <c r="P188" s="32"/>
      <c r="Q188" s="32"/>
      <c r="R188" s="32"/>
      <c r="S188" s="32"/>
      <c r="T188" s="32"/>
      <c r="U188" s="32"/>
      <c r="V188" s="32"/>
      <c r="W188" s="32"/>
      <c r="X188" s="32"/>
      <c r="Y188" s="32"/>
      <c r="Z188" s="32"/>
    </row>
    <row r="189" spans="1:26" ht="17.25" customHeight="1">
      <c r="A189" s="3"/>
      <c r="B189" s="3"/>
      <c r="C189" s="3"/>
      <c r="D189" s="3"/>
      <c r="E189" s="3"/>
      <c r="F189" s="3"/>
      <c r="G189" s="3"/>
      <c r="H189" s="3"/>
      <c r="I189" s="3"/>
      <c r="J189" s="3"/>
      <c r="K189" s="3"/>
      <c r="L189" s="4"/>
      <c r="M189" s="32"/>
      <c r="N189" s="32"/>
      <c r="O189" s="32"/>
      <c r="P189" s="32"/>
      <c r="Q189" s="32"/>
      <c r="R189" s="32"/>
      <c r="S189" s="32"/>
      <c r="T189" s="32"/>
      <c r="U189" s="32"/>
      <c r="V189" s="32"/>
      <c r="W189" s="32"/>
      <c r="X189" s="32"/>
      <c r="Y189" s="32"/>
      <c r="Z189" s="32"/>
    </row>
    <row r="190" spans="1:26" ht="17.25" customHeight="1">
      <c r="A190" s="3"/>
      <c r="B190" s="3"/>
      <c r="C190" s="3"/>
      <c r="D190" s="3"/>
      <c r="E190" s="3"/>
      <c r="F190" s="3"/>
      <c r="G190" s="3"/>
      <c r="H190" s="3"/>
      <c r="I190" s="3"/>
      <c r="J190" s="3"/>
      <c r="K190" s="3"/>
      <c r="L190" s="4"/>
      <c r="M190" s="32"/>
      <c r="N190" s="32"/>
      <c r="O190" s="32"/>
      <c r="P190" s="32"/>
      <c r="Q190" s="32"/>
      <c r="R190" s="32"/>
      <c r="S190" s="32"/>
      <c r="T190" s="32"/>
      <c r="U190" s="32"/>
      <c r="V190" s="32"/>
      <c r="W190" s="32"/>
      <c r="X190" s="32"/>
      <c r="Y190" s="32"/>
      <c r="Z190" s="32"/>
    </row>
    <row r="191" spans="1:26" ht="17.25" customHeight="1">
      <c r="A191" s="3"/>
      <c r="B191" s="3"/>
      <c r="C191" s="3"/>
      <c r="D191" s="3"/>
      <c r="E191" s="3"/>
      <c r="F191" s="3"/>
      <c r="G191" s="3"/>
      <c r="H191" s="3"/>
      <c r="I191" s="3"/>
      <c r="J191" s="3"/>
      <c r="K191" s="3"/>
      <c r="L191" s="4"/>
      <c r="M191" s="32"/>
      <c r="N191" s="32"/>
      <c r="O191" s="32"/>
      <c r="P191" s="32"/>
      <c r="Q191" s="32"/>
      <c r="R191" s="32"/>
      <c r="S191" s="32"/>
      <c r="T191" s="32"/>
      <c r="U191" s="32"/>
      <c r="V191" s="32"/>
      <c r="W191" s="32"/>
      <c r="X191" s="32"/>
      <c r="Y191" s="32"/>
      <c r="Z191" s="32"/>
    </row>
    <row r="192" spans="1:26" ht="17.25" customHeight="1">
      <c r="A192" s="3"/>
      <c r="B192" s="3"/>
      <c r="C192" s="3"/>
      <c r="D192" s="3"/>
      <c r="E192" s="3"/>
      <c r="F192" s="3"/>
      <c r="G192" s="3"/>
      <c r="H192" s="3"/>
      <c r="I192" s="3"/>
      <c r="J192" s="3"/>
      <c r="K192" s="3"/>
      <c r="L192" s="4"/>
      <c r="M192" s="32"/>
      <c r="N192" s="32"/>
      <c r="O192" s="32"/>
      <c r="P192" s="32"/>
      <c r="Q192" s="32"/>
      <c r="R192" s="32"/>
      <c r="S192" s="32"/>
      <c r="T192" s="32"/>
      <c r="U192" s="32"/>
      <c r="V192" s="32"/>
      <c r="W192" s="32"/>
      <c r="X192" s="32"/>
      <c r="Y192" s="32"/>
      <c r="Z192" s="32"/>
    </row>
    <row r="193" spans="1:26" ht="17.25" customHeight="1">
      <c r="A193" s="3"/>
      <c r="B193" s="3"/>
      <c r="C193" s="3"/>
      <c r="D193" s="3"/>
      <c r="E193" s="3"/>
      <c r="F193" s="3"/>
      <c r="G193" s="3"/>
      <c r="H193" s="3"/>
      <c r="I193" s="3"/>
      <c r="J193" s="3"/>
      <c r="K193" s="3"/>
      <c r="L193" s="4"/>
      <c r="M193" s="32"/>
      <c r="N193" s="32"/>
      <c r="O193" s="32"/>
      <c r="P193" s="32"/>
      <c r="Q193" s="32"/>
      <c r="R193" s="32"/>
      <c r="S193" s="32"/>
      <c r="T193" s="32"/>
      <c r="U193" s="32"/>
      <c r="V193" s="32"/>
      <c r="W193" s="32"/>
      <c r="X193" s="32"/>
      <c r="Y193" s="32"/>
      <c r="Z193" s="32"/>
    </row>
    <row r="194" spans="1:26" ht="17.25" customHeight="1">
      <c r="A194" s="3"/>
      <c r="B194" s="3"/>
      <c r="C194" s="3"/>
      <c r="D194" s="3"/>
      <c r="E194" s="3"/>
      <c r="F194" s="3"/>
      <c r="G194" s="3"/>
      <c r="H194" s="3"/>
      <c r="I194" s="3"/>
      <c r="J194" s="3"/>
      <c r="K194" s="3"/>
      <c r="L194" s="4"/>
      <c r="M194" s="32"/>
      <c r="N194" s="32"/>
      <c r="O194" s="32"/>
      <c r="P194" s="32"/>
      <c r="Q194" s="32"/>
      <c r="R194" s="32"/>
      <c r="S194" s="32"/>
      <c r="T194" s="32"/>
      <c r="U194" s="32"/>
      <c r="V194" s="32"/>
      <c r="W194" s="32"/>
      <c r="X194" s="32"/>
      <c r="Y194" s="32"/>
      <c r="Z194" s="32"/>
    </row>
    <row r="195" spans="1:26" ht="17.25" customHeight="1">
      <c r="A195" s="3"/>
      <c r="B195" s="3"/>
      <c r="C195" s="3"/>
      <c r="D195" s="3"/>
      <c r="E195" s="3"/>
      <c r="F195" s="3"/>
      <c r="G195" s="3"/>
      <c r="H195" s="3"/>
      <c r="I195" s="3"/>
      <c r="J195" s="3"/>
      <c r="K195" s="3"/>
      <c r="L195" s="4"/>
      <c r="M195" s="32"/>
      <c r="N195" s="32"/>
      <c r="O195" s="32"/>
      <c r="P195" s="32"/>
      <c r="Q195" s="32"/>
      <c r="R195" s="32"/>
      <c r="S195" s="32"/>
      <c r="T195" s="32"/>
      <c r="U195" s="32"/>
      <c r="V195" s="32"/>
      <c r="W195" s="32"/>
      <c r="X195" s="32"/>
      <c r="Y195" s="32"/>
      <c r="Z195" s="32"/>
    </row>
    <row r="196" spans="1:26" ht="17.25" customHeight="1">
      <c r="A196" s="3"/>
      <c r="B196" s="3"/>
      <c r="C196" s="3"/>
      <c r="D196" s="3"/>
      <c r="E196" s="3"/>
      <c r="F196" s="3"/>
      <c r="G196" s="3"/>
      <c r="H196" s="3"/>
      <c r="I196" s="3"/>
      <c r="J196" s="3"/>
      <c r="K196" s="3"/>
      <c r="L196" s="4"/>
      <c r="M196" s="32"/>
      <c r="N196" s="32"/>
      <c r="O196" s="32"/>
      <c r="P196" s="32"/>
      <c r="Q196" s="32"/>
      <c r="R196" s="32"/>
      <c r="S196" s="32"/>
      <c r="T196" s="32"/>
      <c r="U196" s="32"/>
      <c r="V196" s="32"/>
      <c r="W196" s="32"/>
      <c r="X196" s="32"/>
      <c r="Y196" s="32"/>
      <c r="Z196" s="32"/>
    </row>
    <row r="197" spans="1:26" ht="17.25" customHeight="1">
      <c r="A197" s="3"/>
      <c r="B197" s="3"/>
      <c r="C197" s="3"/>
      <c r="D197" s="3"/>
      <c r="E197" s="3"/>
      <c r="F197" s="3"/>
      <c r="G197" s="3"/>
      <c r="H197" s="3"/>
      <c r="I197" s="3"/>
      <c r="J197" s="3"/>
      <c r="K197" s="3"/>
      <c r="L197" s="4"/>
      <c r="M197" s="32"/>
      <c r="N197" s="32"/>
      <c r="O197" s="32"/>
      <c r="P197" s="32"/>
      <c r="Q197" s="32"/>
      <c r="R197" s="32"/>
      <c r="S197" s="32"/>
      <c r="T197" s="32"/>
      <c r="U197" s="32"/>
      <c r="V197" s="32"/>
      <c r="W197" s="32"/>
      <c r="X197" s="32"/>
      <c r="Y197" s="32"/>
      <c r="Z197" s="32"/>
    </row>
    <row r="198" spans="1:26" ht="17.25" customHeight="1">
      <c r="A198" s="3"/>
      <c r="B198" s="3"/>
      <c r="C198" s="3"/>
      <c r="D198" s="3"/>
      <c r="E198" s="3"/>
      <c r="F198" s="3"/>
      <c r="G198" s="3"/>
      <c r="H198" s="3"/>
      <c r="I198" s="3"/>
      <c r="J198" s="3"/>
      <c r="K198" s="3"/>
      <c r="L198" s="4"/>
      <c r="M198" s="32"/>
      <c r="N198" s="32"/>
      <c r="O198" s="32"/>
      <c r="P198" s="32"/>
      <c r="Q198" s="32"/>
      <c r="R198" s="32"/>
      <c r="S198" s="32"/>
      <c r="T198" s="32"/>
      <c r="U198" s="32"/>
      <c r="V198" s="32"/>
      <c r="W198" s="32"/>
      <c r="X198" s="32"/>
      <c r="Y198" s="32"/>
      <c r="Z198" s="32"/>
    </row>
    <row r="199" spans="1:26" ht="17.25" customHeight="1">
      <c r="A199" s="3"/>
      <c r="B199" s="3"/>
      <c r="C199" s="3"/>
      <c r="D199" s="3"/>
      <c r="E199" s="3"/>
      <c r="F199" s="3"/>
      <c r="G199" s="3"/>
      <c r="H199" s="3"/>
      <c r="I199" s="3"/>
      <c r="J199" s="3"/>
      <c r="K199" s="3"/>
      <c r="L199" s="4"/>
      <c r="M199" s="32"/>
      <c r="N199" s="32"/>
      <c r="O199" s="32"/>
      <c r="P199" s="32"/>
      <c r="Q199" s="32"/>
      <c r="R199" s="32"/>
      <c r="S199" s="32"/>
      <c r="T199" s="32"/>
      <c r="U199" s="32"/>
      <c r="V199" s="32"/>
      <c r="W199" s="32"/>
      <c r="X199" s="32"/>
      <c r="Y199" s="32"/>
      <c r="Z199" s="32"/>
    </row>
    <row r="200" spans="1:26" ht="17.25" customHeight="1">
      <c r="A200" s="3"/>
      <c r="B200" s="3"/>
      <c r="C200" s="3"/>
      <c r="D200" s="3"/>
      <c r="E200" s="3"/>
      <c r="F200" s="3"/>
      <c r="G200" s="3"/>
      <c r="H200" s="3"/>
      <c r="I200" s="3"/>
      <c r="J200" s="3"/>
      <c r="K200" s="3"/>
      <c r="L200" s="4"/>
      <c r="M200" s="32"/>
      <c r="N200" s="32"/>
      <c r="O200" s="32"/>
      <c r="P200" s="32"/>
      <c r="Q200" s="32"/>
      <c r="R200" s="32"/>
      <c r="S200" s="32"/>
      <c r="T200" s="32"/>
      <c r="U200" s="32"/>
      <c r="V200" s="32"/>
      <c r="W200" s="32"/>
      <c r="X200" s="32"/>
      <c r="Y200" s="32"/>
      <c r="Z200" s="32"/>
    </row>
    <row r="201" spans="1:26" ht="17.25" customHeight="1">
      <c r="A201" s="3"/>
      <c r="B201" s="3"/>
      <c r="C201" s="3"/>
      <c r="D201" s="3"/>
      <c r="E201" s="3"/>
      <c r="F201" s="3"/>
      <c r="G201" s="3"/>
      <c r="H201" s="3"/>
      <c r="I201" s="3"/>
      <c r="J201" s="3"/>
      <c r="K201" s="3"/>
      <c r="L201" s="4"/>
      <c r="M201" s="32"/>
      <c r="N201" s="32"/>
      <c r="O201" s="32"/>
      <c r="P201" s="32"/>
      <c r="Q201" s="32"/>
      <c r="R201" s="32"/>
      <c r="S201" s="32"/>
      <c r="T201" s="32"/>
      <c r="U201" s="32"/>
      <c r="V201" s="32"/>
      <c r="W201" s="32"/>
      <c r="X201" s="32"/>
      <c r="Y201" s="32"/>
      <c r="Z201" s="32"/>
    </row>
    <row r="202" spans="1:26" ht="17.25" customHeight="1">
      <c r="A202" s="3"/>
      <c r="B202" s="3"/>
      <c r="C202" s="3"/>
      <c r="D202" s="3"/>
      <c r="E202" s="3"/>
      <c r="F202" s="3"/>
      <c r="G202" s="3"/>
      <c r="H202" s="3"/>
      <c r="I202" s="3"/>
      <c r="J202" s="3"/>
      <c r="K202" s="3"/>
      <c r="L202" s="4"/>
      <c r="M202" s="32"/>
      <c r="N202" s="32"/>
      <c r="O202" s="32"/>
      <c r="P202" s="32"/>
      <c r="Q202" s="32"/>
      <c r="R202" s="32"/>
      <c r="S202" s="32"/>
      <c r="T202" s="32"/>
      <c r="U202" s="32"/>
      <c r="V202" s="32"/>
      <c r="W202" s="32"/>
      <c r="X202" s="32"/>
      <c r="Y202" s="32"/>
      <c r="Z202" s="32"/>
    </row>
    <row r="203" spans="1:26" ht="17.25" customHeight="1">
      <c r="A203" s="3"/>
      <c r="B203" s="3"/>
      <c r="C203" s="3"/>
      <c r="D203" s="3"/>
      <c r="E203" s="3"/>
      <c r="F203" s="3"/>
      <c r="G203" s="3"/>
      <c r="H203" s="3"/>
      <c r="I203" s="3"/>
      <c r="J203" s="3"/>
      <c r="K203" s="3"/>
      <c r="L203" s="4"/>
      <c r="M203" s="32"/>
      <c r="N203" s="32"/>
      <c r="O203" s="32"/>
      <c r="P203" s="32"/>
      <c r="Q203" s="32"/>
      <c r="R203" s="32"/>
      <c r="S203" s="32"/>
      <c r="T203" s="32"/>
      <c r="U203" s="32"/>
      <c r="V203" s="32"/>
      <c r="W203" s="32"/>
      <c r="X203" s="32"/>
      <c r="Y203" s="32"/>
      <c r="Z203" s="32"/>
    </row>
    <row r="204" spans="1:26" ht="17.25" customHeight="1">
      <c r="A204" s="3"/>
      <c r="B204" s="3"/>
      <c r="C204" s="3"/>
      <c r="D204" s="3"/>
      <c r="E204" s="3"/>
      <c r="F204" s="3"/>
      <c r="G204" s="3"/>
      <c r="H204" s="3"/>
      <c r="I204" s="3"/>
      <c r="J204" s="3"/>
      <c r="K204" s="3"/>
      <c r="L204" s="4"/>
      <c r="M204" s="32"/>
      <c r="N204" s="32"/>
      <c r="O204" s="32"/>
      <c r="P204" s="32"/>
      <c r="Q204" s="32"/>
      <c r="R204" s="32"/>
      <c r="S204" s="32"/>
      <c r="T204" s="32"/>
      <c r="U204" s="32"/>
      <c r="V204" s="32"/>
      <c r="W204" s="32"/>
      <c r="X204" s="32"/>
      <c r="Y204" s="32"/>
      <c r="Z204" s="32"/>
    </row>
    <row r="205" spans="1:26" ht="17.25" customHeight="1">
      <c r="A205" s="3"/>
      <c r="B205" s="3"/>
      <c r="C205" s="3"/>
      <c r="D205" s="3"/>
      <c r="E205" s="3"/>
      <c r="F205" s="3"/>
      <c r="G205" s="3"/>
      <c r="H205" s="3"/>
      <c r="I205" s="3"/>
      <c r="J205" s="3"/>
      <c r="K205" s="3"/>
      <c r="L205" s="4"/>
      <c r="M205" s="32"/>
      <c r="N205" s="32"/>
      <c r="O205" s="32"/>
      <c r="P205" s="32"/>
      <c r="Q205" s="32"/>
      <c r="R205" s="32"/>
      <c r="S205" s="32"/>
      <c r="T205" s="32"/>
      <c r="U205" s="32"/>
      <c r="V205" s="32"/>
      <c r="W205" s="32"/>
      <c r="X205" s="32"/>
      <c r="Y205" s="32"/>
      <c r="Z205" s="32"/>
    </row>
    <row r="206" spans="1:26" ht="17.25" customHeight="1">
      <c r="A206" s="3"/>
      <c r="B206" s="3"/>
      <c r="C206" s="3"/>
      <c r="D206" s="3"/>
      <c r="E206" s="3"/>
      <c r="F206" s="3"/>
      <c r="G206" s="3"/>
      <c r="H206" s="3"/>
      <c r="I206" s="3"/>
      <c r="J206" s="3"/>
      <c r="K206" s="3"/>
      <c r="L206" s="4"/>
      <c r="M206" s="32"/>
      <c r="N206" s="32"/>
      <c r="O206" s="32"/>
      <c r="P206" s="32"/>
      <c r="Q206" s="32"/>
      <c r="R206" s="32"/>
      <c r="S206" s="32"/>
      <c r="T206" s="32"/>
      <c r="U206" s="32"/>
      <c r="V206" s="32"/>
      <c r="W206" s="32"/>
      <c r="X206" s="32"/>
      <c r="Y206" s="32"/>
      <c r="Z206" s="32"/>
    </row>
    <row r="207" spans="1:26" ht="17.25" customHeight="1">
      <c r="A207" s="3"/>
      <c r="B207" s="3"/>
      <c r="C207" s="3"/>
      <c r="D207" s="3"/>
      <c r="E207" s="3"/>
      <c r="F207" s="3"/>
      <c r="G207" s="3"/>
      <c r="H207" s="3"/>
      <c r="I207" s="3"/>
      <c r="J207" s="3"/>
      <c r="K207" s="3"/>
      <c r="L207" s="4"/>
      <c r="M207" s="32"/>
      <c r="N207" s="32"/>
      <c r="O207" s="32"/>
      <c r="P207" s="32"/>
      <c r="Q207" s="32"/>
      <c r="R207" s="32"/>
      <c r="S207" s="32"/>
      <c r="T207" s="32"/>
      <c r="U207" s="32"/>
      <c r="V207" s="32"/>
      <c r="W207" s="32"/>
      <c r="X207" s="32"/>
      <c r="Y207" s="32"/>
      <c r="Z207" s="32"/>
    </row>
    <row r="208" spans="1:26" ht="17.25" customHeight="1">
      <c r="A208" s="3"/>
      <c r="B208" s="3"/>
      <c r="C208" s="3"/>
      <c r="D208" s="3"/>
      <c r="E208" s="3"/>
      <c r="F208" s="3"/>
      <c r="G208" s="3"/>
      <c r="H208" s="3"/>
      <c r="I208" s="3"/>
      <c r="J208" s="3"/>
      <c r="K208" s="3"/>
      <c r="L208" s="4"/>
      <c r="M208" s="32"/>
      <c r="N208" s="32"/>
      <c r="O208" s="32"/>
      <c r="P208" s="32"/>
      <c r="Q208" s="32"/>
      <c r="R208" s="32"/>
      <c r="S208" s="32"/>
      <c r="T208" s="32"/>
      <c r="U208" s="32"/>
      <c r="V208" s="32"/>
      <c r="W208" s="32"/>
      <c r="X208" s="32"/>
      <c r="Y208" s="32"/>
      <c r="Z208" s="32"/>
    </row>
    <row r="209" spans="1:26" ht="17.25" customHeight="1">
      <c r="A209" s="3"/>
      <c r="B209" s="3"/>
      <c r="C209" s="3"/>
      <c r="D209" s="3"/>
      <c r="E209" s="3"/>
      <c r="F209" s="3"/>
      <c r="G209" s="3"/>
      <c r="H209" s="3"/>
      <c r="I209" s="3"/>
      <c r="J209" s="3"/>
      <c r="K209" s="3"/>
      <c r="L209" s="4"/>
      <c r="M209" s="32"/>
      <c r="N209" s="32"/>
      <c r="O209" s="32"/>
      <c r="P209" s="32"/>
      <c r="Q209" s="32"/>
      <c r="R209" s="32"/>
      <c r="S209" s="32"/>
      <c r="T209" s="32"/>
      <c r="U209" s="32"/>
      <c r="V209" s="32"/>
      <c r="W209" s="32"/>
      <c r="X209" s="32"/>
      <c r="Y209" s="32"/>
      <c r="Z209" s="32"/>
    </row>
    <row r="210" spans="1:26" ht="17.25" customHeight="1">
      <c r="A210" s="3"/>
      <c r="B210" s="3"/>
      <c r="C210" s="3"/>
      <c r="D210" s="3"/>
      <c r="E210" s="3"/>
      <c r="F210" s="3"/>
      <c r="G210" s="3"/>
      <c r="H210" s="3"/>
      <c r="I210" s="3"/>
      <c r="J210" s="3"/>
      <c r="K210" s="3"/>
      <c r="L210" s="4"/>
      <c r="M210" s="32"/>
      <c r="N210" s="32"/>
      <c r="O210" s="32"/>
      <c r="P210" s="32"/>
      <c r="Q210" s="32"/>
      <c r="R210" s="32"/>
      <c r="S210" s="32"/>
      <c r="T210" s="32"/>
      <c r="U210" s="32"/>
      <c r="V210" s="32"/>
      <c r="W210" s="32"/>
      <c r="X210" s="32"/>
      <c r="Y210" s="32"/>
      <c r="Z210" s="32"/>
    </row>
    <row r="211" spans="1:26" ht="17.25" customHeight="1">
      <c r="A211" s="3"/>
      <c r="B211" s="3"/>
      <c r="C211" s="3"/>
      <c r="D211" s="3"/>
      <c r="E211" s="3"/>
      <c r="F211" s="3"/>
      <c r="G211" s="3"/>
      <c r="H211" s="3"/>
      <c r="I211" s="3"/>
      <c r="J211" s="3"/>
      <c r="K211" s="3"/>
      <c r="L211" s="4"/>
      <c r="M211" s="32"/>
      <c r="N211" s="32"/>
      <c r="O211" s="32"/>
      <c r="P211" s="32"/>
      <c r="Q211" s="32"/>
      <c r="R211" s="32"/>
      <c r="S211" s="32"/>
      <c r="T211" s="32"/>
      <c r="U211" s="32"/>
      <c r="V211" s="32"/>
      <c r="W211" s="32"/>
      <c r="X211" s="32"/>
      <c r="Y211" s="32"/>
      <c r="Z211" s="32"/>
    </row>
    <row r="212" spans="1:26" ht="17.25" customHeight="1">
      <c r="A212" s="3"/>
      <c r="B212" s="3"/>
      <c r="C212" s="3"/>
      <c r="D212" s="3"/>
      <c r="E212" s="3"/>
      <c r="F212" s="3"/>
      <c r="G212" s="3"/>
      <c r="H212" s="3"/>
      <c r="I212" s="3"/>
      <c r="J212" s="3"/>
      <c r="K212" s="3"/>
      <c r="L212" s="4"/>
      <c r="M212" s="32"/>
      <c r="N212" s="32"/>
      <c r="O212" s="32"/>
      <c r="P212" s="32"/>
      <c r="Q212" s="32"/>
      <c r="R212" s="32"/>
      <c r="S212" s="32"/>
      <c r="T212" s="32"/>
      <c r="U212" s="32"/>
      <c r="V212" s="32"/>
      <c r="W212" s="32"/>
      <c r="X212" s="32"/>
      <c r="Y212" s="32"/>
      <c r="Z212" s="32"/>
    </row>
    <row r="213" spans="1:26" ht="17.25" customHeight="1">
      <c r="A213" s="3"/>
      <c r="B213" s="3"/>
      <c r="C213" s="3"/>
      <c r="D213" s="3"/>
      <c r="E213" s="3"/>
      <c r="F213" s="3"/>
      <c r="G213" s="3"/>
      <c r="H213" s="3"/>
      <c r="I213" s="3"/>
      <c r="J213" s="3"/>
      <c r="K213" s="3"/>
      <c r="L213" s="4"/>
      <c r="M213" s="32"/>
      <c r="N213" s="32"/>
      <c r="O213" s="32"/>
      <c r="P213" s="32"/>
      <c r="Q213" s="32"/>
      <c r="R213" s="32"/>
      <c r="S213" s="32"/>
      <c r="T213" s="32"/>
      <c r="U213" s="32"/>
      <c r="V213" s="32"/>
      <c r="W213" s="32"/>
      <c r="X213" s="32"/>
      <c r="Y213" s="32"/>
      <c r="Z213" s="32"/>
    </row>
    <row r="214" spans="1:26" ht="17.25" customHeight="1">
      <c r="A214" s="3"/>
      <c r="B214" s="3"/>
      <c r="C214" s="3"/>
      <c r="D214" s="3"/>
      <c r="E214" s="3"/>
      <c r="F214" s="3"/>
      <c r="G214" s="3"/>
      <c r="H214" s="3"/>
      <c r="I214" s="3"/>
      <c r="J214" s="3"/>
      <c r="K214" s="3"/>
      <c r="L214" s="4"/>
      <c r="M214" s="32"/>
      <c r="N214" s="32"/>
      <c r="O214" s="32"/>
      <c r="P214" s="32"/>
      <c r="Q214" s="32"/>
      <c r="R214" s="32"/>
      <c r="S214" s="32"/>
      <c r="T214" s="32"/>
      <c r="U214" s="32"/>
      <c r="V214" s="32"/>
      <c r="W214" s="32"/>
      <c r="X214" s="32"/>
      <c r="Y214" s="32"/>
      <c r="Z214" s="32"/>
    </row>
    <row r="215" spans="1:26" ht="17.25" customHeight="1">
      <c r="A215" s="3"/>
      <c r="B215" s="3"/>
      <c r="C215" s="3"/>
      <c r="D215" s="3"/>
      <c r="E215" s="3"/>
      <c r="F215" s="3"/>
      <c r="G215" s="3"/>
      <c r="H215" s="3"/>
      <c r="I215" s="3"/>
      <c r="J215" s="3"/>
      <c r="K215" s="3"/>
      <c r="L215" s="4"/>
      <c r="M215" s="32"/>
      <c r="N215" s="32"/>
      <c r="O215" s="32"/>
      <c r="P215" s="32"/>
      <c r="Q215" s="32"/>
      <c r="R215" s="32"/>
      <c r="S215" s="32"/>
      <c r="T215" s="32"/>
      <c r="U215" s="32"/>
      <c r="V215" s="32"/>
      <c r="W215" s="32"/>
      <c r="X215" s="32"/>
      <c r="Y215" s="32"/>
      <c r="Z215" s="32"/>
    </row>
    <row r="216" spans="1:26" ht="17.25" customHeight="1">
      <c r="A216" s="3"/>
      <c r="B216" s="3"/>
      <c r="C216" s="3"/>
      <c r="D216" s="3"/>
      <c r="E216" s="3"/>
      <c r="F216" s="3"/>
      <c r="G216" s="3"/>
      <c r="H216" s="3"/>
      <c r="I216" s="3"/>
      <c r="J216" s="3"/>
      <c r="K216" s="3"/>
      <c r="L216" s="4"/>
      <c r="M216" s="32"/>
      <c r="N216" s="32"/>
      <c r="O216" s="32"/>
      <c r="P216" s="32"/>
      <c r="Q216" s="32"/>
      <c r="R216" s="32"/>
      <c r="S216" s="32"/>
      <c r="T216" s="32"/>
      <c r="U216" s="32"/>
      <c r="V216" s="32"/>
      <c r="W216" s="32"/>
      <c r="X216" s="32"/>
      <c r="Y216" s="32"/>
      <c r="Z216" s="32"/>
    </row>
    <row r="217" spans="1:26" ht="17.25" customHeight="1">
      <c r="A217" s="3"/>
      <c r="B217" s="3"/>
      <c r="C217" s="3"/>
      <c r="D217" s="3"/>
      <c r="E217" s="3"/>
      <c r="F217" s="3"/>
      <c r="G217" s="3"/>
      <c r="H217" s="3"/>
      <c r="I217" s="3"/>
      <c r="J217" s="3"/>
      <c r="K217" s="3"/>
      <c r="L217" s="4"/>
      <c r="M217" s="32"/>
      <c r="N217" s="32"/>
      <c r="O217" s="32"/>
      <c r="P217" s="32"/>
      <c r="Q217" s="32"/>
      <c r="R217" s="32"/>
      <c r="S217" s="32"/>
      <c r="T217" s="32"/>
      <c r="U217" s="32"/>
      <c r="V217" s="32"/>
      <c r="W217" s="32"/>
      <c r="X217" s="32"/>
      <c r="Y217" s="32"/>
      <c r="Z217" s="32"/>
    </row>
    <row r="218" spans="1:26" ht="17.25" customHeight="1">
      <c r="A218" s="3"/>
      <c r="B218" s="3"/>
      <c r="C218" s="3"/>
      <c r="D218" s="3"/>
      <c r="E218" s="3"/>
      <c r="F218" s="3"/>
      <c r="G218" s="3"/>
      <c r="H218" s="3"/>
      <c r="I218" s="3"/>
      <c r="J218" s="3"/>
      <c r="K218" s="3"/>
      <c r="L218" s="4"/>
      <c r="M218" s="32"/>
      <c r="N218" s="32"/>
      <c r="O218" s="32"/>
      <c r="P218" s="32"/>
      <c r="Q218" s="32"/>
      <c r="R218" s="32"/>
      <c r="S218" s="32"/>
      <c r="T218" s="32"/>
      <c r="U218" s="32"/>
      <c r="V218" s="32"/>
      <c r="W218" s="32"/>
      <c r="X218" s="32"/>
      <c r="Y218" s="32"/>
      <c r="Z218" s="32"/>
    </row>
    <row r="219" spans="1:26" ht="17.25" customHeight="1">
      <c r="A219" s="3"/>
      <c r="B219" s="3"/>
      <c r="C219" s="3"/>
      <c r="D219" s="3"/>
      <c r="E219" s="3"/>
      <c r="F219" s="3"/>
      <c r="G219" s="3"/>
      <c r="H219" s="3"/>
      <c r="I219" s="3"/>
      <c r="J219" s="3"/>
      <c r="K219" s="3"/>
      <c r="L219" s="4"/>
      <c r="M219" s="32"/>
      <c r="N219" s="32"/>
      <c r="O219" s="32"/>
      <c r="P219" s="32"/>
      <c r="Q219" s="32"/>
      <c r="R219" s="32"/>
      <c r="S219" s="32"/>
      <c r="T219" s="32"/>
      <c r="U219" s="32"/>
      <c r="V219" s="32"/>
      <c r="W219" s="32"/>
      <c r="X219" s="32"/>
      <c r="Y219" s="32"/>
      <c r="Z219" s="32"/>
    </row>
    <row r="220" spans="1:26" ht="17.25" customHeight="1">
      <c r="A220" s="3"/>
      <c r="B220" s="3"/>
      <c r="C220" s="3"/>
      <c r="D220" s="3"/>
      <c r="E220" s="3"/>
      <c r="F220" s="3"/>
      <c r="G220" s="3"/>
      <c r="H220" s="3"/>
      <c r="I220" s="3"/>
      <c r="J220" s="3"/>
      <c r="K220" s="3"/>
      <c r="L220" s="4"/>
      <c r="M220" s="32"/>
      <c r="N220" s="32"/>
      <c r="O220" s="32"/>
      <c r="P220" s="32"/>
      <c r="Q220" s="32"/>
      <c r="R220" s="32"/>
      <c r="S220" s="32"/>
      <c r="T220" s="32"/>
      <c r="U220" s="32"/>
      <c r="V220" s="32"/>
      <c r="W220" s="32"/>
      <c r="X220" s="32"/>
      <c r="Y220" s="32"/>
      <c r="Z220" s="32"/>
    </row>
    <row r="221" spans="1:26" ht="17.25" customHeight="1">
      <c r="A221" s="3"/>
      <c r="B221" s="3"/>
      <c r="C221" s="3"/>
      <c r="D221" s="3"/>
      <c r="E221" s="3"/>
      <c r="F221" s="3"/>
      <c r="G221" s="3"/>
      <c r="H221" s="3"/>
      <c r="I221" s="3"/>
      <c r="J221" s="3"/>
      <c r="K221" s="3"/>
      <c r="L221" s="4"/>
      <c r="M221" s="32"/>
      <c r="N221" s="32"/>
      <c r="O221" s="32"/>
      <c r="P221" s="32"/>
      <c r="Q221" s="32"/>
      <c r="R221" s="32"/>
      <c r="S221" s="32"/>
      <c r="T221" s="32"/>
      <c r="U221" s="32"/>
      <c r="V221" s="32"/>
      <c r="W221" s="32"/>
      <c r="X221" s="32"/>
      <c r="Y221" s="32"/>
      <c r="Z221" s="32"/>
    </row>
    <row r="222" spans="1:26" ht="17.25" customHeight="1">
      <c r="A222" s="3"/>
      <c r="B222" s="3"/>
      <c r="C222" s="3"/>
      <c r="D222" s="3"/>
      <c r="E222" s="3"/>
      <c r="F222" s="3"/>
      <c r="G222" s="3"/>
      <c r="H222" s="3"/>
      <c r="I222" s="3"/>
      <c r="J222" s="3"/>
      <c r="K222" s="3"/>
      <c r="L222" s="4"/>
      <c r="M222" s="32"/>
      <c r="N222" s="32"/>
      <c r="O222" s="32"/>
      <c r="P222" s="32"/>
      <c r="Q222" s="32"/>
      <c r="R222" s="32"/>
      <c r="S222" s="32"/>
      <c r="T222" s="32"/>
      <c r="U222" s="32"/>
      <c r="V222" s="32"/>
      <c r="W222" s="32"/>
      <c r="X222" s="32"/>
      <c r="Y222" s="32"/>
      <c r="Z222" s="32"/>
    </row>
    <row r="223" spans="1:26" ht="17.25" customHeight="1">
      <c r="A223" s="3"/>
      <c r="B223" s="3"/>
      <c r="C223" s="3"/>
      <c r="D223" s="3"/>
      <c r="E223" s="3"/>
      <c r="F223" s="3"/>
      <c r="G223" s="3"/>
      <c r="H223" s="3"/>
      <c r="I223" s="3"/>
      <c r="J223" s="3"/>
      <c r="K223" s="3"/>
      <c r="L223" s="4"/>
      <c r="M223" s="32"/>
      <c r="N223" s="32"/>
      <c r="O223" s="32"/>
      <c r="P223" s="32"/>
      <c r="Q223" s="32"/>
      <c r="R223" s="32"/>
      <c r="S223" s="32"/>
      <c r="T223" s="32"/>
      <c r="U223" s="32"/>
      <c r="V223" s="32"/>
      <c r="W223" s="32"/>
      <c r="X223" s="32"/>
      <c r="Y223" s="32"/>
      <c r="Z223" s="32"/>
    </row>
    <row r="224" spans="1:26" ht="17.25" customHeight="1">
      <c r="A224" s="3"/>
      <c r="B224" s="3"/>
      <c r="C224" s="3"/>
      <c r="D224" s="3"/>
      <c r="E224" s="3"/>
      <c r="F224" s="3"/>
      <c r="G224" s="3"/>
      <c r="H224" s="3"/>
      <c r="I224" s="3"/>
      <c r="J224" s="3"/>
      <c r="K224" s="3"/>
      <c r="L224" s="4"/>
      <c r="M224" s="32"/>
      <c r="N224" s="32"/>
      <c r="O224" s="32"/>
      <c r="P224" s="32"/>
      <c r="Q224" s="32"/>
      <c r="R224" s="32"/>
      <c r="S224" s="32"/>
      <c r="T224" s="32"/>
      <c r="U224" s="32"/>
      <c r="V224" s="32"/>
      <c r="W224" s="32"/>
      <c r="X224" s="32"/>
      <c r="Y224" s="32"/>
      <c r="Z224" s="32"/>
    </row>
    <row r="225" spans="1:26" ht="17.25" customHeight="1">
      <c r="A225" s="3"/>
      <c r="B225" s="3"/>
      <c r="C225" s="3"/>
      <c r="D225" s="3"/>
      <c r="E225" s="3"/>
      <c r="F225" s="3"/>
      <c r="G225" s="3"/>
      <c r="H225" s="3"/>
      <c r="I225" s="3"/>
      <c r="J225" s="3"/>
      <c r="K225" s="3"/>
      <c r="L225" s="4"/>
      <c r="M225" s="32"/>
      <c r="N225" s="32"/>
      <c r="O225" s="32"/>
      <c r="P225" s="32"/>
      <c r="Q225" s="32"/>
      <c r="R225" s="32"/>
      <c r="S225" s="32"/>
      <c r="T225" s="32"/>
      <c r="U225" s="32"/>
      <c r="V225" s="32"/>
      <c r="W225" s="32"/>
      <c r="X225" s="32"/>
      <c r="Y225" s="32"/>
      <c r="Z225" s="32"/>
    </row>
    <row r="226" spans="1:26" ht="17.25" customHeight="1">
      <c r="A226" s="3"/>
      <c r="B226" s="3"/>
      <c r="C226" s="3"/>
      <c r="D226" s="3"/>
      <c r="E226" s="3"/>
      <c r="F226" s="3"/>
      <c r="G226" s="3"/>
      <c r="H226" s="3"/>
      <c r="I226" s="3"/>
      <c r="J226" s="3"/>
      <c r="K226" s="3"/>
      <c r="L226" s="4"/>
      <c r="M226" s="32"/>
      <c r="N226" s="32"/>
      <c r="O226" s="32"/>
      <c r="P226" s="32"/>
      <c r="Q226" s="32"/>
      <c r="R226" s="32"/>
      <c r="S226" s="32"/>
      <c r="T226" s="32"/>
      <c r="U226" s="32"/>
      <c r="V226" s="32"/>
      <c r="W226" s="32"/>
      <c r="X226" s="32"/>
      <c r="Y226" s="32"/>
      <c r="Z226" s="32"/>
    </row>
    <row r="227" spans="1:26" ht="17.25" customHeight="1">
      <c r="A227" s="3"/>
      <c r="B227" s="3"/>
      <c r="C227" s="3"/>
      <c r="D227" s="3"/>
      <c r="E227" s="3"/>
      <c r="F227" s="3"/>
      <c r="G227" s="3"/>
      <c r="H227" s="3"/>
      <c r="I227" s="3"/>
      <c r="J227" s="3"/>
      <c r="K227" s="3"/>
      <c r="L227" s="4"/>
      <c r="M227" s="32"/>
      <c r="N227" s="32"/>
      <c r="O227" s="32"/>
      <c r="P227" s="32"/>
      <c r="Q227" s="32"/>
      <c r="R227" s="32"/>
      <c r="S227" s="32"/>
      <c r="T227" s="32"/>
      <c r="U227" s="32"/>
      <c r="V227" s="32"/>
      <c r="W227" s="32"/>
      <c r="X227" s="32"/>
      <c r="Y227" s="32"/>
      <c r="Z227" s="32"/>
    </row>
    <row r="228" spans="1:26" ht="17.25" customHeight="1">
      <c r="A228" s="3"/>
      <c r="B228" s="3"/>
      <c r="C228" s="3"/>
      <c r="D228" s="3"/>
      <c r="E228" s="3"/>
      <c r="F228" s="3"/>
      <c r="G228" s="3"/>
      <c r="H228" s="3"/>
      <c r="I228" s="3"/>
      <c r="J228" s="3"/>
      <c r="K228" s="3"/>
      <c r="L228" s="4"/>
      <c r="M228" s="32"/>
      <c r="N228" s="32"/>
      <c r="O228" s="32"/>
      <c r="P228" s="32"/>
      <c r="Q228" s="32"/>
      <c r="R228" s="32"/>
      <c r="S228" s="32"/>
      <c r="T228" s="32"/>
      <c r="U228" s="32"/>
      <c r="V228" s="32"/>
      <c r="W228" s="32"/>
      <c r="X228" s="32"/>
      <c r="Y228" s="32"/>
      <c r="Z228" s="32"/>
    </row>
    <row r="229" spans="1:26" ht="17.25" customHeight="1">
      <c r="A229" s="3"/>
      <c r="B229" s="3"/>
      <c r="C229" s="3"/>
      <c r="D229" s="3"/>
      <c r="E229" s="3"/>
      <c r="F229" s="3"/>
      <c r="G229" s="3"/>
      <c r="H229" s="3"/>
      <c r="I229" s="3"/>
      <c r="J229" s="3"/>
      <c r="K229" s="3"/>
      <c r="L229" s="4"/>
      <c r="M229" s="32"/>
      <c r="N229" s="32"/>
      <c r="O229" s="32"/>
      <c r="P229" s="32"/>
      <c r="Q229" s="32"/>
      <c r="R229" s="32"/>
      <c r="S229" s="32"/>
      <c r="T229" s="32"/>
      <c r="U229" s="32"/>
      <c r="V229" s="32"/>
      <c r="W229" s="32"/>
      <c r="X229" s="32"/>
      <c r="Y229" s="32"/>
      <c r="Z229" s="32"/>
    </row>
    <row r="230" spans="1:26" ht="17.25" customHeight="1">
      <c r="A230" s="3"/>
      <c r="B230" s="3"/>
      <c r="C230" s="3"/>
      <c r="D230" s="3"/>
      <c r="E230" s="3"/>
      <c r="F230" s="3"/>
      <c r="G230" s="3"/>
      <c r="H230" s="3"/>
      <c r="I230" s="3"/>
      <c r="J230" s="3"/>
      <c r="K230" s="3"/>
      <c r="L230" s="4"/>
      <c r="M230" s="32"/>
      <c r="N230" s="32"/>
      <c r="O230" s="32"/>
      <c r="P230" s="32"/>
      <c r="Q230" s="32"/>
      <c r="R230" s="32"/>
      <c r="S230" s="32"/>
      <c r="T230" s="32"/>
      <c r="U230" s="32"/>
      <c r="V230" s="32"/>
      <c r="W230" s="32"/>
      <c r="X230" s="32"/>
      <c r="Y230" s="32"/>
      <c r="Z230" s="32"/>
    </row>
    <row r="231" spans="1:26" ht="17.25" customHeight="1">
      <c r="A231" s="3"/>
      <c r="B231" s="3"/>
      <c r="C231" s="3"/>
      <c r="D231" s="3"/>
      <c r="E231" s="3"/>
      <c r="F231" s="3"/>
      <c r="G231" s="3"/>
      <c r="H231" s="3"/>
      <c r="I231" s="3"/>
      <c r="J231" s="3"/>
      <c r="K231" s="3"/>
      <c r="L231" s="4"/>
      <c r="M231" s="32"/>
      <c r="N231" s="32"/>
      <c r="O231" s="32"/>
      <c r="P231" s="32"/>
      <c r="Q231" s="32"/>
      <c r="R231" s="32"/>
      <c r="S231" s="32"/>
      <c r="T231" s="32"/>
      <c r="U231" s="32"/>
      <c r="V231" s="32"/>
      <c r="W231" s="32"/>
      <c r="X231" s="32"/>
      <c r="Y231" s="32"/>
      <c r="Z231" s="32"/>
    </row>
    <row r="232" spans="1:26" ht="17.25" customHeight="1">
      <c r="A232" s="3"/>
      <c r="B232" s="3"/>
      <c r="C232" s="3"/>
      <c r="D232" s="3"/>
      <c r="E232" s="3"/>
      <c r="F232" s="3"/>
      <c r="G232" s="3"/>
      <c r="H232" s="3"/>
      <c r="I232" s="3"/>
      <c r="J232" s="3"/>
      <c r="K232" s="3"/>
      <c r="L232" s="4"/>
      <c r="M232" s="32"/>
      <c r="N232" s="32"/>
      <c r="O232" s="32"/>
      <c r="P232" s="32"/>
      <c r="Q232" s="32"/>
      <c r="R232" s="32"/>
      <c r="S232" s="32"/>
      <c r="T232" s="32"/>
      <c r="U232" s="32"/>
      <c r="V232" s="32"/>
      <c r="W232" s="32"/>
      <c r="X232" s="32"/>
      <c r="Y232" s="32"/>
      <c r="Z232" s="32"/>
    </row>
    <row r="233" spans="1:26" ht="17.25" customHeight="1">
      <c r="A233" s="3"/>
      <c r="B233" s="3"/>
      <c r="C233" s="3"/>
      <c r="D233" s="3"/>
      <c r="E233" s="3"/>
      <c r="F233" s="3"/>
      <c r="G233" s="3"/>
      <c r="H233" s="3"/>
      <c r="I233" s="3"/>
      <c r="J233" s="3"/>
      <c r="K233" s="3"/>
      <c r="L233" s="4"/>
      <c r="M233" s="32"/>
      <c r="N233" s="32"/>
      <c r="O233" s="32"/>
      <c r="P233" s="32"/>
      <c r="Q233" s="32"/>
      <c r="R233" s="32"/>
      <c r="S233" s="32"/>
      <c r="T233" s="32"/>
      <c r="U233" s="32"/>
      <c r="V233" s="32"/>
      <c r="W233" s="32"/>
      <c r="X233" s="32"/>
      <c r="Y233" s="32"/>
      <c r="Z233" s="32"/>
    </row>
    <row r="234" spans="1:26" ht="17.25" customHeight="1">
      <c r="A234" s="3"/>
      <c r="B234" s="3"/>
      <c r="C234" s="3"/>
      <c r="D234" s="3"/>
      <c r="E234" s="3"/>
      <c r="F234" s="3"/>
      <c r="G234" s="3"/>
      <c r="H234" s="3"/>
      <c r="I234" s="3"/>
      <c r="J234" s="3"/>
      <c r="K234" s="3"/>
      <c r="L234" s="4"/>
      <c r="M234" s="32"/>
      <c r="N234" s="32"/>
      <c r="O234" s="32"/>
      <c r="P234" s="32"/>
      <c r="Q234" s="32"/>
      <c r="R234" s="32"/>
      <c r="S234" s="32"/>
      <c r="T234" s="32"/>
      <c r="U234" s="32"/>
      <c r="V234" s="32"/>
      <c r="W234" s="32"/>
      <c r="X234" s="32"/>
      <c r="Y234" s="32"/>
      <c r="Z234" s="32"/>
    </row>
    <row r="235" spans="1:26" ht="17.25" customHeight="1">
      <c r="A235" s="3"/>
      <c r="B235" s="3"/>
      <c r="C235" s="3"/>
      <c r="D235" s="3"/>
      <c r="E235" s="3"/>
      <c r="F235" s="3"/>
      <c r="G235" s="3"/>
      <c r="H235" s="3"/>
      <c r="I235" s="3"/>
      <c r="J235" s="3"/>
      <c r="K235" s="3"/>
      <c r="L235" s="4"/>
      <c r="M235" s="32"/>
      <c r="N235" s="32"/>
      <c r="O235" s="32"/>
      <c r="P235" s="32"/>
      <c r="Q235" s="32"/>
      <c r="R235" s="32"/>
      <c r="S235" s="32"/>
      <c r="T235" s="32"/>
      <c r="U235" s="32"/>
      <c r="V235" s="32"/>
      <c r="W235" s="32"/>
      <c r="X235" s="32"/>
      <c r="Y235" s="32"/>
      <c r="Z235" s="32"/>
    </row>
    <row r="236" spans="1:26" ht="17.25" customHeight="1">
      <c r="A236" s="3"/>
      <c r="B236" s="3"/>
      <c r="C236" s="3"/>
      <c r="D236" s="3"/>
      <c r="E236" s="3"/>
      <c r="F236" s="3"/>
      <c r="G236" s="3"/>
      <c r="H236" s="3"/>
      <c r="I236" s="3"/>
      <c r="J236" s="3"/>
      <c r="K236" s="3"/>
      <c r="L236" s="4"/>
      <c r="M236" s="32"/>
      <c r="N236" s="32"/>
      <c r="O236" s="32"/>
      <c r="P236" s="32"/>
      <c r="Q236" s="32"/>
      <c r="R236" s="32"/>
      <c r="S236" s="32"/>
      <c r="T236" s="32"/>
      <c r="U236" s="32"/>
      <c r="V236" s="32"/>
      <c r="W236" s="32"/>
      <c r="X236" s="32"/>
      <c r="Y236" s="32"/>
      <c r="Z236" s="32"/>
    </row>
    <row r="237" spans="1:26" ht="17.25" customHeight="1">
      <c r="A237" s="3"/>
      <c r="B237" s="3"/>
      <c r="C237" s="3"/>
      <c r="D237" s="3"/>
      <c r="E237" s="3"/>
      <c r="F237" s="3"/>
      <c r="G237" s="3"/>
      <c r="H237" s="3"/>
      <c r="I237" s="3"/>
      <c r="J237" s="3"/>
      <c r="K237" s="3"/>
      <c r="L237" s="4"/>
      <c r="M237" s="32"/>
      <c r="N237" s="32"/>
      <c r="O237" s="32"/>
      <c r="P237" s="32"/>
      <c r="Q237" s="32"/>
      <c r="R237" s="32"/>
      <c r="S237" s="32"/>
      <c r="T237" s="32"/>
      <c r="U237" s="32"/>
      <c r="V237" s="32"/>
      <c r="W237" s="32"/>
      <c r="X237" s="32"/>
      <c r="Y237" s="32"/>
      <c r="Z237" s="32"/>
    </row>
    <row r="238" spans="1:26" ht="17.25" customHeight="1">
      <c r="A238" s="3"/>
      <c r="B238" s="3"/>
      <c r="C238" s="3"/>
      <c r="D238" s="3"/>
      <c r="E238" s="3"/>
      <c r="F238" s="3"/>
      <c r="G238" s="3"/>
      <c r="H238" s="3"/>
      <c r="I238" s="3"/>
      <c r="J238" s="3"/>
      <c r="K238" s="3"/>
      <c r="L238" s="4"/>
      <c r="M238" s="32"/>
      <c r="N238" s="32"/>
      <c r="O238" s="32"/>
      <c r="P238" s="32"/>
      <c r="Q238" s="32"/>
      <c r="R238" s="32"/>
      <c r="S238" s="32"/>
      <c r="T238" s="32"/>
      <c r="U238" s="32"/>
      <c r="V238" s="32"/>
      <c r="W238" s="32"/>
      <c r="X238" s="32"/>
      <c r="Y238" s="32"/>
      <c r="Z238" s="32"/>
    </row>
    <row r="239" spans="1:26" ht="17.25" customHeight="1">
      <c r="A239" s="3"/>
      <c r="B239" s="3"/>
      <c r="C239" s="3"/>
      <c r="D239" s="3"/>
      <c r="E239" s="3"/>
      <c r="F239" s="3"/>
      <c r="G239" s="3"/>
      <c r="H239" s="3"/>
      <c r="I239" s="3"/>
      <c r="J239" s="3"/>
      <c r="K239" s="3"/>
      <c r="L239" s="4"/>
      <c r="M239" s="32"/>
      <c r="N239" s="32"/>
      <c r="O239" s="32"/>
      <c r="P239" s="32"/>
      <c r="Q239" s="32"/>
      <c r="R239" s="32"/>
      <c r="S239" s="32"/>
      <c r="T239" s="32"/>
      <c r="U239" s="32"/>
      <c r="V239" s="32"/>
      <c r="W239" s="32"/>
      <c r="X239" s="32"/>
      <c r="Y239" s="32"/>
      <c r="Z239" s="32"/>
    </row>
    <row r="240" spans="1:26" ht="17.25" customHeight="1">
      <c r="A240" s="3"/>
      <c r="B240" s="3"/>
      <c r="C240" s="3"/>
      <c r="D240" s="3"/>
      <c r="E240" s="3"/>
      <c r="F240" s="3"/>
      <c r="G240" s="3"/>
      <c r="H240" s="3"/>
      <c r="I240" s="3"/>
      <c r="J240" s="3"/>
      <c r="K240" s="3"/>
      <c r="L240" s="4"/>
      <c r="M240" s="32"/>
      <c r="N240" s="32"/>
      <c r="O240" s="32"/>
      <c r="P240" s="32"/>
      <c r="Q240" s="32"/>
      <c r="R240" s="32"/>
      <c r="S240" s="32"/>
      <c r="T240" s="32"/>
      <c r="U240" s="32"/>
      <c r="V240" s="32"/>
      <c r="W240" s="32"/>
      <c r="X240" s="32"/>
      <c r="Y240" s="32"/>
      <c r="Z240" s="32"/>
    </row>
    <row r="241" spans="1:26" ht="17.25" customHeight="1">
      <c r="A241" s="3"/>
      <c r="B241" s="3"/>
      <c r="C241" s="3"/>
      <c r="D241" s="3"/>
      <c r="E241" s="3"/>
      <c r="F241" s="3"/>
      <c r="G241" s="3"/>
      <c r="H241" s="3"/>
      <c r="I241" s="3"/>
      <c r="J241" s="3"/>
      <c r="K241" s="3"/>
      <c r="L241" s="4"/>
      <c r="M241" s="32"/>
      <c r="N241" s="32"/>
      <c r="O241" s="32"/>
      <c r="P241" s="32"/>
      <c r="Q241" s="32"/>
      <c r="R241" s="32"/>
      <c r="S241" s="32"/>
      <c r="T241" s="32"/>
      <c r="U241" s="32"/>
      <c r="V241" s="32"/>
      <c r="W241" s="32"/>
      <c r="X241" s="32"/>
      <c r="Y241" s="32"/>
      <c r="Z241" s="32"/>
    </row>
    <row r="242" spans="1:26" ht="17.25" customHeight="1">
      <c r="A242" s="3"/>
      <c r="B242" s="3"/>
      <c r="C242" s="3"/>
      <c r="D242" s="3"/>
      <c r="E242" s="3"/>
      <c r="F242" s="3"/>
      <c r="G242" s="3"/>
      <c r="H242" s="3"/>
      <c r="I242" s="3"/>
      <c r="J242" s="3"/>
      <c r="K242" s="3"/>
      <c r="L242" s="4"/>
      <c r="M242" s="32"/>
      <c r="N242" s="32"/>
      <c r="O242" s="32"/>
      <c r="P242" s="32"/>
      <c r="Q242" s="32"/>
      <c r="R242" s="32"/>
      <c r="S242" s="32"/>
      <c r="T242" s="32"/>
      <c r="U242" s="32"/>
      <c r="V242" s="32"/>
      <c r="W242" s="32"/>
      <c r="X242" s="32"/>
      <c r="Y242" s="32"/>
      <c r="Z242" s="32"/>
    </row>
    <row r="243" spans="1:26" ht="17.25" customHeight="1">
      <c r="A243" s="3"/>
      <c r="B243" s="3"/>
      <c r="C243" s="3"/>
      <c r="D243" s="3"/>
      <c r="E243" s="3"/>
      <c r="F243" s="3"/>
      <c r="G243" s="3"/>
      <c r="H243" s="3"/>
      <c r="I243" s="3"/>
      <c r="J243" s="3"/>
      <c r="K243" s="3"/>
      <c r="L243" s="4"/>
      <c r="M243" s="32"/>
      <c r="N243" s="32"/>
      <c r="O243" s="32"/>
      <c r="P243" s="32"/>
      <c r="Q243" s="32"/>
      <c r="R243" s="32"/>
      <c r="S243" s="32"/>
      <c r="T243" s="32"/>
      <c r="U243" s="32"/>
      <c r="V243" s="32"/>
      <c r="W243" s="32"/>
      <c r="X243" s="32"/>
      <c r="Y243" s="32"/>
      <c r="Z243" s="32"/>
    </row>
    <row r="244" spans="1:26" ht="17.25" customHeight="1">
      <c r="A244" s="3"/>
      <c r="B244" s="3"/>
      <c r="C244" s="3"/>
      <c r="D244" s="3"/>
      <c r="E244" s="3"/>
      <c r="F244" s="3"/>
      <c r="G244" s="3"/>
      <c r="H244" s="3"/>
      <c r="I244" s="3"/>
      <c r="J244" s="3"/>
      <c r="K244" s="3"/>
      <c r="L244" s="4"/>
      <c r="M244" s="32"/>
      <c r="N244" s="32"/>
      <c r="O244" s="32"/>
      <c r="P244" s="32"/>
      <c r="Q244" s="32"/>
      <c r="R244" s="32"/>
      <c r="S244" s="32"/>
      <c r="T244" s="32"/>
      <c r="U244" s="32"/>
      <c r="V244" s="32"/>
      <c r="W244" s="32"/>
      <c r="X244" s="32"/>
      <c r="Y244" s="32"/>
      <c r="Z244" s="32"/>
    </row>
    <row r="245" spans="1:26" ht="17.25" customHeight="1">
      <c r="A245" s="3"/>
      <c r="B245" s="3"/>
      <c r="C245" s="3"/>
      <c r="D245" s="3"/>
      <c r="E245" s="3"/>
      <c r="F245" s="3"/>
      <c r="G245" s="3"/>
      <c r="H245" s="3"/>
      <c r="I245" s="3"/>
      <c r="J245" s="3"/>
      <c r="K245" s="3"/>
      <c r="L245" s="4"/>
      <c r="M245" s="32"/>
      <c r="N245" s="32"/>
      <c r="O245" s="32"/>
      <c r="P245" s="32"/>
      <c r="Q245" s="32"/>
      <c r="R245" s="32"/>
      <c r="S245" s="32"/>
      <c r="T245" s="32"/>
      <c r="U245" s="32"/>
      <c r="V245" s="32"/>
      <c r="W245" s="32"/>
      <c r="X245" s="32"/>
      <c r="Y245" s="32"/>
      <c r="Z245" s="32"/>
    </row>
    <row r="246" spans="1:26" ht="17.25" customHeight="1">
      <c r="A246" s="3"/>
      <c r="B246" s="3"/>
      <c r="C246" s="3"/>
      <c r="D246" s="3"/>
      <c r="E246" s="3"/>
      <c r="F246" s="3"/>
      <c r="G246" s="3"/>
      <c r="H246" s="3"/>
      <c r="I246" s="3"/>
      <c r="J246" s="3"/>
      <c r="K246" s="3"/>
      <c r="L246" s="4"/>
      <c r="M246" s="32"/>
      <c r="N246" s="32"/>
      <c r="O246" s="32"/>
      <c r="P246" s="32"/>
      <c r="Q246" s="32"/>
      <c r="R246" s="32"/>
      <c r="S246" s="32"/>
      <c r="T246" s="32"/>
      <c r="U246" s="32"/>
      <c r="V246" s="32"/>
      <c r="W246" s="32"/>
      <c r="X246" s="32"/>
      <c r="Y246" s="32"/>
      <c r="Z246" s="32"/>
    </row>
    <row r="247" spans="1:26" ht="17.25" customHeight="1">
      <c r="A247" s="3"/>
      <c r="B247" s="3"/>
      <c r="C247" s="3"/>
      <c r="D247" s="3"/>
      <c r="E247" s="3"/>
      <c r="F247" s="3"/>
      <c r="G247" s="3"/>
      <c r="H247" s="3"/>
      <c r="I247" s="3"/>
      <c r="J247" s="3"/>
      <c r="K247" s="3"/>
      <c r="L247" s="4"/>
      <c r="M247" s="32"/>
      <c r="N247" s="32"/>
      <c r="O247" s="32"/>
      <c r="P247" s="32"/>
      <c r="Q247" s="32"/>
      <c r="R247" s="32"/>
      <c r="S247" s="32"/>
      <c r="T247" s="32"/>
      <c r="U247" s="32"/>
      <c r="V247" s="32"/>
      <c r="W247" s="32"/>
      <c r="X247" s="32"/>
      <c r="Y247" s="32"/>
      <c r="Z247" s="32"/>
    </row>
    <row r="248" spans="1:26" ht="17.25" customHeight="1">
      <c r="A248" s="3"/>
      <c r="B248" s="3"/>
      <c r="C248" s="3"/>
      <c r="D248" s="3"/>
      <c r="E248" s="3"/>
      <c r="F248" s="3"/>
      <c r="G248" s="3"/>
      <c r="H248" s="3"/>
      <c r="I248" s="3"/>
      <c r="J248" s="3"/>
      <c r="K248" s="3"/>
      <c r="L248" s="4"/>
      <c r="M248" s="32"/>
      <c r="N248" s="32"/>
      <c r="O248" s="32"/>
      <c r="P248" s="32"/>
      <c r="Q248" s="32"/>
      <c r="R248" s="32"/>
      <c r="S248" s="32"/>
      <c r="T248" s="32"/>
      <c r="U248" s="32"/>
      <c r="V248" s="32"/>
      <c r="W248" s="32"/>
      <c r="X248" s="32"/>
      <c r="Y248" s="32"/>
      <c r="Z248" s="32"/>
    </row>
    <row r="249" spans="1:26" ht="17.25" customHeight="1">
      <c r="A249" s="3"/>
      <c r="B249" s="3"/>
      <c r="C249" s="3"/>
      <c r="D249" s="3"/>
      <c r="E249" s="3"/>
      <c r="F249" s="3"/>
      <c r="G249" s="3"/>
      <c r="H249" s="3"/>
      <c r="I249" s="3"/>
      <c r="J249" s="3"/>
      <c r="K249" s="3"/>
      <c r="L249" s="4"/>
      <c r="M249" s="32"/>
      <c r="N249" s="32"/>
      <c r="O249" s="32"/>
      <c r="P249" s="32"/>
      <c r="Q249" s="32"/>
      <c r="R249" s="32"/>
      <c r="S249" s="32"/>
      <c r="T249" s="32"/>
      <c r="U249" s="32"/>
      <c r="V249" s="32"/>
      <c r="W249" s="32"/>
      <c r="X249" s="32"/>
      <c r="Y249" s="32"/>
      <c r="Z249" s="32"/>
    </row>
    <row r="250" spans="1:26" ht="17.25" customHeight="1">
      <c r="A250" s="3"/>
      <c r="B250" s="3"/>
      <c r="C250" s="3"/>
      <c r="D250" s="3"/>
      <c r="E250" s="3"/>
      <c r="F250" s="3"/>
      <c r="G250" s="3"/>
      <c r="H250" s="3"/>
      <c r="I250" s="3"/>
      <c r="J250" s="3"/>
      <c r="K250" s="3"/>
      <c r="L250" s="4"/>
      <c r="M250" s="32"/>
      <c r="N250" s="32"/>
      <c r="O250" s="32"/>
      <c r="P250" s="32"/>
      <c r="Q250" s="32"/>
      <c r="R250" s="32"/>
      <c r="S250" s="32"/>
      <c r="T250" s="32"/>
      <c r="U250" s="32"/>
      <c r="V250" s="32"/>
      <c r="W250" s="32"/>
      <c r="X250" s="32"/>
      <c r="Y250" s="32"/>
      <c r="Z250" s="32"/>
    </row>
    <row r="251" spans="1:26" ht="17.25" customHeight="1">
      <c r="A251" s="3"/>
      <c r="B251" s="3"/>
      <c r="C251" s="3"/>
      <c r="D251" s="3"/>
      <c r="E251" s="3"/>
      <c r="F251" s="3"/>
      <c r="G251" s="3"/>
      <c r="H251" s="3"/>
      <c r="I251" s="3"/>
      <c r="J251" s="3"/>
      <c r="K251" s="3"/>
      <c r="L251" s="4"/>
      <c r="M251" s="32"/>
      <c r="N251" s="32"/>
      <c r="O251" s="32"/>
      <c r="P251" s="32"/>
      <c r="Q251" s="32"/>
      <c r="R251" s="32"/>
      <c r="S251" s="32"/>
      <c r="T251" s="32"/>
      <c r="U251" s="32"/>
      <c r="V251" s="32"/>
      <c r="W251" s="32"/>
      <c r="X251" s="32"/>
      <c r="Y251" s="32"/>
      <c r="Z251" s="32"/>
    </row>
    <row r="252" spans="1:26" ht="17.25" customHeight="1">
      <c r="A252" s="3"/>
      <c r="B252" s="3"/>
      <c r="C252" s="3"/>
      <c r="D252" s="3"/>
      <c r="E252" s="3"/>
      <c r="F252" s="3"/>
      <c r="G252" s="3"/>
      <c r="H252" s="3"/>
      <c r="I252" s="3"/>
      <c r="J252" s="3"/>
      <c r="K252" s="3"/>
      <c r="L252" s="4"/>
      <c r="M252" s="32"/>
      <c r="N252" s="32"/>
      <c r="O252" s="32"/>
      <c r="P252" s="32"/>
      <c r="Q252" s="32"/>
      <c r="R252" s="32"/>
      <c r="S252" s="32"/>
      <c r="T252" s="32"/>
      <c r="U252" s="32"/>
      <c r="V252" s="32"/>
      <c r="W252" s="32"/>
      <c r="X252" s="32"/>
      <c r="Y252" s="32"/>
      <c r="Z252" s="32"/>
    </row>
    <row r="253" spans="1:26" ht="17.25" customHeight="1">
      <c r="A253" s="3"/>
      <c r="B253" s="3"/>
      <c r="C253" s="3"/>
      <c r="D253" s="3"/>
      <c r="E253" s="3"/>
      <c r="F253" s="3"/>
      <c r="G253" s="3"/>
      <c r="H253" s="3"/>
      <c r="I253" s="3"/>
      <c r="J253" s="3"/>
      <c r="K253" s="3"/>
      <c r="L253" s="4"/>
      <c r="M253" s="32"/>
      <c r="N253" s="32"/>
      <c r="O253" s="32"/>
      <c r="P253" s="32"/>
      <c r="Q253" s="32"/>
      <c r="R253" s="32"/>
      <c r="S253" s="32"/>
      <c r="T253" s="32"/>
      <c r="U253" s="32"/>
      <c r="V253" s="32"/>
      <c r="W253" s="32"/>
      <c r="X253" s="32"/>
      <c r="Y253" s="32"/>
      <c r="Z253" s="32"/>
    </row>
    <row r="254" spans="1:26" ht="17.25" customHeight="1">
      <c r="A254" s="3"/>
      <c r="B254" s="3"/>
      <c r="C254" s="3"/>
      <c r="D254" s="3"/>
      <c r="E254" s="3"/>
      <c r="F254" s="3"/>
      <c r="G254" s="3"/>
      <c r="H254" s="3"/>
      <c r="I254" s="3"/>
      <c r="J254" s="3"/>
      <c r="K254" s="3"/>
      <c r="L254" s="4"/>
      <c r="M254" s="32"/>
      <c r="N254" s="32"/>
      <c r="O254" s="32"/>
      <c r="P254" s="32"/>
      <c r="Q254" s="32"/>
      <c r="R254" s="32"/>
      <c r="S254" s="32"/>
      <c r="T254" s="32"/>
      <c r="U254" s="32"/>
      <c r="V254" s="32"/>
      <c r="W254" s="32"/>
      <c r="X254" s="32"/>
      <c r="Y254" s="32"/>
      <c r="Z254" s="32"/>
    </row>
    <row r="255" spans="1:26" ht="17.25" customHeight="1">
      <c r="A255" s="3"/>
      <c r="B255" s="3"/>
      <c r="C255" s="3"/>
      <c r="D255" s="3"/>
      <c r="E255" s="3"/>
      <c r="F255" s="3"/>
      <c r="G255" s="3"/>
      <c r="H255" s="3"/>
      <c r="I255" s="3"/>
      <c r="J255" s="3"/>
      <c r="K255" s="3"/>
      <c r="L255" s="4"/>
      <c r="M255" s="32"/>
      <c r="N255" s="32"/>
      <c r="O255" s="32"/>
      <c r="P255" s="32"/>
      <c r="Q255" s="32"/>
      <c r="R255" s="32"/>
      <c r="S255" s="32"/>
      <c r="T255" s="32"/>
      <c r="U255" s="32"/>
      <c r="V255" s="32"/>
      <c r="W255" s="32"/>
      <c r="X255" s="32"/>
      <c r="Y255" s="32"/>
      <c r="Z255" s="32"/>
    </row>
    <row r="256" spans="1:26" ht="17.25" customHeight="1">
      <c r="A256" s="3"/>
      <c r="B256" s="3"/>
      <c r="C256" s="3"/>
      <c r="D256" s="3"/>
      <c r="E256" s="3"/>
      <c r="F256" s="3"/>
      <c r="G256" s="3"/>
      <c r="H256" s="3"/>
      <c r="I256" s="3"/>
      <c r="J256" s="3"/>
      <c r="K256" s="3"/>
      <c r="L256" s="4"/>
      <c r="M256" s="32"/>
      <c r="N256" s="32"/>
      <c r="O256" s="32"/>
      <c r="P256" s="32"/>
      <c r="Q256" s="32"/>
      <c r="R256" s="32"/>
      <c r="S256" s="32"/>
      <c r="T256" s="32"/>
      <c r="U256" s="32"/>
      <c r="V256" s="32"/>
      <c r="W256" s="32"/>
      <c r="X256" s="32"/>
      <c r="Y256" s="32"/>
      <c r="Z256" s="32"/>
    </row>
    <row r="257" spans="1:26" ht="17.25" customHeight="1">
      <c r="A257" s="3"/>
      <c r="B257" s="3"/>
      <c r="C257" s="3"/>
      <c r="D257" s="3"/>
      <c r="E257" s="3"/>
      <c r="F257" s="3"/>
      <c r="G257" s="3"/>
      <c r="H257" s="3"/>
      <c r="I257" s="3"/>
      <c r="J257" s="3"/>
      <c r="K257" s="3"/>
      <c r="L257" s="4"/>
      <c r="M257" s="32"/>
      <c r="N257" s="32"/>
      <c r="O257" s="32"/>
      <c r="P257" s="32"/>
      <c r="Q257" s="32"/>
      <c r="R257" s="32"/>
      <c r="S257" s="32"/>
      <c r="T257" s="32"/>
      <c r="U257" s="32"/>
      <c r="V257" s="32"/>
      <c r="W257" s="32"/>
      <c r="X257" s="32"/>
      <c r="Y257" s="32"/>
      <c r="Z257" s="32"/>
    </row>
    <row r="258" spans="1:26" ht="17.25" customHeight="1">
      <c r="A258" s="3"/>
      <c r="B258" s="3"/>
      <c r="C258" s="3"/>
      <c r="D258" s="3"/>
      <c r="E258" s="3"/>
      <c r="F258" s="3"/>
      <c r="G258" s="3"/>
      <c r="H258" s="3"/>
      <c r="I258" s="3"/>
      <c r="J258" s="3"/>
      <c r="K258" s="3"/>
      <c r="L258" s="4"/>
      <c r="M258" s="32"/>
      <c r="N258" s="32"/>
      <c r="O258" s="32"/>
      <c r="P258" s="32"/>
      <c r="Q258" s="32"/>
      <c r="R258" s="32"/>
      <c r="S258" s="32"/>
      <c r="T258" s="32"/>
      <c r="U258" s="32"/>
      <c r="V258" s="32"/>
      <c r="W258" s="32"/>
      <c r="X258" s="32"/>
      <c r="Y258" s="32"/>
      <c r="Z258" s="32"/>
    </row>
    <row r="259" spans="1:26" ht="17.25" customHeight="1">
      <c r="A259" s="3"/>
      <c r="B259" s="3"/>
      <c r="C259" s="3"/>
      <c r="D259" s="3"/>
      <c r="E259" s="3"/>
      <c r="F259" s="3"/>
      <c r="G259" s="3"/>
      <c r="H259" s="3"/>
      <c r="I259" s="3"/>
      <c r="J259" s="3"/>
      <c r="K259" s="3"/>
      <c r="L259" s="4"/>
      <c r="M259" s="32"/>
      <c r="N259" s="32"/>
      <c r="O259" s="32"/>
      <c r="P259" s="32"/>
      <c r="Q259" s="32"/>
      <c r="R259" s="32"/>
      <c r="S259" s="32"/>
      <c r="T259" s="32"/>
      <c r="U259" s="32"/>
      <c r="V259" s="32"/>
      <c r="W259" s="32"/>
      <c r="X259" s="32"/>
      <c r="Y259" s="32"/>
      <c r="Z259" s="32"/>
    </row>
    <row r="260" spans="1:26" ht="17.25" customHeight="1">
      <c r="A260" s="3"/>
      <c r="B260" s="3"/>
      <c r="C260" s="3"/>
      <c r="D260" s="3"/>
      <c r="E260" s="3"/>
      <c r="F260" s="3"/>
      <c r="G260" s="3"/>
      <c r="H260" s="3"/>
      <c r="I260" s="3"/>
      <c r="J260" s="3"/>
      <c r="K260" s="3"/>
      <c r="L260" s="4"/>
      <c r="M260" s="32"/>
      <c r="N260" s="32"/>
      <c r="O260" s="32"/>
      <c r="P260" s="32"/>
      <c r="Q260" s="32"/>
      <c r="R260" s="32"/>
      <c r="S260" s="32"/>
      <c r="T260" s="32"/>
      <c r="U260" s="32"/>
      <c r="V260" s="32"/>
      <c r="W260" s="32"/>
      <c r="X260" s="32"/>
      <c r="Y260" s="32"/>
      <c r="Z260" s="32"/>
    </row>
    <row r="261" spans="1:26" ht="17.25" customHeight="1">
      <c r="A261" s="3"/>
      <c r="B261" s="3"/>
      <c r="C261" s="3"/>
      <c r="D261" s="3"/>
      <c r="E261" s="3"/>
      <c r="F261" s="3"/>
      <c r="G261" s="3"/>
      <c r="H261" s="3"/>
      <c r="I261" s="3"/>
      <c r="J261" s="3"/>
      <c r="K261" s="3"/>
      <c r="L261" s="4"/>
      <c r="M261" s="32"/>
      <c r="N261" s="32"/>
      <c r="O261" s="32"/>
      <c r="P261" s="32"/>
      <c r="Q261" s="32"/>
      <c r="R261" s="32"/>
      <c r="S261" s="32"/>
      <c r="T261" s="32"/>
      <c r="U261" s="32"/>
      <c r="V261" s="32"/>
      <c r="W261" s="32"/>
      <c r="X261" s="32"/>
      <c r="Y261" s="32"/>
      <c r="Z261" s="32"/>
    </row>
    <row r="262" spans="1:26" ht="17.25" customHeight="1">
      <c r="A262" s="3"/>
      <c r="B262" s="3"/>
      <c r="C262" s="3"/>
      <c r="D262" s="3"/>
      <c r="E262" s="3"/>
      <c r="F262" s="3"/>
      <c r="G262" s="3"/>
      <c r="H262" s="3"/>
      <c r="I262" s="3"/>
      <c r="J262" s="3"/>
      <c r="K262" s="3"/>
      <c r="L262" s="4"/>
      <c r="M262" s="32"/>
      <c r="N262" s="32"/>
      <c r="O262" s="32"/>
      <c r="P262" s="32"/>
      <c r="Q262" s="32"/>
      <c r="R262" s="32"/>
      <c r="S262" s="32"/>
      <c r="T262" s="32"/>
      <c r="U262" s="32"/>
      <c r="V262" s="32"/>
      <c r="W262" s="32"/>
      <c r="X262" s="32"/>
      <c r="Y262" s="32"/>
      <c r="Z262" s="32"/>
    </row>
    <row r="263" spans="1:26" ht="17.25" customHeight="1">
      <c r="A263" s="3"/>
      <c r="B263" s="3"/>
      <c r="C263" s="3"/>
      <c r="D263" s="3"/>
      <c r="E263" s="3"/>
      <c r="F263" s="3"/>
      <c r="G263" s="3"/>
      <c r="H263" s="3"/>
      <c r="I263" s="3"/>
      <c r="J263" s="3"/>
      <c r="K263" s="3"/>
      <c r="L263" s="4"/>
      <c r="M263" s="32"/>
      <c r="N263" s="32"/>
      <c r="O263" s="32"/>
      <c r="P263" s="32"/>
      <c r="Q263" s="32"/>
      <c r="R263" s="32"/>
      <c r="S263" s="32"/>
      <c r="T263" s="32"/>
      <c r="U263" s="32"/>
      <c r="V263" s="32"/>
      <c r="W263" s="32"/>
      <c r="X263" s="32"/>
      <c r="Y263" s="32"/>
      <c r="Z263" s="32"/>
    </row>
    <row r="264" spans="1:26" ht="17.25" customHeight="1">
      <c r="A264" s="3"/>
      <c r="B264" s="3"/>
      <c r="C264" s="3"/>
      <c r="D264" s="3"/>
      <c r="E264" s="3"/>
      <c r="F264" s="3"/>
      <c r="G264" s="3"/>
      <c r="H264" s="3"/>
      <c r="I264" s="3"/>
      <c r="J264" s="3"/>
      <c r="K264" s="3"/>
      <c r="L264" s="4"/>
      <c r="M264" s="32"/>
      <c r="N264" s="32"/>
      <c r="O264" s="32"/>
      <c r="P264" s="32"/>
      <c r="Q264" s="32"/>
      <c r="R264" s="32"/>
      <c r="S264" s="32"/>
      <c r="T264" s="32"/>
      <c r="U264" s="32"/>
      <c r="V264" s="32"/>
      <c r="W264" s="32"/>
      <c r="X264" s="32"/>
      <c r="Y264" s="32"/>
      <c r="Z264" s="32"/>
    </row>
    <row r="265" spans="1:26" ht="17.25" customHeight="1">
      <c r="A265" s="3"/>
      <c r="B265" s="3"/>
      <c r="C265" s="3"/>
      <c r="D265" s="3"/>
      <c r="E265" s="3"/>
      <c r="F265" s="3"/>
      <c r="G265" s="3"/>
      <c r="H265" s="3"/>
      <c r="I265" s="3"/>
      <c r="J265" s="3"/>
      <c r="K265" s="3"/>
      <c r="L265" s="4"/>
      <c r="M265" s="32"/>
      <c r="N265" s="32"/>
      <c r="O265" s="32"/>
      <c r="P265" s="32"/>
      <c r="Q265" s="32"/>
      <c r="R265" s="32"/>
      <c r="S265" s="32"/>
      <c r="T265" s="32"/>
      <c r="U265" s="32"/>
      <c r="V265" s="32"/>
      <c r="W265" s="32"/>
      <c r="X265" s="32"/>
      <c r="Y265" s="32"/>
      <c r="Z265" s="32"/>
    </row>
    <row r="266" spans="1:26" ht="17.25" customHeight="1">
      <c r="A266" s="3"/>
      <c r="B266" s="3"/>
      <c r="C266" s="3"/>
      <c r="D266" s="3"/>
      <c r="E266" s="3"/>
      <c r="F266" s="3"/>
      <c r="G266" s="3"/>
      <c r="H266" s="3"/>
      <c r="I266" s="3"/>
      <c r="J266" s="3"/>
      <c r="K266" s="3"/>
      <c r="L266" s="4"/>
      <c r="M266" s="32"/>
      <c r="N266" s="32"/>
      <c r="O266" s="32"/>
      <c r="P266" s="32"/>
      <c r="Q266" s="32"/>
      <c r="R266" s="32"/>
      <c r="S266" s="32"/>
      <c r="T266" s="32"/>
      <c r="U266" s="32"/>
      <c r="V266" s="32"/>
      <c r="W266" s="32"/>
      <c r="X266" s="32"/>
      <c r="Y266" s="32"/>
      <c r="Z266" s="32"/>
    </row>
    <row r="267" spans="1:26" ht="17.25" customHeight="1">
      <c r="A267" s="3"/>
      <c r="B267" s="3"/>
      <c r="C267" s="3"/>
      <c r="D267" s="3"/>
      <c r="E267" s="3"/>
      <c r="F267" s="3"/>
      <c r="G267" s="3"/>
      <c r="H267" s="3"/>
      <c r="I267" s="3"/>
      <c r="J267" s="3"/>
      <c r="K267" s="3"/>
      <c r="L267" s="4"/>
      <c r="M267" s="32"/>
      <c r="N267" s="32"/>
      <c r="O267" s="32"/>
      <c r="P267" s="32"/>
      <c r="Q267" s="32"/>
      <c r="R267" s="32"/>
      <c r="S267" s="32"/>
      <c r="T267" s="32"/>
      <c r="U267" s="32"/>
      <c r="V267" s="32"/>
      <c r="W267" s="32"/>
      <c r="X267" s="32"/>
      <c r="Y267" s="32"/>
      <c r="Z267" s="32"/>
    </row>
    <row r="268" spans="1:26" ht="17.25" customHeight="1">
      <c r="A268" s="3"/>
      <c r="B268" s="3"/>
      <c r="C268" s="3"/>
      <c r="D268" s="3"/>
      <c r="E268" s="3"/>
      <c r="F268" s="3"/>
      <c r="G268" s="3"/>
      <c r="H268" s="3"/>
      <c r="I268" s="3"/>
      <c r="J268" s="3"/>
      <c r="K268" s="3"/>
      <c r="L268" s="4"/>
      <c r="M268" s="32"/>
      <c r="N268" s="32"/>
      <c r="O268" s="32"/>
      <c r="P268" s="32"/>
      <c r="Q268" s="32"/>
      <c r="R268" s="32"/>
      <c r="S268" s="32"/>
      <c r="T268" s="32"/>
      <c r="U268" s="32"/>
      <c r="V268" s="32"/>
      <c r="W268" s="32"/>
      <c r="X268" s="32"/>
      <c r="Y268" s="32"/>
      <c r="Z268" s="32"/>
    </row>
    <row r="269" spans="1:26" ht="17.25" customHeight="1">
      <c r="A269" s="3"/>
      <c r="B269" s="3"/>
      <c r="C269" s="3"/>
      <c r="D269" s="3"/>
      <c r="E269" s="3"/>
      <c r="F269" s="3"/>
      <c r="G269" s="3"/>
      <c r="H269" s="3"/>
      <c r="I269" s="3"/>
      <c r="J269" s="3"/>
      <c r="K269" s="3"/>
      <c r="L269" s="4"/>
      <c r="M269" s="32"/>
      <c r="N269" s="32"/>
      <c r="O269" s="32"/>
      <c r="P269" s="32"/>
      <c r="Q269" s="32"/>
      <c r="R269" s="32"/>
      <c r="S269" s="32"/>
      <c r="T269" s="32"/>
      <c r="U269" s="32"/>
      <c r="V269" s="32"/>
      <c r="W269" s="32"/>
      <c r="X269" s="32"/>
      <c r="Y269" s="32"/>
      <c r="Z269" s="32"/>
    </row>
    <row r="270" spans="1:26" ht="17.25" customHeight="1">
      <c r="A270" s="3"/>
      <c r="B270" s="3"/>
      <c r="C270" s="3"/>
      <c r="D270" s="3"/>
      <c r="E270" s="3"/>
      <c r="F270" s="3"/>
      <c r="G270" s="3"/>
      <c r="H270" s="3"/>
      <c r="I270" s="3"/>
      <c r="J270" s="3"/>
      <c r="K270" s="3"/>
      <c r="L270" s="4"/>
      <c r="M270" s="32"/>
      <c r="N270" s="32"/>
      <c r="O270" s="32"/>
      <c r="P270" s="32"/>
      <c r="Q270" s="32"/>
      <c r="R270" s="32"/>
      <c r="S270" s="32"/>
      <c r="T270" s="32"/>
      <c r="U270" s="32"/>
      <c r="V270" s="32"/>
      <c r="W270" s="32"/>
      <c r="X270" s="32"/>
      <c r="Y270" s="32"/>
      <c r="Z270" s="32"/>
    </row>
    <row r="271" spans="1:26" ht="17.25" customHeight="1">
      <c r="A271" s="3"/>
      <c r="B271" s="3"/>
      <c r="C271" s="3"/>
      <c r="D271" s="3"/>
      <c r="E271" s="3"/>
      <c r="F271" s="3"/>
      <c r="G271" s="3"/>
      <c r="H271" s="3"/>
      <c r="I271" s="3"/>
      <c r="J271" s="3"/>
      <c r="K271" s="3"/>
      <c r="L271" s="4"/>
      <c r="M271" s="32"/>
      <c r="N271" s="32"/>
      <c r="O271" s="32"/>
      <c r="P271" s="32"/>
      <c r="Q271" s="32"/>
      <c r="R271" s="32"/>
      <c r="S271" s="32"/>
      <c r="T271" s="32"/>
      <c r="U271" s="32"/>
      <c r="V271" s="32"/>
      <c r="W271" s="32"/>
      <c r="X271" s="32"/>
      <c r="Y271" s="32"/>
      <c r="Z271" s="32"/>
    </row>
    <row r="272" spans="1:26" ht="17.25" customHeight="1">
      <c r="A272" s="3"/>
      <c r="B272" s="3"/>
      <c r="C272" s="3"/>
      <c r="D272" s="3"/>
      <c r="E272" s="3"/>
      <c r="F272" s="3"/>
      <c r="G272" s="3"/>
      <c r="H272" s="3"/>
      <c r="I272" s="3"/>
      <c r="J272" s="3"/>
      <c r="K272" s="3"/>
      <c r="L272" s="4"/>
      <c r="M272" s="32"/>
      <c r="N272" s="32"/>
      <c r="O272" s="32"/>
      <c r="P272" s="32"/>
      <c r="Q272" s="32"/>
      <c r="R272" s="32"/>
      <c r="S272" s="32"/>
      <c r="T272" s="32"/>
      <c r="U272" s="32"/>
      <c r="V272" s="32"/>
      <c r="W272" s="32"/>
      <c r="X272" s="32"/>
      <c r="Y272" s="32"/>
      <c r="Z272" s="32"/>
    </row>
    <row r="273" spans="1:26" ht="17.25" customHeight="1">
      <c r="A273" s="3"/>
      <c r="B273" s="3"/>
      <c r="C273" s="3"/>
      <c r="D273" s="3"/>
      <c r="E273" s="3"/>
      <c r="F273" s="3"/>
      <c r="G273" s="3"/>
      <c r="H273" s="3"/>
      <c r="I273" s="3"/>
      <c r="J273" s="3"/>
      <c r="K273" s="3"/>
      <c r="L273" s="4"/>
      <c r="M273" s="32"/>
      <c r="N273" s="32"/>
      <c r="O273" s="32"/>
      <c r="P273" s="32"/>
      <c r="Q273" s="32"/>
      <c r="R273" s="32"/>
      <c r="S273" s="32"/>
      <c r="T273" s="32"/>
      <c r="U273" s="32"/>
      <c r="V273" s="32"/>
      <c r="W273" s="32"/>
      <c r="X273" s="32"/>
      <c r="Y273" s="32"/>
      <c r="Z273" s="32"/>
    </row>
    <row r="274" spans="1:26" ht="17.25" customHeight="1">
      <c r="A274" s="3"/>
      <c r="B274" s="3"/>
      <c r="C274" s="3"/>
      <c r="D274" s="3"/>
      <c r="E274" s="3"/>
      <c r="F274" s="3"/>
      <c r="G274" s="3"/>
      <c r="H274" s="3"/>
      <c r="I274" s="3"/>
      <c r="J274" s="3"/>
      <c r="K274" s="3"/>
      <c r="L274" s="4"/>
      <c r="M274" s="32"/>
      <c r="N274" s="32"/>
      <c r="O274" s="32"/>
      <c r="P274" s="32"/>
      <c r="Q274" s="32"/>
      <c r="R274" s="32"/>
      <c r="S274" s="32"/>
      <c r="T274" s="32"/>
      <c r="U274" s="32"/>
      <c r="V274" s="32"/>
      <c r="W274" s="32"/>
      <c r="X274" s="32"/>
      <c r="Y274" s="32"/>
      <c r="Z274" s="32"/>
    </row>
    <row r="275" spans="1:26" ht="17.25" customHeight="1">
      <c r="A275" s="3"/>
      <c r="B275" s="3"/>
      <c r="C275" s="3"/>
      <c r="D275" s="3"/>
      <c r="E275" s="3"/>
      <c r="F275" s="3"/>
      <c r="G275" s="3"/>
      <c r="H275" s="3"/>
      <c r="I275" s="3"/>
      <c r="J275" s="3"/>
      <c r="K275" s="3"/>
      <c r="L275" s="4"/>
      <c r="M275" s="32"/>
      <c r="N275" s="32"/>
      <c r="O275" s="32"/>
      <c r="P275" s="32"/>
      <c r="Q275" s="32"/>
      <c r="R275" s="32"/>
      <c r="S275" s="32"/>
      <c r="T275" s="32"/>
      <c r="U275" s="32"/>
      <c r="V275" s="32"/>
      <c r="W275" s="32"/>
      <c r="X275" s="32"/>
      <c r="Y275" s="32"/>
      <c r="Z275" s="32"/>
    </row>
    <row r="276" spans="1:26" ht="17.25" customHeight="1">
      <c r="A276" s="3"/>
      <c r="B276" s="3"/>
      <c r="C276" s="3"/>
      <c r="D276" s="3"/>
      <c r="E276" s="3"/>
      <c r="F276" s="3"/>
      <c r="G276" s="3"/>
      <c r="H276" s="3"/>
      <c r="I276" s="3"/>
      <c r="J276" s="3"/>
      <c r="K276" s="3"/>
      <c r="L276" s="4"/>
      <c r="M276" s="32"/>
      <c r="N276" s="32"/>
      <c r="O276" s="32"/>
      <c r="P276" s="32"/>
      <c r="Q276" s="32"/>
      <c r="R276" s="32"/>
      <c r="S276" s="32"/>
      <c r="T276" s="32"/>
      <c r="U276" s="32"/>
      <c r="V276" s="32"/>
      <c r="W276" s="32"/>
      <c r="X276" s="32"/>
      <c r="Y276" s="32"/>
      <c r="Z276" s="32"/>
    </row>
    <row r="277" spans="1:26" ht="17.25" customHeight="1">
      <c r="A277" s="3"/>
      <c r="B277" s="3"/>
      <c r="C277" s="3"/>
      <c r="D277" s="3"/>
      <c r="E277" s="3"/>
      <c r="F277" s="3"/>
      <c r="G277" s="3"/>
      <c r="H277" s="3"/>
      <c r="I277" s="3"/>
      <c r="J277" s="3"/>
      <c r="K277" s="3"/>
      <c r="L277" s="4"/>
      <c r="M277" s="32"/>
      <c r="N277" s="32"/>
      <c r="O277" s="32"/>
      <c r="P277" s="32"/>
      <c r="Q277" s="32"/>
      <c r="R277" s="32"/>
      <c r="S277" s="32"/>
      <c r="T277" s="32"/>
      <c r="U277" s="32"/>
      <c r="V277" s="32"/>
      <c r="W277" s="32"/>
      <c r="X277" s="32"/>
      <c r="Y277" s="32"/>
      <c r="Z277" s="32"/>
    </row>
    <row r="278" spans="1:26" ht="17.25" customHeight="1">
      <c r="A278" s="3"/>
      <c r="B278" s="3"/>
      <c r="C278" s="3"/>
      <c r="D278" s="3"/>
      <c r="E278" s="3"/>
      <c r="F278" s="3"/>
      <c r="G278" s="3"/>
      <c r="H278" s="3"/>
      <c r="I278" s="3"/>
      <c r="J278" s="3"/>
      <c r="K278" s="3"/>
      <c r="L278" s="4"/>
      <c r="M278" s="32"/>
      <c r="N278" s="32"/>
      <c r="O278" s="32"/>
      <c r="P278" s="32"/>
      <c r="Q278" s="32"/>
      <c r="R278" s="32"/>
      <c r="S278" s="32"/>
      <c r="T278" s="32"/>
      <c r="U278" s="32"/>
      <c r="V278" s="32"/>
      <c r="W278" s="32"/>
      <c r="X278" s="32"/>
      <c r="Y278" s="32"/>
      <c r="Z278" s="32"/>
    </row>
    <row r="279" spans="1:26" ht="17.25" customHeight="1">
      <c r="A279" s="3"/>
      <c r="B279" s="3"/>
      <c r="C279" s="3"/>
      <c r="D279" s="3"/>
      <c r="E279" s="3"/>
      <c r="F279" s="3"/>
      <c r="G279" s="3"/>
      <c r="H279" s="3"/>
      <c r="I279" s="3"/>
      <c r="J279" s="3"/>
      <c r="K279" s="3"/>
      <c r="L279" s="4"/>
      <c r="M279" s="32"/>
      <c r="N279" s="32"/>
      <c r="O279" s="32"/>
      <c r="P279" s="32"/>
      <c r="Q279" s="32"/>
      <c r="R279" s="32"/>
      <c r="S279" s="32"/>
      <c r="T279" s="32"/>
      <c r="U279" s="32"/>
      <c r="V279" s="32"/>
      <c r="W279" s="32"/>
      <c r="X279" s="32"/>
      <c r="Y279" s="32"/>
      <c r="Z279" s="32"/>
    </row>
    <row r="280" spans="1:26" ht="17.25" customHeight="1">
      <c r="A280" s="3"/>
      <c r="B280" s="3"/>
      <c r="C280" s="3"/>
      <c r="D280" s="3"/>
      <c r="E280" s="3"/>
      <c r="F280" s="3"/>
      <c r="G280" s="3"/>
      <c r="H280" s="3"/>
      <c r="I280" s="3"/>
      <c r="J280" s="3"/>
      <c r="K280" s="3"/>
      <c r="L280" s="4"/>
      <c r="M280" s="32"/>
      <c r="N280" s="32"/>
      <c r="O280" s="32"/>
      <c r="P280" s="32"/>
      <c r="Q280" s="32"/>
      <c r="R280" s="32"/>
      <c r="S280" s="32"/>
      <c r="T280" s="32"/>
      <c r="U280" s="32"/>
      <c r="V280" s="32"/>
      <c r="W280" s="32"/>
      <c r="X280" s="32"/>
      <c r="Y280" s="32"/>
      <c r="Z280" s="32"/>
    </row>
    <row r="281" spans="1:26" ht="17.25" customHeight="1">
      <c r="A281" s="3"/>
      <c r="B281" s="3"/>
      <c r="C281" s="3"/>
      <c r="D281" s="3"/>
      <c r="E281" s="3"/>
      <c r="F281" s="3"/>
      <c r="G281" s="3"/>
      <c r="H281" s="3"/>
      <c r="I281" s="3"/>
      <c r="J281" s="3"/>
      <c r="K281" s="3"/>
      <c r="L281" s="4"/>
      <c r="M281" s="32"/>
      <c r="N281" s="32"/>
      <c r="O281" s="32"/>
      <c r="P281" s="32"/>
      <c r="Q281" s="32"/>
      <c r="R281" s="32"/>
      <c r="S281" s="32"/>
      <c r="T281" s="32"/>
      <c r="U281" s="32"/>
      <c r="V281" s="32"/>
      <c r="W281" s="32"/>
      <c r="X281" s="32"/>
      <c r="Y281" s="32"/>
      <c r="Z281" s="32"/>
    </row>
    <row r="282" spans="1:26" ht="17.25" customHeight="1">
      <c r="A282" s="3"/>
      <c r="B282" s="3"/>
      <c r="C282" s="3"/>
      <c r="D282" s="3"/>
      <c r="E282" s="3"/>
      <c r="F282" s="3"/>
      <c r="G282" s="3"/>
      <c r="H282" s="3"/>
      <c r="I282" s="3"/>
      <c r="J282" s="3"/>
      <c r="K282" s="3"/>
      <c r="L282" s="4"/>
      <c r="M282" s="32"/>
      <c r="N282" s="32"/>
      <c r="O282" s="32"/>
      <c r="P282" s="32"/>
      <c r="Q282" s="32"/>
      <c r="R282" s="32"/>
      <c r="S282" s="32"/>
      <c r="T282" s="32"/>
      <c r="U282" s="32"/>
      <c r="V282" s="32"/>
      <c r="W282" s="32"/>
      <c r="X282" s="32"/>
      <c r="Y282" s="32"/>
      <c r="Z282" s="32"/>
    </row>
    <row r="283" spans="1:26" ht="17.25" customHeight="1">
      <c r="A283" s="3"/>
      <c r="B283" s="3"/>
      <c r="C283" s="3"/>
      <c r="D283" s="3"/>
      <c r="E283" s="3"/>
      <c r="F283" s="3"/>
      <c r="G283" s="3"/>
      <c r="H283" s="3"/>
      <c r="I283" s="3"/>
      <c r="J283" s="3"/>
      <c r="K283" s="3"/>
      <c r="L283" s="4"/>
      <c r="M283" s="32"/>
      <c r="N283" s="32"/>
      <c r="O283" s="32"/>
      <c r="P283" s="32"/>
      <c r="Q283" s="32"/>
      <c r="R283" s="32"/>
      <c r="S283" s="32"/>
      <c r="T283" s="32"/>
      <c r="U283" s="32"/>
      <c r="V283" s="32"/>
      <c r="W283" s="32"/>
      <c r="X283" s="32"/>
      <c r="Y283" s="32"/>
      <c r="Z283" s="32"/>
    </row>
    <row r="284" spans="1:26" ht="17.25" customHeight="1">
      <c r="A284" s="3"/>
      <c r="B284" s="3"/>
      <c r="C284" s="3"/>
      <c r="D284" s="3"/>
      <c r="E284" s="3"/>
      <c r="F284" s="3"/>
      <c r="G284" s="3"/>
      <c r="H284" s="3"/>
      <c r="I284" s="3"/>
      <c r="J284" s="3"/>
      <c r="K284" s="3"/>
      <c r="L284" s="4"/>
      <c r="M284" s="32"/>
      <c r="N284" s="32"/>
      <c r="O284" s="32"/>
      <c r="P284" s="32"/>
      <c r="Q284" s="32"/>
      <c r="R284" s="32"/>
      <c r="S284" s="32"/>
      <c r="T284" s="32"/>
      <c r="U284" s="32"/>
      <c r="V284" s="32"/>
      <c r="W284" s="32"/>
      <c r="X284" s="32"/>
      <c r="Y284" s="32"/>
      <c r="Z284" s="32"/>
    </row>
    <row r="285" spans="1:26" ht="17.25" customHeight="1">
      <c r="A285" s="3"/>
      <c r="B285" s="3"/>
      <c r="C285" s="3"/>
      <c r="D285" s="3"/>
      <c r="E285" s="3"/>
      <c r="F285" s="3"/>
      <c r="G285" s="3"/>
      <c r="H285" s="3"/>
      <c r="I285" s="3"/>
      <c r="J285" s="3"/>
      <c r="K285" s="3"/>
      <c r="L285" s="4"/>
      <c r="M285" s="32"/>
      <c r="N285" s="32"/>
      <c r="O285" s="32"/>
      <c r="P285" s="32"/>
      <c r="Q285" s="32"/>
      <c r="R285" s="32"/>
      <c r="S285" s="32"/>
      <c r="T285" s="32"/>
      <c r="U285" s="32"/>
      <c r="V285" s="32"/>
      <c r="W285" s="32"/>
      <c r="X285" s="32"/>
      <c r="Y285" s="32"/>
      <c r="Z285" s="32"/>
    </row>
    <row r="286" spans="1:26" ht="17.25" customHeight="1">
      <c r="A286" s="3"/>
      <c r="B286" s="3"/>
      <c r="C286" s="3"/>
      <c r="D286" s="3"/>
      <c r="E286" s="3"/>
      <c r="F286" s="3"/>
      <c r="G286" s="3"/>
      <c r="H286" s="3"/>
      <c r="I286" s="3"/>
      <c r="J286" s="3"/>
      <c r="K286" s="3"/>
      <c r="L286" s="4"/>
      <c r="M286" s="32"/>
      <c r="N286" s="32"/>
      <c r="O286" s="32"/>
      <c r="P286" s="32"/>
      <c r="Q286" s="32"/>
      <c r="R286" s="32"/>
      <c r="S286" s="32"/>
      <c r="T286" s="32"/>
      <c r="U286" s="32"/>
      <c r="V286" s="32"/>
      <c r="W286" s="32"/>
      <c r="X286" s="32"/>
      <c r="Y286" s="32"/>
      <c r="Z286" s="32"/>
    </row>
    <row r="287" spans="1:26" ht="17.25" customHeight="1">
      <c r="A287" s="3"/>
      <c r="B287" s="3"/>
      <c r="C287" s="3"/>
      <c r="D287" s="3"/>
      <c r="E287" s="3"/>
      <c r="F287" s="3"/>
      <c r="G287" s="3"/>
      <c r="H287" s="3"/>
      <c r="I287" s="3"/>
      <c r="J287" s="3"/>
      <c r="K287" s="3"/>
      <c r="L287" s="4"/>
      <c r="M287" s="32"/>
      <c r="N287" s="32"/>
      <c r="O287" s="32"/>
      <c r="P287" s="32"/>
      <c r="Q287" s="32"/>
      <c r="R287" s="32"/>
      <c r="S287" s="32"/>
      <c r="T287" s="32"/>
      <c r="U287" s="32"/>
      <c r="V287" s="32"/>
      <c r="W287" s="32"/>
      <c r="X287" s="32"/>
      <c r="Y287" s="32"/>
      <c r="Z287" s="32"/>
    </row>
    <row r="288" spans="1:26" ht="17.25" customHeight="1">
      <c r="A288" s="3"/>
      <c r="B288" s="3"/>
      <c r="C288" s="3"/>
      <c r="D288" s="3"/>
      <c r="E288" s="3"/>
      <c r="F288" s="3"/>
      <c r="G288" s="3"/>
      <c r="H288" s="3"/>
      <c r="I288" s="3"/>
      <c r="J288" s="3"/>
      <c r="K288" s="3"/>
      <c r="L288" s="4"/>
      <c r="M288" s="32"/>
      <c r="N288" s="32"/>
      <c r="O288" s="32"/>
      <c r="P288" s="32"/>
      <c r="Q288" s="32"/>
      <c r="R288" s="32"/>
      <c r="S288" s="32"/>
      <c r="T288" s="32"/>
      <c r="U288" s="32"/>
      <c r="V288" s="32"/>
      <c r="W288" s="32"/>
      <c r="X288" s="32"/>
      <c r="Y288" s="32"/>
      <c r="Z288" s="32"/>
    </row>
    <row r="289" spans="1:26" ht="17.25" customHeight="1">
      <c r="A289" s="3"/>
      <c r="B289" s="3"/>
      <c r="C289" s="3"/>
      <c r="D289" s="3"/>
      <c r="E289" s="3"/>
      <c r="F289" s="3"/>
      <c r="G289" s="3"/>
      <c r="H289" s="3"/>
      <c r="I289" s="3"/>
      <c r="J289" s="3"/>
      <c r="K289" s="3"/>
      <c r="L289" s="4"/>
      <c r="M289" s="32"/>
      <c r="N289" s="32"/>
      <c r="O289" s="32"/>
      <c r="P289" s="32"/>
      <c r="Q289" s="32"/>
      <c r="R289" s="32"/>
      <c r="S289" s="32"/>
      <c r="T289" s="32"/>
      <c r="U289" s="32"/>
      <c r="V289" s="32"/>
      <c r="W289" s="32"/>
      <c r="X289" s="32"/>
      <c r="Y289" s="32"/>
      <c r="Z289" s="32"/>
    </row>
    <row r="290" spans="1:26" ht="17.25" customHeight="1">
      <c r="A290" s="3"/>
      <c r="B290" s="3"/>
      <c r="C290" s="3"/>
      <c r="D290" s="3"/>
      <c r="E290" s="3"/>
      <c r="F290" s="3"/>
      <c r="G290" s="3"/>
      <c r="H290" s="3"/>
      <c r="I290" s="3"/>
      <c r="J290" s="3"/>
      <c r="K290" s="3"/>
      <c r="L290" s="4"/>
      <c r="M290" s="32"/>
      <c r="N290" s="32"/>
      <c r="O290" s="32"/>
      <c r="P290" s="32"/>
      <c r="Q290" s="32"/>
      <c r="R290" s="32"/>
      <c r="S290" s="32"/>
      <c r="T290" s="32"/>
      <c r="U290" s="32"/>
      <c r="V290" s="32"/>
      <c r="W290" s="32"/>
      <c r="X290" s="32"/>
      <c r="Y290" s="32"/>
      <c r="Z290" s="32"/>
    </row>
    <row r="291" spans="1:26" ht="17.25" customHeight="1">
      <c r="A291" s="3"/>
      <c r="B291" s="3"/>
      <c r="C291" s="3"/>
      <c r="D291" s="3"/>
      <c r="E291" s="3"/>
      <c r="F291" s="3"/>
      <c r="G291" s="3"/>
      <c r="H291" s="3"/>
      <c r="I291" s="3"/>
      <c r="J291" s="3"/>
      <c r="K291" s="3"/>
      <c r="L291" s="4"/>
      <c r="M291" s="32"/>
      <c r="N291" s="32"/>
      <c r="O291" s="32"/>
      <c r="P291" s="32"/>
      <c r="Q291" s="32"/>
      <c r="R291" s="32"/>
      <c r="S291" s="32"/>
      <c r="T291" s="32"/>
      <c r="U291" s="32"/>
      <c r="V291" s="32"/>
      <c r="W291" s="32"/>
      <c r="X291" s="32"/>
      <c r="Y291" s="32"/>
      <c r="Z291" s="32"/>
    </row>
    <row r="292" spans="1:26" ht="17.25" customHeight="1">
      <c r="A292" s="3"/>
      <c r="B292" s="3"/>
      <c r="C292" s="3"/>
      <c r="D292" s="3"/>
      <c r="E292" s="3"/>
      <c r="F292" s="3"/>
      <c r="G292" s="3"/>
      <c r="H292" s="3"/>
      <c r="I292" s="3"/>
      <c r="J292" s="3"/>
      <c r="K292" s="3"/>
      <c r="L292" s="4"/>
      <c r="M292" s="32"/>
      <c r="N292" s="32"/>
      <c r="O292" s="32"/>
      <c r="P292" s="32"/>
      <c r="Q292" s="32"/>
      <c r="R292" s="32"/>
      <c r="S292" s="32"/>
      <c r="T292" s="32"/>
      <c r="U292" s="32"/>
      <c r="V292" s="32"/>
      <c r="W292" s="32"/>
      <c r="X292" s="32"/>
      <c r="Y292" s="32"/>
      <c r="Z292" s="32"/>
    </row>
    <row r="293" spans="1:26" ht="17.25" customHeight="1">
      <c r="A293" s="3"/>
      <c r="B293" s="3"/>
      <c r="C293" s="3"/>
      <c r="D293" s="3"/>
      <c r="E293" s="3"/>
      <c r="F293" s="3"/>
      <c r="G293" s="3"/>
      <c r="H293" s="3"/>
      <c r="I293" s="3"/>
      <c r="J293" s="3"/>
      <c r="K293" s="3"/>
      <c r="L293" s="4"/>
      <c r="M293" s="32"/>
      <c r="N293" s="32"/>
      <c r="O293" s="32"/>
      <c r="P293" s="32"/>
      <c r="Q293" s="32"/>
      <c r="R293" s="32"/>
      <c r="S293" s="32"/>
      <c r="T293" s="32"/>
      <c r="U293" s="32"/>
      <c r="V293" s="32"/>
      <c r="W293" s="32"/>
      <c r="X293" s="32"/>
      <c r="Y293" s="32"/>
      <c r="Z293" s="32"/>
    </row>
    <row r="294" spans="1:26" ht="17.25" customHeight="1">
      <c r="A294" s="3"/>
      <c r="B294" s="3"/>
      <c r="C294" s="3"/>
      <c r="D294" s="3"/>
      <c r="E294" s="3"/>
      <c r="F294" s="3"/>
      <c r="G294" s="3"/>
      <c r="H294" s="3"/>
      <c r="I294" s="3"/>
      <c r="J294" s="3"/>
      <c r="K294" s="3"/>
      <c r="L294" s="4"/>
      <c r="M294" s="32"/>
      <c r="N294" s="32"/>
      <c r="O294" s="32"/>
      <c r="P294" s="32"/>
      <c r="Q294" s="32"/>
      <c r="R294" s="32"/>
      <c r="S294" s="32"/>
      <c r="T294" s="32"/>
      <c r="U294" s="32"/>
      <c r="V294" s="32"/>
      <c r="W294" s="32"/>
      <c r="X294" s="32"/>
      <c r="Y294" s="32"/>
      <c r="Z294" s="32"/>
    </row>
    <row r="295" spans="1:26" ht="17.25" customHeight="1">
      <c r="A295" s="3"/>
      <c r="B295" s="3"/>
      <c r="C295" s="3"/>
      <c r="D295" s="3"/>
      <c r="E295" s="3"/>
      <c r="F295" s="3"/>
      <c r="G295" s="3"/>
      <c r="H295" s="3"/>
      <c r="I295" s="3"/>
      <c r="J295" s="3"/>
      <c r="K295" s="3"/>
      <c r="L295" s="4"/>
      <c r="M295" s="32"/>
      <c r="N295" s="32"/>
      <c r="O295" s="32"/>
      <c r="P295" s="32"/>
      <c r="Q295" s="32"/>
      <c r="R295" s="32"/>
      <c r="S295" s="32"/>
      <c r="T295" s="32"/>
      <c r="U295" s="32"/>
      <c r="V295" s="32"/>
      <c r="W295" s="32"/>
      <c r="X295" s="32"/>
      <c r="Y295" s="32"/>
      <c r="Z295" s="32"/>
    </row>
    <row r="296" spans="1:26" ht="17.25" customHeight="1">
      <c r="A296" s="3"/>
      <c r="B296" s="3"/>
      <c r="C296" s="3"/>
      <c r="D296" s="3"/>
      <c r="E296" s="3"/>
      <c r="F296" s="3"/>
      <c r="G296" s="3"/>
      <c r="H296" s="3"/>
      <c r="I296" s="3"/>
      <c r="J296" s="3"/>
      <c r="K296" s="3"/>
      <c r="L296" s="4"/>
      <c r="M296" s="32"/>
      <c r="N296" s="32"/>
      <c r="O296" s="32"/>
      <c r="P296" s="32"/>
      <c r="Q296" s="32"/>
      <c r="R296" s="32"/>
      <c r="S296" s="32"/>
      <c r="T296" s="32"/>
      <c r="U296" s="32"/>
      <c r="V296" s="32"/>
      <c r="W296" s="32"/>
      <c r="X296" s="32"/>
      <c r="Y296" s="32"/>
      <c r="Z296" s="32"/>
    </row>
    <row r="297" spans="1:26" ht="17.25" customHeight="1">
      <c r="A297" s="3"/>
      <c r="B297" s="3"/>
      <c r="C297" s="3"/>
      <c r="D297" s="3"/>
      <c r="E297" s="3"/>
      <c r="F297" s="3"/>
      <c r="G297" s="3"/>
      <c r="H297" s="3"/>
      <c r="I297" s="3"/>
      <c r="J297" s="3"/>
      <c r="K297" s="3"/>
      <c r="L297" s="4"/>
      <c r="M297" s="32"/>
      <c r="N297" s="32"/>
      <c r="O297" s="32"/>
      <c r="P297" s="32"/>
      <c r="Q297" s="32"/>
      <c r="R297" s="32"/>
      <c r="S297" s="32"/>
      <c r="T297" s="32"/>
      <c r="U297" s="32"/>
      <c r="V297" s="32"/>
      <c r="W297" s="32"/>
      <c r="X297" s="32"/>
      <c r="Y297" s="32"/>
      <c r="Z297" s="32"/>
    </row>
    <row r="298" spans="1:26" ht="17.25" customHeight="1">
      <c r="A298" s="3"/>
      <c r="B298" s="3"/>
      <c r="C298" s="3"/>
      <c r="D298" s="3"/>
      <c r="E298" s="3"/>
      <c r="F298" s="3"/>
      <c r="G298" s="3"/>
      <c r="H298" s="3"/>
      <c r="I298" s="3"/>
      <c r="J298" s="3"/>
      <c r="K298" s="3"/>
      <c r="L298" s="4"/>
      <c r="M298" s="32"/>
      <c r="N298" s="32"/>
      <c r="O298" s="32"/>
      <c r="P298" s="32"/>
      <c r="Q298" s="32"/>
      <c r="R298" s="32"/>
      <c r="S298" s="32"/>
      <c r="T298" s="32"/>
      <c r="U298" s="32"/>
      <c r="V298" s="32"/>
      <c r="W298" s="32"/>
      <c r="X298" s="32"/>
      <c r="Y298" s="32"/>
      <c r="Z298" s="32"/>
    </row>
    <row r="299" spans="1:26" ht="17.25" customHeight="1">
      <c r="A299" s="3"/>
      <c r="B299" s="3"/>
      <c r="C299" s="3"/>
      <c r="D299" s="3"/>
      <c r="E299" s="3"/>
      <c r="F299" s="3"/>
      <c r="G299" s="3"/>
      <c r="H299" s="3"/>
      <c r="I299" s="3"/>
      <c r="J299" s="3"/>
      <c r="K299" s="3"/>
      <c r="L299" s="4"/>
      <c r="M299" s="32"/>
      <c r="N299" s="32"/>
      <c r="O299" s="32"/>
      <c r="P299" s="32"/>
      <c r="Q299" s="32"/>
      <c r="R299" s="32"/>
      <c r="S299" s="32"/>
      <c r="T299" s="32"/>
      <c r="U299" s="32"/>
      <c r="V299" s="32"/>
      <c r="W299" s="32"/>
      <c r="X299" s="32"/>
      <c r="Y299" s="32"/>
      <c r="Z299" s="32"/>
    </row>
    <row r="300" spans="1:26" ht="17.25" customHeight="1">
      <c r="A300" s="3"/>
      <c r="B300" s="3"/>
      <c r="C300" s="3"/>
      <c r="D300" s="3"/>
      <c r="E300" s="3"/>
      <c r="F300" s="3"/>
      <c r="G300" s="3"/>
      <c r="H300" s="3"/>
      <c r="I300" s="3"/>
      <c r="J300" s="3"/>
      <c r="K300" s="3"/>
      <c r="L300" s="4"/>
      <c r="M300" s="32"/>
      <c r="N300" s="32"/>
      <c r="O300" s="32"/>
      <c r="P300" s="32"/>
      <c r="Q300" s="32"/>
      <c r="R300" s="32"/>
      <c r="S300" s="32"/>
      <c r="T300" s="32"/>
      <c r="U300" s="32"/>
      <c r="V300" s="32"/>
      <c r="W300" s="32"/>
      <c r="X300" s="32"/>
      <c r="Y300" s="32"/>
      <c r="Z300" s="32"/>
    </row>
    <row r="301" spans="1:26" ht="17.25" customHeight="1">
      <c r="A301" s="3"/>
      <c r="B301" s="3"/>
      <c r="C301" s="3"/>
      <c r="D301" s="3"/>
      <c r="E301" s="3"/>
      <c r="F301" s="3"/>
      <c r="G301" s="3"/>
      <c r="H301" s="3"/>
      <c r="I301" s="3"/>
      <c r="J301" s="3"/>
      <c r="K301" s="3"/>
      <c r="L301" s="4"/>
      <c r="M301" s="32"/>
      <c r="N301" s="32"/>
      <c r="O301" s="32"/>
      <c r="P301" s="32"/>
      <c r="Q301" s="32"/>
      <c r="R301" s="32"/>
      <c r="S301" s="32"/>
      <c r="T301" s="32"/>
      <c r="U301" s="32"/>
      <c r="V301" s="32"/>
      <c r="W301" s="32"/>
      <c r="X301" s="32"/>
      <c r="Y301" s="32"/>
      <c r="Z301" s="32"/>
    </row>
    <row r="302" spans="1:26" ht="17.25" customHeight="1">
      <c r="A302" s="3"/>
      <c r="B302" s="3"/>
      <c r="C302" s="3"/>
      <c r="D302" s="3"/>
      <c r="E302" s="3"/>
      <c r="F302" s="3"/>
      <c r="G302" s="3"/>
      <c r="H302" s="3"/>
      <c r="I302" s="3"/>
      <c r="J302" s="3"/>
      <c r="K302" s="3"/>
      <c r="L302" s="4"/>
      <c r="M302" s="32"/>
      <c r="N302" s="32"/>
      <c r="O302" s="32"/>
      <c r="P302" s="32"/>
      <c r="Q302" s="32"/>
      <c r="R302" s="32"/>
      <c r="S302" s="32"/>
      <c r="T302" s="32"/>
      <c r="U302" s="32"/>
      <c r="V302" s="32"/>
      <c r="W302" s="32"/>
      <c r="X302" s="32"/>
      <c r="Y302" s="32"/>
      <c r="Z302" s="32"/>
    </row>
    <row r="303" spans="1:26" ht="17.25" customHeight="1">
      <c r="A303" s="3"/>
      <c r="B303" s="3"/>
      <c r="C303" s="3"/>
      <c r="D303" s="3"/>
      <c r="E303" s="3"/>
      <c r="F303" s="3"/>
      <c r="G303" s="3"/>
      <c r="H303" s="3"/>
      <c r="I303" s="3"/>
      <c r="J303" s="3"/>
      <c r="K303" s="3"/>
      <c r="L303" s="4"/>
      <c r="M303" s="32"/>
      <c r="N303" s="32"/>
      <c r="O303" s="32"/>
      <c r="P303" s="32"/>
      <c r="Q303" s="32"/>
      <c r="R303" s="32"/>
      <c r="S303" s="32"/>
      <c r="T303" s="32"/>
      <c r="U303" s="32"/>
      <c r="V303" s="32"/>
      <c r="W303" s="32"/>
      <c r="X303" s="32"/>
      <c r="Y303" s="32"/>
      <c r="Z303" s="32"/>
    </row>
    <row r="304" spans="1:26" ht="17.25" customHeight="1">
      <c r="A304" s="3"/>
      <c r="B304" s="3"/>
      <c r="C304" s="3"/>
      <c r="D304" s="3"/>
      <c r="E304" s="3"/>
      <c r="F304" s="3"/>
      <c r="G304" s="3"/>
      <c r="H304" s="3"/>
      <c r="I304" s="3"/>
      <c r="J304" s="3"/>
      <c r="K304" s="3"/>
      <c r="L304" s="4"/>
      <c r="M304" s="32"/>
      <c r="N304" s="32"/>
      <c r="O304" s="32"/>
      <c r="P304" s="32"/>
      <c r="Q304" s="32"/>
      <c r="R304" s="32"/>
      <c r="S304" s="32"/>
      <c r="T304" s="32"/>
      <c r="U304" s="32"/>
      <c r="V304" s="32"/>
      <c r="W304" s="32"/>
      <c r="X304" s="32"/>
      <c r="Y304" s="32"/>
      <c r="Z304" s="32"/>
    </row>
    <row r="305" spans="1:26" ht="17.25" customHeight="1">
      <c r="A305" s="3"/>
      <c r="B305" s="3"/>
      <c r="C305" s="3"/>
      <c r="D305" s="3"/>
      <c r="E305" s="3"/>
      <c r="F305" s="3"/>
      <c r="G305" s="3"/>
      <c r="H305" s="3"/>
      <c r="I305" s="3"/>
      <c r="J305" s="3"/>
      <c r="K305" s="3"/>
      <c r="L305" s="4"/>
      <c r="M305" s="32"/>
      <c r="N305" s="32"/>
      <c r="O305" s="32"/>
      <c r="P305" s="32"/>
      <c r="Q305" s="32"/>
      <c r="R305" s="32"/>
      <c r="S305" s="32"/>
      <c r="T305" s="32"/>
      <c r="U305" s="32"/>
      <c r="V305" s="32"/>
      <c r="W305" s="32"/>
      <c r="X305" s="32"/>
      <c r="Y305" s="32"/>
      <c r="Z305" s="32"/>
    </row>
    <row r="306" spans="1:26" ht="17.25" customHeight="1">
      <c r="A306" s="3"/>
      <c r="B306" s="3"/>
      <c r="C306" s="3"/>
      <c r="D306" s="3"/>
      <c r="E306" s="3"/>
      <c r="F306" s="3"/>
      <c r="G306" s="3"/>
      <c r="H306" s="3"/>
      <c r="I306" s="3"/>
      <c r="J306" s="3"/>
      <c r="K306" s="3"/>
      <c r="L306" s="4"/>
      <c r="M306" s="32"/>
      <c r="N306" s="32"/>
      <c r="O306" s="32"/>
      <c r="P306" s="32"/>
      <c r="Q306" s="32"/>
      <c r="R306" s="32"/>
      <c r="S306" s="32"/>
      <c r="T306" s="32"/>
      <c r="U306" s="32"/>
      <c r="V306" s="32"/>
      <c r="W306" s="32"/>
      <c r="X306" s="32"/>
      <c r="Y306" s="32"/>
      <c r="Z306" s="32"/>
    </row>
    <row r="307" spans="1:26" ht="17.25" customHeight="1">
      <c r="A307" s="3"/>
      <c r="B307" s="3"/>
      <c r="C307" s="3"/>
      <c r="D307" s="3"/>
      <c r="E307" s="3"/>
      <c r="F307" s="3"/>
      <c r="G307" s="3"/>
      <c r="H307" s="3"/>
      <c r="I307" s="3"/>
      <c r="J307" s="3"/>
      <c r="K307" s="3"/>
      <c r="L307" s="4"/>
      <c r="M307" s="32"/>
      <c r="N307" s="32"/>
      <c r="O307" s="32"/>
      <c r="P307" s="32"/>
      <c r="Q307" s="32"/>
      <c r="R307" s="32"/>
      <c r="S307" s="32"/>
      <c r="T307" s="32"/>
      <c r="U307" s="32"/>
      <c r="V307" s="32"/>
      <c r="W307" s="32"/>
      <c r="X307" s="32"/>
      <c r="Y307" s="32"/>
      <c r="Z307" s="32"/>
    </row>
    <row r="308" spans="1:26" ht="17.25" customHeight="1">
      <c r="A308" s="3"/>
      <c r="B308" s="3"/>
      <c r="C308" s="3"/>
      <c r="D308" s="3"/>
      <c r="E308" s="3"/>
      <c r="F308" s="3"/>
      <c r="G308" s="3"/>
      <c r="H308" s="3"/>
      <c r="I308" s="3"/>
      <c r="J308" s="3"/>
      <c r="K308" s="3"/>
      <c r="L308" s="4"/>
      <c r="M308" s="32"/>
      <c r="N308" s="32"/>
      <c r="O308" s="32"/>
      <c r="P308" s="32"/>
      <c r="Q308" s="32"/>
      <c r="R308" s="32"/>
      <c r="S308" s="32"/>
      <c r="T308" s="32"/>
      <c r="U308" s="32"/>
      <c r="V308" s="32"/>
      <c r="W308" s="32"/>
      <c r="X308" s="32"/>
      <c r="Y308" s="32"/>
      <c r="Z308" s="32"/>
    </row>
    <row r="309" spans="1:26" ht="17.25" customHeight="1">
      <c r="A309" s="3"/>
      <c r="B309" s="3"/>
      <c r="C309" s="3"/>
      <c r="D309" s="3"/>
      <c r="E309" s="3"/>
      <c r="F309" s="3"/>
      <c r="G309" s="3"/>
      <c r="H309" s="3"/>
      <c r="I309" s="3"/>
      <c r="J309" s="3"/>
      <c r="K309" s="3"/>
      <c r="L309" s="4"/>
      <c r="M309" s="32"/>
      <c r="N309" s="32"/>
      <c r="O309" s="32"/>
      <c r="P309" s="32"/>
      <c r="Q309" s="32"/>
      <c r="R309" s="32"/>
      <c r="S309" s="32"/>
      <c r="T309" s="32"/>
      <c r="U309" s="32"/>
      <c r="V309" s="32"/>
      <c r="W309" s="32"/>
      <c r="X309" s="32"/>
      <c r="Y309" s="32"/>
      <c r="Z309" s="32"/>
    </row>
    <row r="310" spans="1:26" ht="17.25" customHeight="1">
      <c r="A310" s="3"/>
      <c r="B310" s="3"/>
      <c r="C310" s="3"/>
      <c r="D310" s="3"/>
      <c r="E310" s="3"/>
      <c r="F310" s="3"/>
      <c r="G310" s="3"/>
      <c r="H310" s="3"/>
      <c r="I310" s="3"/>
      <c r="J310" s="3"/>
      <c r="K310" s="3"/>
      <c r="L310" s="4"/>
      <c r="M310" s="32"/>
      <c r="N310" s="32"/>
      <c r="O310" s="32"/>
      <c r="P310" s="32"/>
      <c r="Q310" s="32"/>
      <c r="R310" s="32"/>
      <c r="S310" s="32"/>
      <c r="T310" s="32"/>
      <c r="U310" s="32"/>
      <c r="V310" s="32"/>
      <c r="W310" s="32"/>
      <c r="X310" s="32"/>
      <c r="Y310" s="32"/>
      <c r="Z310" s="32"/>
    </row>
    <row r="311" spans="1:26" ht="17.25" customHeight="1">
      <c r="A311" s="3"/>
      <c r="B311" s="3"/>
      <c r="C311" s="3"/>
      <c r="D311" s="3"/>
      <c r="E311" s="3"/>
      <c r="F311" s="3"/>
      <c r="G311" s="3"/>
      <c r="H311" s="3"/>
      <c r="I311" s="3"/>
      <c r="J311" s="3"/>
      <c r="K311" s="3"/>
      <c r="L311" s="4"/>
      <c r="M311" s="32"/>
      <c r="N311" s="32"/>
      <c r="O311" s="32"/>
      <c r="P311" s="32"/>
      <c r="Q311" s="32"/>
      <c r="R311" s="32"/>
      <c r="S311" s="32"/>
      <c r="T311" s="32"/>
      <c r="U311" s="32"/>
      <c r="V311" s="32"/>
      <c r="W311" s="32"/>
      <c r="X311" s="32"/>
      <c r="Y311" s="32"/>
      <c r="Z311" s="32"/>
    </row>
    <row r="312" spans="1:26" ht="17.25" customHeight="1">
      <c r="A312" s="3"/>
      <c r="B312" s="3"/>
      <c r="C312" s="3"/>
      <c r="D312" s="3"/>
      <c r="E312" s="3"/>
      <c r="F312" s="3"/>
      <c r="G312" s="3"/>
      <c r="H312" s="3"/>
      <c r="I312" s="3"/>
      <c r="J312" s="3"/>
      <c r="K312" s="3"/>
      <c r="L312" s="4"/>
      <c r="M312" s="32"/>
      <c r="N312" s="32"/>
      <c r="O312" s="32"/>
      <c r="P312" s="32"/>
      <c r="Q312" s="32"/>
      <c r="R312" s="32"/>
      <c r="S312" s="32"/>
      <c r="T312" s="32"/>
      <c r="U312" s="32"/>
      <c r="V312" s="32"/>
      <c r="W312" s="32"/>
      <c r="X312" s="32"/>
      <c r="Y312" s="32"/>
      <c r="Z312" s="32"/>
    </row>
    <row r="313" spans="1:26" ht="17.25" customHeight="1">
      <c r="A313" s="3"/>
      <c r="B313" s="3"/>
      <c r="C313" s="3"/>
      <c r="D313" s="3"/>
      <c r="E313" s="3"/>
      <c r="F313" s="3"/>
      <c r="G313" s="3"/>
      <c r="H313" s="3"/>
      <c r="I313" s="3"/>
      <c r="J313" s="3"/>
      <c r="K313" s="3"/>
      <c r="L313" s="4"/>
      <c r="M313" s="32"/>
      <c r="N313" s="32"/>
      <c r="O313" s="32"/>
      <c r="P313" s="32"/>
      <c r="Q313" s="32"/>
      <c r="R313" s="32"/>
      <c r="S313" s="32"/>
      <c r="T313" s="32"/>
      <c r="U313" s="32"/>
      <c r="V313" s="32"/>
      <c r="W313" s="32"/>
      <c r="X313" s="32"/>
      <c r="Y313" s="32"/>
      <c r="Z313" s="32"/>
    </row>
    <row r="314" spans="1:26" ht="17.25" customHeight="1">
      <c r="A314" s="3"/>
      <c r="B314" s="3"/>
      <c r="C314" s="3"/>
      <c r="D314" s="3"/>
      <c r="E314" s="3"/>
      <c r="F314" s="3"/>
      <c r="G314" s="3"/>
      <c r="H314" s="3"/>
      <c r="I314" s="3"/>
      <c r="J314" s="3"/>
      <c r="K314" s="3"/>
      <c r="L314" s="4"/>
      <c r="M314" s="32"/>
      <c r="N314" s="32"/>
      <c r="O314" s="32"/>
      <c r="P314" s="32"/>
      <c r="Q314" s="32"/>
      <c r="R314" s="32"/>
      <c r="S314" s="32"/>
      <c r="T314" s="32"/>
      <c r="U314" s="32"/>
      <c r="V314" s="32"/>
      <c r="W314" s="32"/>
      <c r="X314" s="32"/>
      <c r="Y314" s="32"/>
      <c r="Z314" s="32"/>
    </row>
    <row r="315" spans="1:26" ht="17.25" customHeight="1">
      <c r="A315" s="3"/>
      <c r="B315" s="3"/>
      <c r="C315" s="3"/>
      <c r="D315" s="3"/>
      <c r="E315" s="3"/>
      <c r="F315" s="3"/>
      <c r="G315" s="3"/>
      <c r="H315" s="3"/>
      <c r="I315" s="3"/>
      <c r="J315" s="3"/>
      <c r="K315" s="3"/>
      <c r="L315" s="4"/>
      <c r="M315" s="32"/>
      <c r="N315" s="32"/>
      <c r="O315" s="32"/>
      <c r="P315" s="32"/>
      <c r="Q315" s="32"/>
      <c r="R315" s="32"/>
      <c r="S315" s="32"/>
      <c r="T315" s="32"/>
      <c r="U315" s="32"/>
      <c r="V315" s="32"/>
      <c r="W315" s="32"/>
      <c r="X315" s="32"/>
      <c r="Y315" s="32"/>
      <c r="Z315" s="32"/>
    </row>
    <row r="316" spans="1:26" ht="17.25" customHeight="1">
      <c r="A316" s="3"/>
      <c r="B316" s="3"/>
      <c r="C316" s="3"/>
      <c r="D316" s="3"/>
      <c r="E316" s="3"/>
      <c r="F316" s="3"/>
      <c r="G316" s="3"/>
      <c r="H316" s="3"/>
      <c r="I316" s="3"/>
      <c r="J316" s="3"/>
      <c r="K316" s="3"/>
      <c r="L316" s="4"/>
      <c r="M316" s="32"/>
      <c r="N316" s="32"/>
      <c r="O316" s="32"/>
      <c r="P316" s="32"/>
      <c r="Q316" s="32"/>
      <c r="R316" s="32"/>
      <c r="S316" s="32"/>
      <c r="T316" s="32"/>
      <c r="U316" s="32"/>
      <c r="V316" s="32"/>
      <c r="W316" s="32"/>
      <c r="X316" s="32"/>
      <c r="Y316" s="32"/>
      <c r="Z316" s="32"/>
    </row>
    <row r="317" spans="1:26" ht="17.25" customHeight="1">
      <c r="A317" s="3"/>
      <c r="B317" s="3"/>
      <c r="C317" s="3"/>
      <c r="D317" s="3"/>
      <c r="E317" s="3"/>
      <c r="F317" s="3"/>
      <c r="G317" s="3"/>
      <c r="H317" s="3"/>
      <c r="I317" s="3"/>
      <c r="J317" s="3"/>
      <c r="K317" s="3"/>
      <c r="L317" s="4"/>
      <c r="M317" s="32"/>
      <c r="N317" s="32"/>
      <c r="O317" s="32"/>
      <c r="P317" s="32"/>
      <c r="Q317" s="32"/>
      <c r="R317" s="32"/>
      <c r="S317" s="32"/>
      <c r="T317" s="32"/>
      <c r="U317" s="32"/>
      <c r="V317" s="32"/>
      <c r="W317" s="32"/>
      <c r="X317" s="32"/>
      <c r="Y317" s="32"/>
      <c r="Z317" s="32"/>
    </row>
    <row r="318" spans="1:26" ht="17.25" customHeight="1">
      <c r="A318" s="3"/>
      <c r="B318" s="3"/>
      <c r="C318" s="3"/>
      <c r="D318" s="3"/>
      <c r="E318" s="3"/>
      <c r="F318" s="3"/>
      <c r="G318" s="3"/>
      <c r="H318" s="3"/>
      <c r="I318" s="3"/>
      <c r="J318" s="3"/>
      <c r="K318" s="3"/>
      <c r="L318" s="4"/>
      <c r="M318" s="32"/>
      <c r="N318" s="32"/>
      <c r="O318" s="32"/>
      <c r="P318" s="32"/>
      <c r="Q318" s="32"/>
      <c r="R318" s="32"/>
      <c r="S318" s="32"/>
      <c r="T318" s="32"/>
      <c r="U318" s="32"/>
      <c r="V318" s="32"/>
      <c r="W318" s="32"/>
      <c r="X318" s="32"/>
      <c r="Y318" s="32"/>
      <c r="Z318" s="32"/>
    </row>
    <row r="319" spans="1:26" ht="17.25" customHeight="1">
      <c r="A319" s="3"/>
      <c r="B319" s="3"/>
      <c r="C319" s="3"/>
      <c r="D319" s="3"/>
      <c r="E319" s="3"/>
      <c r="F319" s="3"/>
      <c r="G319" s="3"/>
      <c r="H319" s="3"/>
      <c r="I319" s="3"/>
      <c r="J319" s="3"/>
      <c r="K319" s="3"/>
      <c r="L319" s="4"/>
      <c r="M319" s="32"/>
      <c r="N319" s="32"/>
      <c r="O319" s="32"/>
      <c r="P319" s="32"/>
      <c r="Q319" s="32"/>
      <c r="R319" s="32"/>
      <c r="S319" s="32"/>
      <c r="T319" s="32"/>
      <c r="U319" s="32"/>
      <c r="V319" s="32"/>
      <c r="W319" s="32"/>
      <c r="X319" s="32"/>
      <c r="Y319" s="32"/>
      <c r="Z319" s="32"/>
    </row>
    <row r="320" spans="1:26" ht="17.25" customHeight="1">
      <c r="A320" s="3"/>
      <c r="B320" s="3"/>
      <c r="C320" s="3"/>
      <c r="D320" s="3"/>
      <c r="E320" s="3"/>
      <c r="F320" s="3"/>
      <c r="G320" s="3"/>
      <c r="H320" s="3"/>
      <c r="I320" s="3"/>
      <c r="J320" s="3"/>
      <c r="K320" s="3"/>
      <c r="L320" s="4"/>
      <c r="M320" s="32"/>
      <c r="N320" s="32"/>
      <c r="O320" s="32"/>
      <c r="P320" s="32"/>
      <c r="Q320" s="32"/>
      <c r="R320" s="32"/>
      <c r="S320" s="32"/>
      <c r="T320" s="32"/>
      <c r="U320" s="32"/>
      <c r="V320" s="32"/>
      <c r="W320" s="32"/>
      <c r="X320" s="32"/>
      <c r="Y320" s="32"/>
      <c r="Z320" s="32"/>
    </row>
    <row r="321" spans="1:26" ht="17.25" customHeight="1">
      <c r="A321" s="3"/>
      <c r="B321" s="3"/>
      <c r="C321" s="3"/>
      <c r="D321" s="3"/>
      <c r="E321" s="3"/>
      <c r="F321" s="3"/>
      <c r="G321" s="3"/>
      <c r="H321" s="3"/>
      <c r="I321" s="3"/>
      <c r="J321" s="3"/>
      <c r="K321" s="3"/>
      <c r="L321" s="4"/>
      <c r="M321" s="32"/>
      <c r="N321" s="32"/>
      <c r="O321" s="32"/>
      <c r="P321" s="32"/>
      <c r="Q321" s="32"/>
      <c r="R321" s="32"/>
      <c r="S321" s="32"/>
      <c r="T321" s="32"/>
      <c r="U321" s="32"/>
      <c r="V321" s="32"/>
      <c r="W321" s="32"/>
      <c r="X321" s="32"/>
      <c r="Y321" s="32"/>
      <c r="Z321" s="32"/>
    </row>
    <row r="322" spans="1:26" ht="17.25" customHeight="1">
      <c r="A322" s="3"/>
      <c r="B322" s="3"/>
      <c r="C322" s="3"/>
      <c r="D322" s="3"/>
      <c r="E322" s="3"/>
      <c r="F322" s="3"/>
      <c r="G322" s="3"/>
      <c r="H322" s="3"/>
      <c r="I322" s="3"/>
      <c r="J322" s="3"/>
      <c r="K322" s="3"/>
      <c r="L322" s="4"/>
      <c r="M322" s="32"/>
      <c r="N322" s="32"/>
      <c r="O322" s="32"/>
      <c r="P322" s="32"/>
      <c r="Q322" s="32"/>
      <c r="R322" s="32"/>
      <c r="S322" s="32"/>
      <c r="T322" s="32"/>
      <c r="U322" s="32"/>
      <c r="V322" s="32"/>
      <c r="W322" s="32"/>
      <c r="X322" s="32"/>
      <c r="Y322" s="32"/>
      <c r="Z322" s="32"/>
    </row>
    <row r="323" spans="1:26" ht="17.25" customHeight="1">
      <c r="A323" s="3"/>
      <c r="B323" s="3"/>
      <c r="C323" s="3"/>
      <c r="D323" s="3"/>
      <c r="E323" s="3"/>
      <c r="F323" s="3"/>
      <c r="G323" s="3"/>
      <c r="H323" s="3"/>
      <c r="I323" s="3"/>
      <c r="J323" s="3"/>
      <c r="K323" s="3"/>
      <c r="L323" s="4"/>
      <c r="M323" s="32"/>
      <c r="N323" s="32"/>
      <c r="O323" s="32"/>
      <c r="P323" s="32"/>
      <c r="Q323" s="32"/>
      <c r="R323" s="32"/>
      <c r="S323" s="32"/>
      <c r="T323" s="32"/>
      <c r="U323" s="32"/>
      <c r="V323" s="32"/>
      <c r="W323" s="32"/>
      <c r="X323" s="32"/>
      <c r="Y323" s="32"/>
      <c r="Z323" s="32"/>
    </row>
    <row r="324" spans="1:26" ht="17.25" customHeight="1">
      <c r="A324" s="3"/>
      <c r="B324" s="3"/>
      <c r="C324" s="3"/>
      <c r="D324" s="3"/>
      <c r="E324" s="3"/>
      <c r="F324" s="3"/>
      <c r="G324" s="3"/>
      <c r="H324" s="3"/>
      <c r="I324" s="3"/>
      <c r="J324" s="3"/>
      <c r="K324" s="3"/>
      <c r="L324" s="4"/>
      <c r="M324" s="32"/>
      <c r="N324" s="32"/>
      <c r="O324" s="32"/>
      <c r="P324" s="32"/>
      <c r="Q324" s="32"/>
      <c r="R324" s="32"/>
      <c r="S324" s="32"/>
      <c r="T324" s="32"/>
      <c r="U324" s="32"/>
      <c r="V324" s="32"/>
      <c r="W324" s="32"/>
      <c r="X324" s="32"/>
      <c r="Y324" s="32"/>
      <c r="Z324" s="32"/>
    </row>
    <row r="325" spans="1:26" ht="17.25" customHeight="1">
      <c r="A325" s="3"/>
      <c r="B325" s="3"/>
      <c r="C325" s="3"/>
      <c r="D325" s="3"/>
      <c r="E325" s="3"/>
      <c r="F325" s="3"/>
      <c r="G325" s="3"/>
      <c r="H325" s="3"/>
      <c r="I325" s="3"/>
      <c r="J325" s="3"/>
      <c r="K325" s="3"/>
      <c r="L325" s="4"/>
      <c r="M325" s="32"/>
      <c r="N325" s="32"/>
      <c r="O325" s="32"/>
      <c r="P325" s="32"/>
      <c r="Q325" s="32"/>
      <c r="R325" s="32"/>
      <c r="S325" s="32"/>
      <c r="T325" s="32"/>
      <c r="U325" s="32"/>
      <c r="V325" s="32"/>
      <c r="W325" s="32"/>
      <c r="X325" s="32"/>
      <c r="Y325" s="32"/>
      <c r="Z325" s="32"/>
    </row>
    <row r="326" spans="1:26" ht="17.25" customHeight="1">
      <c r="A326" s="3"/>
      <c r="B326" s="3"/>
      <c r="C326" s="3"/>
      <c r="D326" s="3"/>
      <c r="E326" s="3"/>
      <c r="F326" s="3"/>
      <c r="G326" s="3"/>
      <c r="H326" s="3"/>
      <c r="I326" s="3"/>
      <c r="J326" s="3"/>
      <c r="K326" s="3"/>
      <c r="L326" s="4"/>
      <c r="M326" s="32"/>
      <c r="N326" s="32"/>
      <c r="O326" s="32"/>
      <c r="P326" s="32"/>
      <c r="Q326" s="32"/>
      <c r="R326" s="32"/>
      <c r="S326" s="32"/>
      <c r="T326" s="32"/>
      <c r="U326" s="32"/>
      <c r="V326" s="32"/>
      <c r="W326" s="32"/>
      <c r="X326" s="32"/>
      <c r="Y326" s="32"/>
      <c r="Z326" s="32"/>
    </row>
    <row r="327" spans="1:26" ht="17.25" customHeight="1">
      <c r="A327" s="3"/>
      <c r="B327" s="3"/>
      <c r="C327" s="3"/>
      <c r="D327" s="3"/>
      <c r="E327" s="3"/>
      <c r="F327" s="3"/>
      <c r="G327" s="3"/>
      <c r="H327" s="3"/>
      <c r="I327" s="3"/>
      <c r="J327" s="3"/>
      <c r="K327" s="3"/>
      <c r="L327" s="4"/>
      <c r="M327" s="32"/>
      <c r="N327" s="32"/>
      <c r="O327" s="32"/>
      <c r="P327" s="32"/>
      <c r="Q327" s="32"/>
      <c r="R327" s="32"/>
      <c r="S327" s="32"/>
      <c r="T327" s="32"/>
      <c r="U327" s="32"/>
      <c r="V327" s="32"/>
      <c r="W327" s="32"/>
      <c r="X327" s="32"/>
      <c r="Y327" s="32"/>
      <c r="Z327" s="32"/>
    </row>
    <row r="328" spans="1:26" ht="17.25" customHeight="1">
      <c r="A328" s="3"/>
      <c r="B328" s="3"/>
      <c r="C328" s="3"/>
      <c r="D328" s="3"/>
      <c r="E328" s="3"/>
      <c r="F328" s="3"/>
      <c r="G328" s="3"/>
      <c r="H328" s="3"/>
      <c r="I328" s="3"/>
      <c r="J328" s="3"/>
      <c r="K328" s="3"/>
      <c r="L328" s="4"/>
      <c r="M328" s="32"/>
      <c r="N328" s="32"/>
      <c r="O328" s="32"/>
      <c r="P328" s="32"/>
      <c r="Q328" s="32"/>
      <c r="R328" s="32"/>
      <c r="S328" s="32"/>
      <c r="T328" s="32"/>
      <c r="U328" s="32"/>
      <c r="V328" s="32"/>
      <c r="W328" s="32"/>
      <c r="X328" s="32"/>
      <c r="Y328" s="32"/>
      <c r="Z328" s="32"/>
    </row>
    <row r="329" spans="1:26" ht="17.25" customHeight="1">
      <c r="A329" s="3"/>
      <c r="B329" s="3"/>
      <c r="C329" s="3"/>
      <c r="D329" s="3"/>
      <c r="E329" s="3"/>
      <c r="F329" s="3"/>
      <c r="G329" s="3"/>
      <c r="H329" s="3"/>
      <c r="I329" s="3"/>
      <c r="J329" s="3"/>
      <c r="K329" s="3"/>
      <c r="L329" s="4"/>
      <c r="M329" s="32"/>
      <c r="N329" s="32"/>
      <c r="O329" s="32"/>
      <c r="P329" s="32"/>
      <c r="Q329" s="32"/>
      <c r="R329" s="32"/>
      <c r="S329" s="32"/>
      <c r="T329" s="32"/>
      <c r="U329" s="32"/>
      <c r="V329" s="32"/>
      <c r="W329" s="32"/>
      <c r="X329" s="32"/>
      <c r="Y329" s="32"/>
      <c r="Z329" s="32"/>
    </row>
    <row r="330" spans="1:26" ht="17.25" customHeight="1">
      <c r="A330" s="3"/>
      <c r="B330" s="3"/>
      <c r="C330" s="3"/>
      <c r="D330" s="3"/>
      <c r="E330" s="3"/>
      <c r="F330" s="3"/>
      <c r="G330" s="3"/>
      <c r="H330" s="3"/>
      <c r="I330" s="3"/>
      <c r="J330" s="3"/>
      <c r="K330" s="3"/>
      <c r="L330" s="4"/>
      <c r="M330" s="32"/>
      <c r="N330" s="32"/>
      <c r="O330" s="32"/>
      <c r="P330" s="32"/>
      <c r="Q330" s="32"/>
      <c r="R330" s="32"/>
      <c r="S330" s="32"/>
      <c r="T330" s="32"/>
      <c r="U330" s="32"/>
      <c r="V330" s="32"/>
      <c r="W330" s="32"/>
      <c r="X330" s="32"/>
      <c r="Y330" s="32"/>
      <c r="Z330" s="32"/>
    </row>
    <row r="331" spans="1:26" ht="17.25" customHeight="1">
      <c r="A331" s="3"/>
      <c r="B331" s="3"/>
      <c r="C331" s="3"/>
      <c r="D331" s="3"/>
      <c r="E331" s="3"/>
      <c r="F331" s="3"/>
      <c r="G331" s="3"/>
      <c r="H331" s="3"/>
      <c r="I331" s="3"/>
      <c r="J331" s="3"/>
      <c r="K331" s="3"/>
      <c r="L331" s="4"/>
      <c r="M331" s="32"/>
      <c r="N331" s="32"/>
      <c r="O331" s="32"/>
      <c r="P331" s="32"/>
      <c r="Q331" s="32"/>
      <c r="R331" s="32"/>
      <c r="S331" s="32"/>
      <c r="T331" s="32"/>
      <c r="U331" s="32"/>
      <c r="V331" s="32"/>
      <c r="W331" s="32"/>
      <c r="X331" s="32"/>
      <c r="Y331" s="32"/>
      <c r="Z331" s="32"/>
    </row>
    <row r="332" spans="1:26" ht="17.25" customHeight="1">
      <c r="A332" s="3"/>
      <c r="B332" s="3"/>
      <c r="C332" s="3"/>
      <c r="D332" s="3"/>
      <c r="E332" s="3"/>
      <c r="F332" s="3"/>
      <c r="G332" s="3"/>
      <c r="H332" s="3"/>
      <c r="I332" s="3"/>
      <c r="J332" s="3"/>
      <c r="K332" s="3"/>
      <c r="L332" s="4"/>
      <c r="M332" s="32"/>
      <c r="N332" s="32"/>
      <c r="O332" s="32"/>
      <c r="P332" s="32"/>
      <c r="Q332" s="32"/>
      <c r="R332" s="32"/>
      <c r="S332" s="32"/>
      <c r="T332" s="32"/>
      <c r="U332" s="32"/>
      <c r="V332" s="32"/>
      <c r="W332" s="32"/>
      <c r="X332" s="32"/>
      <c r="Y332" s="32"/>
      <c r="Z332" s="32"/>
    </row>
    <row r="333" spans="1:26" ht="17.25" customHeight="1">
      <c r="A333" s="3"/>
      <c r="B333" s="3"/>
      <c r="C333" s="3"/>
      <c r="D333" s="3"/>
      <c r="E333" s="3"/>
      <c r="F333" s="3"/>
      <c r="G333" s="3"/>
      <c r="H333" s="3"/>
      <c r="I333" s="3"/>
      <c r="J333" s="3"/>
      <c r="K333" s="3"/>
      <c r="L333" s="4"/>
      <c r="M333" s="32"/>
      <c r="N333" s="32"/>
      <c r="O333" s="32"/>
      <c r="P333" s="32"/>
      <c r="Q333" s="32"/>
      <c r="R333" s="32"/>
      <c r="S333" s="32"/>
      <c r="T333" s="32"/>
      <c r="U333" s="32"/>
      <c r="V333" s="32"/>
      <c r="W333" s="32"/>
      <c r="X333" s="32"/>
      <c r="Y333" s="32"/>
      <c r="Z333" s="32"/>
    </row>
    <row r="334" spans="1:26" ht="17.25" customHeight="1">
      <c r="A334" s="3"/>
      <c r="B334" s="3"/>
      <c r="C334" s="3"/>
      <c r="D334" s="3"/>
      <c r="E334" s="3"/>
      <c r="F334" s="3"/>
      <c r="G334" s="3"/>
      <c r="H334" s="3"/>
      <c r="I334" s="3"/>
      <c r="J334" s="3"/>
      <c r="K334" s="3"/>
      <c r="L334" s="4"/>
      <c r="M334" s="32"/>
      <c r="N334" s="32"/>
      <c r="O334" s="32"/>
      <c r="P334" s="32"/>
      <c r="Q334" s="32"/>
      <c r="R334" s="32"/>
      <c r="S334" s="32"/>
      <c r="T334" s="32"/>
      <c r="U334" s="32"/>
      <c r="V334" s="32"/>
      <c r="W334" s="32"/>
      <c r="X334" s="32"/>
      <c r="Y334" s="32"/>
      <c r="Z334" s="32"/>
    </row>
    <row r="335" spans="1:26" ht="17.25" customHeight="1">
      <c r="A335" s="3"/>
      <c r="B335" s="3"/>
      <c r="C335" s="3"/>
      <c r="D335" s="3"/>
      <c r="E335" s="3"/>
      <c r="F335" s="3"/>
      <c r="G335" s="3"/>
      <c r="H335" s="3"/>
      <c r="I335" s="3"/>
      <c r="J335" s="3"/>
      <c r="K335" s="3"/>
      <c r="L335" s="4"/>
      <c r="M335" s="32"/>
      <c r="N335" s="32"/>
      <c r="O335" s="32"/>
      <c r="P335" s="32"/>
      <c r="Q335" s="32"/>
      <c r="R335" s="32"/>
      <c r="S335" s="32"/>
      <c r="T335" s="32"/>
      <c r="U335" s="32"/>
      <c r="V335" s="32"/>
      <c r="W335" s="32"/>
      <c r="X335" s="32"/>
      <c r="Y335" s="32"/>
      <c r="Z335" s="32"/>
    </row>
    <row r="336" spans="1:26" ht="17.25" customHeight="1">
      <c r="A336" s="3"/>
      <c r="B336" s="3"/>
      <c r="C336" s="3"/>
      <c r="D336" s="3"/>
      <c r="E336" s="3"/>
      <c r="F336" s="3"/>
      <c r="G336" s="3"/>
      <c r="H336" s="3"/>
      <c r="I336" s="3"/>
      <c r="J336" s="3"/>
      <c r="K336" s="3"/>
      <c r="L336" s="4"/>
      <c r="M336" s="32"/>
      <c r="N336" s="32"/>
      <c r="O336" s="32"/>
      <c r="P336" s="32"/>
      <c r="Q336" s="32"/>
      <c r="R336" s="32"/>
      <c r="S336" s="32"/>
      <c r="T336" s="32"/>
      <c r="U336" s="32"/>
      <c r="V336" s="32"/>
      <c r="W336" s="32"/>
      <c r="X336" s="32"/>
      <c r="Y336" s="32"/>
      <c r="Z336" s="32"/>
    </row>
    <row r="337" spans="1:26" ht="17.25" customHeight="1">
      <c r="A337" s="3"/>
      <c r="B337" s="3"/>
      <c r="C337" s="3"/>
      <c r="D337" s="3"/>
      <c r="E337" s="3"/>
      <c r="F337" s="3"/>
      <c r="G337" s="3"/>
      <c r="H337" s="3"/>
      <c r="I337" s="3"/>
      <c r="J337" s="3"/>
      <c r="K337" s="3"/>
      <c r="L337" s="4"/>
      <c r="M337" s="32"/>
      <c r="N337" s="32"/>
      <c r="O337" s="32"/>
      <c r="P337" s="32"/>
      <c r="Q337" s="32"/>
      <c r="R337" s="32"/>
      <c r="S337" s="32"/>
      <c r="T337" s="32"/>
      <c r="U337" s="32"/>
      <c r="V337" s="32"/>
      <c r="W337" s="32"/>
      <c r="X337" s="32"/>
      <c r="Y337" s="32"/>
      <c r="Z337" s="32"/>
    </row>
    <row r="338" spans="1:26" ht="17.25" customHeight="1">
      <c r="A338" s="3"/>
      <c r="B338" s="3"/>
      <c r="C338" s="3"/>
      <c r="D338" s="3"/>
      <c r="E338" s="3"/>
      <c r="F338" s="3"/>
      <c r="G338" s="3"/>
      <c r="H338" s="3"/>
      <c r="I338" s="3"/>
      <c r="J338" s="3"/>
      <c r="K338" s="3"/>
      <c r="L338" s="4"/>
      <c r="M338" s="32"/>
      <c r="N338" s="32"/>
      <c r="O338" s="32"/>
      <c r="P338" s="32"/>
      <c r="Q338" s="32"/>
      <c r="R338" s="32"/>
      <c r="S338" s="32"/>
      <c r="T338" s="32"/>
      <c r="U338" s="32"/>
      <c r="V338" s="32"/>
      <c r="W338" s="32"/>
      <c r="X338" s="32"/>
      <c r="Y338" s="32"/>
      <c r="Z338" s="32"/>
    </row>
    <row r="339" spans="1:26" ht="17.25" customHeight="1">
      <c r="A339" s="3"/>
      <c r="B339" s="3"/>
      <c r="C339" s="3"/>
      <c r="D339" s="3"/>
      <c r="E339" s="3"/>
      <c r="F339" s="3"/>
      <c r="G339" s="3"/>
      <c r="H339" s="3"/>
      <c r="I339" s="3"/>
      <c r="J339" s="3"/>
      <c r="K339" s="3"/>
      <c r="L339" s="4"/>
      <c r="M339" s="32"/>
      <c r="N339" s="32"/>
      <c r="O339" s="32"/>
      <c r="P339" s="32"/>
      <c r="Q339" s="32"/>
      <c r="R339" s="32"/>
      <c r="S339" s="32"/>
      <c r="T339" s="32"/>
      <c r="U339" s="32"/>
      <c r="V339" s="32"/>
      <c r="W339" s="32"/>
      <c r="X339" s="32"/>
      <c r="Y339" s="32"/>
      <c r="Z339" s="32"/>
    </row>
    <row r="340" spans="1:26" ht="17.25" customHeight="1">
      <c r="A340" s="3"/>
      <c r="B340" s="3"/>
      <c r="C340" s="3"/>
      <c r="D340" s="3"/>
      <c r="E340" s="3"/>
      <c r="F340" s="3"/>
      <c r="G340" s="3"/>
      <c r="H340" s="3"/>
      <c r="I340" s="3"/>
      <c r="J340" s="3"/>
      <c r="K340" s="3"/>
      <c r="L340" s="4"/>
      <c r="M340" s="32"/>
      <c r="N340" s="32"/>
      <c r="O340" s="32"/>
      <c r="P340" s="32"/>
      <c r="Q340" s="32"/>
      <c r="R340" s="32"/>
      <c r="S340" s="32"/>
      <c r="T340" s="32"/>
      <c r="U340" s="32"/>
      <c r="V340" s="32"/>
      <c r="W340" s="32"/>
      <c r="X340" s="32"/>
      <c r="Y340" s="32"/>
      <c r="Z340" s="32"/>
    </row>
    <row r="341" spans="1:26" ht="17.25" customHeight="1">
      <c r="A341" s="3"/>
      <c r="B341" s="3"/>
      <c r="C341" s="3"/>
      <c r="D341" s="3"/>
      <c r="E341" s="3"/>
      <c r="F341" s="3"/>
      <c r="G341" s="3"/>
      <c r="H341" s="3"/>
      <c r="I341" s="3"/>
      <c r="J341" s="3"/>
      <c r="K341" s="3"/>
      <c r="L341" s="4"/>
      <c r="M341" s="32"/>
      <c r="N341" s="32"/>
      <c r="O341" s="32"/>
      <c r="P341" s="32"/>
      <c r="Q341" s="32"/>
      <c r="R341" s="32"/>
      <c r="S341" s="32"/>
      <c r="T341" s="32"/>
      <c r="U341" s="32"/>
      <c r="V341" s="32"/>
      <c r="W341" s="32"/>
      <c r="X341" s="32"/>
      <c r="Y341" s="32"/>
      <c r="Z341" s="32"/>
    </row>
    <row r="342" spans="1:26" ht="17.25" customHeight="1">
      <c r="A342" s="3"/>
      <c r="B342" s="3"/>
      <c r="C342" s="3"/>
      <c r="D342" s="3"/>
      <c r="E342" s="3"/>
      <c r="F342" s="3"/>
      <c r="G342" s="3"/>
      <c r="H342" s="3"/>
      <c r="I342" s="3"/>
      <c r="J342" s="3"/>
      <c r="K342" s="3"/>
      <c r="L342" s="4"/>
      <c r="M342" s="32"/>
      <c r="N342" s="32"/>
      <c r="O342" s="32"/>
      <c r="P342" s="32"/>
      <c r="Q342" s="32"/>
      <c r="R342" s="32"/>
      <c r="S342" s="32"/>
      <c r="T342" s="32"/>
      <c r="U342" s="32"/>
      <c r="V342" s="32"/>
      <c r="W342" s="32"/>
      <c r="X342" s="32"/>
      <c r="Y342" s="32"/>
      <c r="Z342" s="32"/>
    </row>
    <row r="343" spans="1:26" ht="17.25" customHeight="1">
      <c r="A343" s="3"/>
      <c r="B343" s="3"/>
      <c r="C343" s="3"/>
      <c r="D343" s="3"/>
      <c r="E343" s="3"/>
      <c r="F343" s="3"/>
      <c r="G343" s="3"/>
      <c r="H343" s="3"/>
      <c r="I343" s="3"/>
      <c r="J343" s="3"/>
      <c r="K343" s="3"/>
      <c r="L343" s="4"/>
      <c r="M343" s="32"/>
      <c r="N343" s="32"/>
      <c r="O343" s="32"/>
      <c r="P343" s="32"/>
      <c r="Q343" s="32"/>
      <c r="R343" s="32"/>
      <c r="S343" s="32"/>
      <c r="T343" s="32"/>
      <c r="U343" s="32"/>
      <c r="V343" s="32"/>
      <c r="W343" s="32"/>
      <c r="X343" s="32"/>
      <c r="Y343" s="32"/>
      <c r="Z343" s="32"/>
    </row>
    <row r="344" spans="1:26" ht="17.25" customHeight="1">
      <c r="A344" s="3"/>
      <c r="B344" s="3"/>
      <c r="C344" s="3"/>
      <c r="D344" s="3"/>
      <c r="E344" s="3"/>
      <c r="F344" s="3"/>
      <c r="G344" s="3"/>
      <c r="H344" s="3"/>
      <c r="I344" s="3"/>
      <c r="J344" s="3"/>
      <c r="K344" s="3"/>
      <c r="L344" s="4"/>
      <c r="M344" s="32"/>
      <c r="N344" s="32"/>
      <c r="O344" s="32"/>
      <c r="P344" s="32"/>
      <c r="Q344" s="32"/>
      <c r="R344" s="32"/>
      <c r="S344" s="32"/>
      <c r="T344" s="32"/>
      <c r="U344" s="32"/>
      <c r="V344" s="32"/>
      <c r="W344" s="32"/>
      <c r="X344" s="32"/>
      <c r="Y344" s="32"/>
      <c r="Z344" s="32"/>
    </row>
    <row r="345" spans="1:26" ht="17.25" customHeight="1">
      <c r="A345" s="3"/>
      <c r="B345" s="3"/>
      <c r="C345" s="3"/>
      <c r="D345" s="3"/>
      <c r="E345" s="3"/>
      <c r="F345" s="3"/>
      <c r="G345" s="3"/>
      <c r="H345" s="3"/>
      <c r="I345" s="3"/>
      <c r="J345" s="3"/>
      <c r="K345" s="3"/>
      <c r="L345" s="4"/>
      <c r="M345" s="32"/>
      <c r="N345" s="32"/>
      <c r="O345" s="32"/>
      <c r="P345" s="32"/>
      <c r="Q345" s="32"/>
      <c r="R345" s="32"/>
      <c r="S345" s="32"/>
      <c r="T345" s="32"/>
      <c r="U345" s="32"/>
      <c r="V345" s="32"/>
      <c r="W345" s="32"/>
      <c r="X345" s="32"/>
      <c r="Y345" s="32"/>
      <c r="Z345" s="32"/>
    </row>
    <row r="346" spans="1:26" ht="17.25" customHeight="1">
      <c r="A346" s="3"/>
      <c r="B346" s="3"/>
      <c r="C346" s="3"/>
      <c r="D346" s="3"/>
      <c r="E346" s="3"/>
      <c r="F346" s="3"/>
      <c r="G346" s="3"/>
      <c r="H346" s="3"/>
      <c r="I346" s="3"/>
      <c r="J346" s="3"/>
      <c r="K346" s="3"/>
      <c r="L346" s="4"/>
      <c r="M346" s="32"/>
      <c r="N346" s="32"/>
      <c r="O346" s="32"/>
      <c r="P346" s="32"/>
      <c r="Q346" s="32"/>
      <c r="R346" s="32"/>
      <c r="S346" s="32"/>
      <c r="T346" s="32"/>
      <c r="U346" s="32"/>
      <c r="V346" s="32"/>
      <c r="W346" s="32"/>
      <c r="X346" s="32"/>
      <c r="Y346" s="32"/>
      <c r="Z346" s="32"/>
    </row>
    <row r="347" spans="1:26" ht="17.25" customHeight="1">
      <c r="A347" s="3"/>
      <c r="B347" s="3"/>
      <c r="C347" s="3"/>
      <c r="D347" s="3"/>
      <c r="E347" s="3"/>
      <c r="F347" s="3"/>
      <c r="G347" s="3"/>
      <c r="H347" s="3"/>
      <c r="I347" s="3"/>
      <c r="J347" s="3"/>
      <c r="K347" s="3"/>
      <c r="L347" s="4"/>
      <c r="M347" s="32"/>
      <c r="N347" s="32"/>
      <c r="O347" s="32"/>
      <c r="P347" s="32"/>
      <c r="Q347" s="32"/>
      <c r="R347" s="32"/>
      <c r="S347" s="32"/>
      <c r="T347" s="32"/>
      <c r="U347" s="32"/>
      <c r="V347" s="32"/>
      <c r="W347" s="32"/>
      <c r="X347" s="32"/>
      <c r="Y347" s="32"/>
      <c r="Z347" s="32"/>
    </row>
    <row r="348" spans="1:26" ht="17.25" customHeight="1">
      <c r="A348" s="3"/>
      <c r="B348" s="3"/>
      <c r="C348" s="3"/>
      <c r="D348" s="3"/>
      <c r="E348" s="3"/>
      <c r="F348" s="3"/>
      <c r="G348" s="3"/>
      <c r="H348" s="3"/>
      <c r="I348" s="3"/>
      <c r="J348" s="3"/>
      <c r="K348" s="3"/>
      <c r="L348" s="4"/>
      <c r="M348" s="32"/>
      <c r="N348" s="32"/>
      <c r="O348" s="32"/>
      <c r="P348" s="32"/>
      <c r="Q348" s="32"/>
      <c r="R348" s="32"/>
      <c r="S348" s="32"/>
      <c r="T348" s="32"/>
      <c r="U348" s="32"/>
      <c r="V348" s="32"/>
      <c r="W348" s="32"/>
      <c r="X348" s="32"/>
      <c r="Y348" s="32"/>
      <c r="Z348" s="32"/>
    </row>
    <row r="349" spans="1:26" ht="17.25" customHeight="1">
      <c r="A349" s="3"/>
      <c r="B349" s="3"/>
      <c r="C349" s="3"/>
      <c r="D349" s="3"/>
      <c r="E349" s="3"/>
      <c r="F349" s="3"/>
      <c r="G349" s="3"/>
      <c r="H349" s="3"/>
      <c r="I349" s="3"/>
      <c r="J349" s="3"/>
      <c r="K349" s="3"/>
      <c r="L349" s="4"/>
      <c r="M349" s="32"/>
      <c r="N349" s="32"/>
      <c r="O349" s="32"/>
      <c r="P349" s="32"/>
      <c r="Q349" s="32"/>
      <c r="R349" s="32"/>
      <c r="S349" s="32"/>
      <c r="T349" s="32"/>
      <c r="U349" s="32"/>
      <c r="V349" s="32"/>
      <c r="W349" s="32"/>
      <c r="X349" s="32"/>
      <c r="Y349" s="32"/>
      <c r="Z349" s="32"/>
    </row>
    <row r="350" spans="1:26" ht="17.25" customHeight="1">
      <c r="A350" s="3"/>
      <c r="B350" s="3"/>
      <c r="C350" s="3"/>
      <c r="D350" s="3"/>
      <c r="E350" s="3"/>
      <c r="F350" s="3"/>
      <c r="G350" s="3"/>
      <c r="H350" s="3"/>
      <c r="I350" s="3"/>
      <c r="J350" s="3"/>
      <c r="K350" s="3"/>
      <c r="L350" s="4"/>
      <c r="M350" s="32"/>
      <c r="N350" s="32"/>
      <c r="O350" s="32"/>
      <c r="P350" s="32"/>
      <c r="Q350" s="32"/>
      <c r="R350" s="32"/>
      <c r="S350" s="32"/>
      <c r="T350" s="32"/>
      <c r="U350" s="32"/>
      <c r="V350" s="32"/>
      <c r="W350" s="32"/>
      <c r="X350" s="32"/>
      <c r="Y350" s="32"/>
      <c r="Z350" s="32"/>
    </row>
    <row r="351" spans="1:26" ht="17.25" customHeight="1">
      <c r="A351" s="3"/>
      <c r="B351" s="3"/>
      <c r="C351" s="3"/>
      <c r="D351" s="3"/>
      <c r="E351" s="3"/>
      <c r="F351" s="3"/>
      <c r="G351" s="3"/>
      <c r="H351" s="3"/>
      <c r="I351" s="3"/>
      <c r="J351" s="3"/>
      <c r="K351" s="3"/>
      <c r="L351" s="4"/>
      <c r="M351" s="32"/>
      <c r="N351" s="32"/>
      <c r="O351" s="32"/>
      <c r="P351" s="32"/>
      <c r="Q351" s="32"/>
      <c r="R351" s="32"/>
      <c r="S351" s="32"/>
      <c r="T351" s="32"/>
      <c r="U351" s="32"/>
      <c r="V351" s="32"/>
      <c r="W351" s="32"/>
      <c r="X351" s="32"/>
      <c r="Y351" s="32"/>
      <c r="Z351" s="32"/>
    </row>
    <row r="352" spans="1:26" ht="17.25" customHeight="1">
      <c r="A352" s="3"/>
      <c r="B352" s="3"/>
      <c r="C352" s="3"/>
      <c r="D352" s="3"/>
      <c r="E352" s="3"/>
      <c r="F352" s="3"/>
      <c r="G352" s="3"/>
      <c r="H352" s="3"/>
      <c r="I352" s="3"/>
      <c r="J352" s="3"/>
      <c r="K352" s="3"/>
      <c r="L352" s="4"/>
      <c r="M352" s="32"/>
      <c r="N352" s="32"/>
      <c r="O352" s="32"/>
      <c r="P352" s="32"/>
      <c r="Q352" s="32"/>
      <c r="R352" s="32"/>
      <c r="S352" s="32"/>
      <c r="T352" s="32"/>
      <c r="U352" s="32"/>
      <c r="V352" s="32"/>
      <c r="W352" s="32"/>
      <c r="X352" s="32"/>
      <c r="Y352" s="32"/>
      <c r="Z352" s="32"/>
    </row>
    <row r="353" spans="1:26" ht="17.25" customHeight="1">
      <c r="A353" s="3"/>
      <c r="B353" s="3"/>
      <c r="C353" s="3"/>
      <c r="D353" s="3"/>
      <c r="E353" s="3"/>
      <c r="F353" s="3"/>
      <c r="G353" s="3"/>
      <c r="H353" s="3"/>
      <c r="I353" s="3"/>
      <c r="J353" s="3"/>
      <c r="K353" s="3"/>
      <c r="L353" s="4"/>
      <c r="M353" s="32"/>
      <c r="N353" s="32"/>
      <c r="O353" s="32"/>
      <c r="P353" s="32"/>
      <c r="Q353" s="32"/>
      <c r="R353" s="32"/>
      <c r="S353" s="32"/>
      <c r="T353" s="32"/>
      <c r="U353" s="32"/>
      <c r="V353" s="32"/>
      <c r="W353" s="32"/>
      <c r="X353" s="32"/>
      <c r="Y353" s="32"/>
      <c r="Z353" s="32"/>
    </row>
    <row r="354" spans="1:26" ht="17.25" customHeight="1">
      <c r="A354" s="3"/>
      <c r="B354" s="3"/>
      <c r="C354" s="3"/>
      <c r="D354" s="3"/>
      <c r="E354" s="3"/>
      <c r="F354" s="3"/>
      <c r="G354" s="3"/>
      <c r="H354" s="3"/>
      <c r="I354" s="3"/>
      <c r="J354" s="3"/>
      <c r="K354" s="3"/>
      <c r="L354" s="4"/>
      <c r="M354" s="32"/>
      <c r="N354" s="32"/>
      <c r="O354" s="32"/>
      <c r="P354" s="32"/>
      <c r="Q354" s="32"/>
      <c r="R354" s="32"/>
      <c r="S354" s="32"/>
      <c r="T354" s="32"/>
      <c r="U354" s="32"/>
      <c r="V354" s="32"/>
      <c r="W354" s="32"/>
      <c r="X354" s="32"/>
      <c r="Y354" s="32"/>
      <c r="Z354" s="32"/>
    </row>
    <row r="355" spans="1:26" ht="17.25" customHeight="1">
      <c r="A355" s="3"/>
      <c r="B355" s="3"/>
      <c r="C355" s="3"/>
      <c r="D355" s="3"/>
      <c r="E355" s="3"/>
      <c r="F355" s="3"/>
      <c r="G355" s="3"/>
      <c r="H355" s="3"/>
      <c r="I355" s="3"/>
      <c r="J355" s="3"/>
      <c r="K355" s="3"/>
      <c r="L355" s="4"/>
      <c r="M355" s="32"/>
      <c r="N355" s="32"/>
      <c r="O355" s="32"/>
      <c r="P355" s="32"/>
      <c r="Q355" s="32"/>
      <c r="R355" s="32"/>
      <c r="S355" s="32"/>
      <c r="T355" s="32"/>
      <c r="U355" s="32"/>
      <c r="V355" s="32"/>
      <c r="W355" s="32"/>
      <c r="X355" s="32"/>
      <c r="Y355" s="32"/>
      <c r="Z355" s="32"/>
    </row>
    <row r="356" spans="1:26" ht="17.25" customHeight="1">
      <c r="A356" s="3"/>
      <c r="B356" s="3"/>
      <c r="C356" s="3"/>
      <c r="D356" s="3"/>
      <c r="E356" s="3"/>
      <c r="F356" s="3"/>
      <c r="G356" s="3"/>
      <c r="H356" s="3"/>
      <c r="I356" s="3"/>
      <c r="J356" s="3"/>
      <c r="K356" s="3"/>
      <c r="L356" s="4"/>
      <c r="M356" s="32"/>
      <c r="N356" s="32"/>
      <c r="O356" s="32"/>
      <c r="P356" s="32"/>
      <c r="Q356" s="32"/>
      <c r="R356" s="32"/>
      <c r="S356" s="32"/>
      <c r="T356" s="32"/>
      <c r="U356" s="32"/>
      <c r="V356" s="32"/>
      <c r="W356" s="32"/>
      <c r="X356" s="32"/>
      <c r="Y356" s="32"/>
      <c r="Z356" s="32"/>
    </row>
    <row r="357" spans="1:26" ht="17.25" customHeight="1">
      <c r="A357" s="3"/>
      <c r="B357" s="3"/>
      <c r="C357" s="3"/>
      <c r="D357" s="3"/>
      <c r="E357" s="3"/>
      <c r="F357" s="3"/>
      <c r="G357" s="3"/>
      <c r="H357" s="3"/>
      <c r="I357" s="3"/>
      <c r="J357" s="3"/>
      <c r="K357" s="3"/>
      <c r="L357" s="4"/>
      <c r="M357" s="32"/>
      <c r="N357" s="32"/>
      <c r="O357" s="32"/>
      <c r="P357" s="32"/>
      <c r="Q357" s="32"/>
      <c r="R357" s="32"/>
      <c r="S357" s="32"/>
      <c r="T357" s="32"/>
      <c r="U357" s="32"/>
      <c r="V357" s="32"/>
      <c r="W357" s="32"/>
      <c r="X357" s="32"/>
      <c r="Y357" s="32"/>
      <c r="Z357" s="32"/>
    </row>
    <row r="358" spans="1:26" ht="17.25" customHeight="1">
      <c r="A358" s="3"/>
      <c r="B358" s="3"/>
      <c r="C358" s="3"/>
      <c r="D358" s="3"/>
      <c r="E358" s="3"/>
      <c r="F358" s="3"/>
      <c r="G358" s="3"/>
      <c r="H358" s="3"/>
      <c r="I358" s="3"/>
      <c r="J358" s="3"/>
      <c r="K358" s="3"/>
      <c r="L358" s="4"/>
      <c r="M358" s="32"/>
      <c r="N358" s="32"/>
      <c r="O358" s="32"/>
      <c r="P358" s="32"/>
      <c r="Q358" s="32"/>
      <c r="R358" s="32"/>
      <c r="S358" s="32"/>
      <c r="T358" s="32"/>
      <c r="U358" s="32"/>
      <c r="V358" s="32"/>
      <c r="W358" s="32"/>
      <c r="X358" s="32"/>
      <c r="Y358" s="32"/>
      <c r="Z358" s="32"/>
    </row>
    <row r="359" spans="1:26" ht="17.25" customHeight="1">
      <c r="A359" s="3"/>
      <c r="B359" s="3"/>
      <c r="C359" s="3"/>
      <c r="D359" s="3"/>
      <c r="E359" s="3"/>
      <c r="F359" s="3"/>
      <c r="G359" s="3"/>
      <c r="H359" s="3"/>
      <c r="I359" s="3"/>
      <c r="J359" s="3"/>
      <c r="K359" s="3"/>
      <c r="L359" s="4"/>
      <c r="M359" s="32"/>
      <c r="N359" s="32"/>
      <c r="O359" s="32"/>
      <c r="P359" s="32"/>
      <c r="Q359" s="32"/>
      <c r="R359" s="32"/>
      <c r="S359" s="32"/>
      <c r="T359" s="32"/>
      <c r="U359" s="32"/>
      <c r="V359" s="32"/>
      <c r="W359" s="32"/>
      <c r="X359" s="32"/>
      <c r="Y359" s="32"/>
      <c r="Z359" s="32"/>
    </row>
    <row r="360" spans="1:26" ht="17.25" customHeight="1">
      <c r="A360" s="3"/>
      <c r="B360" s="3"/>
      <c r="C360" s="3"/>
      <c r="D360" s="3"/>
      <c r="E360" s="3"/>
      <c r="F360" s="3"/>
      <c r="G360" s="3"/>
      <c r="H360" s="3"/>
      <c r="I360" s="3"/>
      <c r="J360" s="3"/>
      <c r="K360" s="3"/>
      <c r="L360" s="4"/>
      <c r="M360" s="32"/>
      <c r="N360" s="32"/>
      <c r="O360" s="32"/>
      <c r="P360" s="32"/>
      <c r="Q360" s="32"/>
      <c r="R360" s="32"/>
      <c r="S360" s="32"/>
      <c r="T360" s="32"/>
      <c r="U360" s="32"/>
      <c r="V360" s="32"/>
      <c r="W360" s="32"/>
      <c r="X360" s="32"/>
      <c r="Y360" s="32"/>
      <c r="Z360" s="32"/>
    </row>
    <row r="361" spans="1:26" ht="17.25" customHeight="1">
      <c r="A361" s="3"/>
      <c r="B361" s="3"/>
      <c r="C361" s="3"/>
      <c r="D361" s="3"/>
      <c r="E361" s="3"/>
      <c r="F361" s="3"/>
      <c r="G361" s="3"/>
      <c r="H361" s="3"/>
      <c r="I361" s="3"/>
      <c r="J361" s="3"/>
      <c r="K361" s="3"/>
      <c r="L361" s="4"/>
      <c r="M361" s="32"/>
      <c r="N361" s="32"/>
      <c r="O361" s="32"/>
      <c r="P361" s="32"/>
      <c r="Q361" s="32"/>
      <c r="R361" s="32"/>
      <c r="S361" s="32"/>
      <c r="T361" s="32"/>
      <c r="U361" s="32"/>
      <c r="V361" s="32"/>
      <c r="W361" s="32"/>
      <c r="X361" s="32"/>
      <c r="Y361" s="32"/>
      <c r="Z361" s="32"/>
    </row>
    <row r="362" spans="1:26" ht="17.25" customHeight="1">
      <c r="A362" s="3"/>
      <c r="B362" s="3"/>
      <c r="C362" s="3"/>
      <c r="D362" s="3"/>
      <c r="E362" s="3"/>
      <c r="F362" s="3"/>
      <c r="G362" s="3"/>
      <c r="H362" s="3"/>
      <c r="I362" s="3"/>
      <c r="J362" s="3"/>
      <c r="K362" s="3"/>
      <c r="L362" s="4"/>
      <c r="M362" s="32"/>
      <c r="N362" s="32"/>
      <c r="O362" s="32"/>
      <c r="P362" s="32"/>
      <c r="Q362" s="32"/>
      <c r="R362" s="32"/>
      <c r="S362" s="32"/>
      <c r="T362" s="32"/>
      <c r="U362" s="32"/>
      <c r="V362" s="32"/>
      <c r="W362" s="32"/>
      <c r="X362" s="32"/>
      <c r="Y362" s="32"/>
      <c r="Z362" s="32"/>
    </row>
    <row r="363" spans="1:26" ht="17.25" customHeight="1">
      <c r="A363" s="3"/>
      <c r="B363" s="3"/>
      <c r="C363" s="3"/>
      <c r="D363" s="3"/>
      <c r="E363" s="3"/>
      <c r="F363" s="3"/>
      <c r="G363" s="3"/>
      <c r="H363" s="3"/>
      <c r="I363" s="3"/>
      <c r="J363" s="3"/>
      <c r="K363" s="3"/>
      <c r="L363" s="4"/>
      <c r="M363" s="32"/>
      <c r="N363" s="32"/>
      <c r="O363" s="32"/>
      <c r="P363" s="32"/>
      <c r="Q363" s="32"/>
      <c r="R363" s="32"/>
      <c r="S363" s="32"/>
      <c r="T363" s="32"/>
      <c r="U363" s="32"/>
      <c r="V363" s="32"/>
      <c r="W363" s="32"/>
      <c r="X363" s="32"/>
      <c r="Y363" s="32"/>
      <c r="Z363" s="32"/>
    </row>
    <row r="364" spans="1:26" ht="17.25" customHeight="1">
      <c r="A364" s="3"/>
      <c r="B364" s="3"/>
      <c r="C364" s="3"/>
      <c r="D364" s="3"/>
      <c r="E364" s="3"/>
      <c r="F364" s="3"/>
      <c r="G364" s="3"/>
      <c r="H364" s="3"/>
      <c r="I364" s="3"/>
      <c r="J364" s="3"/>
      <c r="K364" s="3"/>
      <c r="L364" s="4"/>
      <c r="M364" s="32"/>
      <c r="N364" s="32"/>
      <c r="O364" s="32"/>
      <c r="P364" s="32"/>
      <c r="Q364" s="32"/>
      <c r="R364" s="32"/>
      <c r="S364" s="32"/>
      <c r="T364" s="32"/>
      <c r="U364" s="32"/>
      <c r="V364" s="32"/>
      <c r="W364" s="32"/>
      <c r="X364" s="32"/>
      <c r="Y364" s="32"/>
      <c r="Z364" s="32"/>
    </row>
    <row r="365" spans="1:26" ht="17.25" customHeight="1">
      <c r="A365" s="3"/>
      <c r="B365" s="3"/>
      <c r="C365" s="3"/>
      <c r="D365" s="3"/>
      <c r="E365" s="3"/>
      <c r="F365" s="3"/>
      <c r="G365" s="3"/>
      <c r="H365" s="3"/>
      <c r="I365" s="3"/>
      <c r="J365" s="3"/>
      <c r="K365" s="3"/>
      <c r="L365" s="4"/>
      <c r="M365" s="32"/>
      <c r="N365" s="32"/>
      <c r="O365" s="32"/>
      <c r="P365" s="32"/>
      <c r="Q365" s="32"/>
      <c r="R365" s="32"/>
      <c r="S365" s="32"/>
      <c r="T365" s="32"/>
      <c r="U365" s="32"/>
      <c r="V365" s="32"/>
      <c r="W365" s="32"/>
      <c r="X365" s="32"/>
      <c r="Y365" s="32"/>
      <c r="Z365" s="32"/>
    </row>
    <row r="366" spans="1:26" ht="17.25" customHeight="1">
      <c r="A366" s="3"/>
      <c r="B366" s="3"/>
      <c r="C366" s="3"/>
      <c r="D366" s="3"/>
      <c r="E366" s="3"/>
      <c r="F366" s="3"/>
      <c r="G366" s="3"/>
      <c r="H366" s="3"/>
      <c r="I366" s="3"/>
      <c r="J366" s="3"/>
      <c r="K366" s="3"/>
      <c r="L366" s="4"/>
      <c r="M366" s="32"/>
      <c r="N366" s="32"/>
      <c r="O366" s="32"/>
      <c r="P366" s="32"/>
      <c r="Q366" s="32"/>
      <c r="R366" s="32"/>
      <c r="S366" s="32"/>
      <c r="T366" s="32"/>
      <c r="U366" s="32"/>
      <c r="V366" s="32"/>
      <c r="W366" s="32"/>
      <c r="X366" s="32"/>
      <c r="Y366" s="32"/>
      <c r="Z366" s="32"/>
    </row>
    <row r="367" spans="1:26" ht="17.25" customHeight="1">
      <c r="A367" s="3"/>
      <c r="B367" s="3"/>
      <c r="C367" s="3"/>
      <c r="D367" s="3"/>
      <c r="E367" s="3"/>
      <c r="F367" s="3"/>
      <c r="G367" s="3"/>
      <c r="H367" s="3"/>
      <c r="I367" s="3"/>
      <c r="J367" s="3"/>
      <c r="K367" s="3"/>
      <c r="L367" s="4"/>
      <c r="M367" s="32"/>
      <c r="N367" s="32"/>
      <c r="O367" s="32"/>
      <c r="P367" s="32"/>
      <c r="Q367" s="32"/>
      <c r="R367" s="32"/>
      <c r="S367" s="32"/>
      <c r="T367" s="32"/>
      <c r="U367" s="32"/>
      <c r="V367" s="32"/>
      <c r="W367" s="32"/>
      <c r="X367" s="32"/>
      <c r="Y367" s="32"/>
      <c r="Z367" s="32"/>
    </row>
    <row r="368" spans="1:26" ht="17.25" customHeight="1">
      <c r="A368" s="3"/>
      <c r="B368" s="3"/>
      <c r="C368" s="3"/>
      <c r="D368" s="3"/>
      <c r="E368" s="3"/>
      <c r="F368" s="3"/>
      <c r="G368" s="3"/>
      <c r="H368" s="3"/>
      <c r="I368" s="3"/>
      <c r="J368" s="3"/>
      <c r="K368" s="3"/>
      <c r="L368" s="4"/>
      <c r="M368" s="32"/>
      <c r="N368" s="32"/>
      <c r="O368" s="32"/>
      <c r="P368" s="32"/>
      <c r="Q368" s="32"/>
      <c r="R368" s="32"/>
      <c r="S368" s="32"/>
      <c r="T368" s="32"/>
      <c r="U368" s="32"/>
      <c r="V368" s="32"/>
      <c r="W368" s="32"/>
      <c r="X368" s="32"/>
      <c r="Y368" s="32"/>
      <c r="Z368" s="32"/>
    </row>
    <row r="369" spans="1:26" ht="17.25" customHeight="1">
      <c r="A369" s="3"/>
      <c r="B369" s="3"/>
      <c r="C369" s="3"/>
      <c r="D369" s="3"/>
      <c r="E369" s="3"/>
      <c r="F369" s="3"/>
      <c r="G369" s="3"/>
      <c r="H369" s="3"/>
      <c r="I369" s="3"/>
      <c r="J369" s="3"/>
      <c r="K369" s="3"/>
      <c r="L369" s="4"/>
      <c r="M369" s="32"/>
      <c r="N369" s="32"/>
      <c r="O369" s="32"/>
      <c r="P369" s="32"/>
      <c r="Q369" s="32"/>
      <c r="R369" s="32"/>
      <c r="S369" s="32"/>
      <c r="T369" s="32"/>
      <c r="U369" s="32"/>
      <c r="V369" s="32"/>
      <c r="W369" s="32"/>
      <c r="X369" s="32"/>
      <c r="Y369" s="32"/>
      <c r="Z369" s="32"/>
    </row>
    <row r="370" spans="1:26" ht="17.25" customHeight="1">
      <c r="A370" s="3"/>
      <c r="B370" s="3"/>
      <c r="C370" s="3"/>
      <c r="D370" s="3"/>
      <c r="E370" s="3"/>
      <c r="F370" s="3"/>
      <c r="G370" s="3"/>
      <c r="H370" s="3"/>
      <c r="I370" s="3"/>
      <c r="J370" s="3"/>
      <c r="K370" s="3"/>
      <c r="L370" s="4"/>
      <c r="M370" s="32"/>
      <c r="N370" s="32"/>
      <c r="O370" s="32"/>
      <c r="P370" s="32"/>
      <c r="Q370" s="32"/>
      <c r="R370" s="32"/>
      <c r="S370" s="32"/>
      <c r="T370" s="32"/>
      <c r="U370" s="32"/>
      <c r="V370" s="32"/>
      <c r="W370" s="32"/>
      <c r="X370" s="32"/>
      <c r="Y370" s="32"/>
      <c r="Z370" s="32"/>
    </row>
    <row r="371" spans="1:26" ht="17.25" customHeight="1">
      <c r="A371" s="3"/>
      <c r="B371" s="3"/>
      <c r="C371" s="3"/>
      <c r="D371" s="3"/>
      <c r="E371" s="3"/>
      <c r="F371" s="3"/>
      <c r="G371" s="3"/>
      <c r="H371" s="3"/>
      <c r="I371" s="3"/>
      <c r="J371" s="3"/>
      <c r="K371" s="3"/>
      <c r="L371" s="4"/>
      <c r="M371" s="32"/>
      <c r="N371" s="32"/>
      <c r="O371" s="32"/>
      <c r="P371" s="32"/>
      <c r="Q371" s="32"/>
      <c r="R371" s="32"/>
      <c r="S371" s="32"/>
      <c r="T371" s="32"/>
      <c r="U371" s="32"/>
      <c r="V371" s="32"/>
      <c r="W371" s="32"/>
      <c r="X371" s="32"/>
      <c r="Y371" s="32"/>
      <c r="Z371" s="32"/>
    </row>
    <row r="372" spans="1:26" ht="17.25" customHeight="1">
      <c r="A372" s="3"/>
      <c r="B372" s="3"/>
      <c r="C372" s="3"/>
      <c r="D372" s="3"/>
      <c r="E372" s="3"/>
      <c r="F372" s="3"/>
      <c r="G372" s="3"/>
      <c r="H372" s="3"/>
      <c r="I372" s="3"/>
      <c r="J372" s="3"/>
      <c r="K372" s="3"/>
      <c r="L372" s="4"/>
      <c r="M372" s="32"/>
      <c r="N372" s="32"/>
      <c r="O372" s="32"/>
      <c r="P372" s="32"/>
      <c r="Q372" s="32"/>
      <c r="R372" s="32"/>
      <c r="S372" s="32"/>
      <c r="T372" s="32"/>
      <c r="U372" s="32"/>
      <c r="V372" s="32"/>
      <c r="W372" s="32"/>
      <c r="X372" s="32"/>
      <c r="Y372" s="32"/>
      <c r="Z372" s="32"/>
    </row>
    <row r="373" spans="1:26" ht="17.25" customHeight="1">
      <c r="A373" s="3"/>
      <c r="B373" s="3"/>
      <c r="C373" s="3"/>
      <c r="D373" s="3"/>
      <c r="E373" s="3"/>
      <c r="F373" s="3"/>
      <c r="G373" s="3"/>
      <c r="H373" s="3"/>
      <c r="I373" s="3"/>
      <c r="J373" s="3"/>
      <c r="K373" s="3"/>
      <c r="L373" s="4"/>
      <c r="M373" s="32"/>
      <c r="N373" s="32"/>
      <c r="O373" s="32"/>
      <c r="P373" s="32"/>
      <c r="Q373" s="32"/>
      <c r="R373" s="32"/>
      <c r="S373" s="32"/>
      <c r="T373" s="32"/>
      <c r="U373" s="32"/>
      <c r="V373" s="32"/>
      <c r="W373" s="32"/>
      <c r="X373" s="32"/>
      <c r="Y373" s="32"/>
      <c r="Z373" s="32"/>
    </row>
    <row r="374" spans="1:26" ht="17.25" customHeight="1">
      <c r="A374" s="3"/>
      <c r="B374" s="3"/>
      <c r="C374" s="3"/>
      <c r="D374" s="3"/>
      <c r="E374" s="3"/>
      <c r="F374" s="3"/>
      <c r="G374" s="3"/>
      <c r="H374" s="3"/>
      <c r="I374" s="3"/>
      <c r="J374" s="3"/>
      <c r="K374" s="3"/>
      <c r="L374" s="4"/>
      <c r="M374" s="32"/>
      <c r="N374" s="32"/>
      <c r="O374" s="32"/>
      <c r="P374" s="32"/>
      <c r="Q374" s="32"/>
      <c r="R374" s="32"/>
      <c r="S374" s="32"/>
      <c r="T374" s="32"/>
      <c r="U374" s="32"/>
      <c r="V374" s="32"/>
      <c r="W374" s="32"/>
      <c r="X374" s="32"/>
      <c r="Y374" s="32"/>
      <c r="Z374" s="32"/>
    </row>
    <row r="375" spans="1:26" ht="17.25" customHeight="1">
      <c r="A375" s="3"/>
      <c r="B375" s="3"/>
      <c r="C375" s="3"/>
      <c r="D375" s="3"/>
      <c r="E375" s="3"/>
      <c r="F375" s="3"/>
      <c r="G375" s="3"/>
      <c r="H375" s="3"/>
      <c r="I375" s="3"/>
      <c r="J375" s="3"/>
      <c r="K375" s="3"/>
      <c r="L375" s="4"/>
      <c r="M375" s="32"/>
      <c r="N375" s="32"/>
      <c r="O375" s="32"/>
      <c r="P375" s="32"/>
      <c r="Q375" s="32"/>
      <c r="R375" s="32"/>
      <c r="S375" s="32"/>
      <c r="T375" s="32"/>
      <c r="U375" s="32"/>
      <c r="V375" s="32"/>
      <c r="W375" s="32"/>
      <c r="X375" s="32"/>
      <c r="Y375" s="32"/>
      <c r="Z375" s="32"/>
    </row>
    <row r="376" spans="1:26" ht="17.25" customHeight="1">
      <c r="A376" s="3"/>
      <c r="B376" s="3"/>
      <c r="C376" s="3"/>
      <c r="D376" s="3"/>
      <c r="E376" s="3"/>
      <c r="F376" s="3"/>
      <c r="G376" s="3"/>
      <c r="H376" s="3"/>
      <c r="I376" s="3"/>
      <c r="J376" s="3"/>
      <c r="K376" s="3"/>
      <c r="L376" s="4"/>
      <c r="M376" s="32"/>
      <c r="N376" s="32"/>
      <c r="O376" s="32"/>
      <c r="P376" s="32"/>
      <c r="Q376" s="32"/>
      <c r="R376" s="32"/>
      <c r="S376" s="32"/>
      <c r="T376" s="32"/>
      <c r="U376" s="32"/>
      <c r="V376" s="32"/>
      <c r="W376" s="32"/>
      <c r="X376" s="32"/>
      <c r="Y376" s="32"/>
      <c r="Z376" s="32"/>
    </row>
    <row r="377" spans="1:26" ht="17.25" customHeight="1">
      <c r="A377" s="3"/>
      <c r="B377" s="3"/>
      <c r="C377" s="3"/>
      <c r="D377" s="3"/>
      <c r="E377" s="3"/>
      <c r="F377" s="3"/>
      <c r="G377" s="3"/>
      <c r="H377" s="3"/>
      <c r="I377" s="3"/>
      <c r="J377" s="3"/>
      <c r="K377" s="3"/>
      <c r="L377" s="4"/>
      <c r="M377" s="32"/>
      <c r="N377" s="32"/>
      <c r="O377" s="32"/>
      <c r="P377" s="32"/>
      <c r="Q377" s="32"/>
      <c r="R377" s="32"/>
      <c r="S377" s="32"/>
      <c r="T377" s="32"/>
      <c r="U377" s="32"/>
      <c r="V377" s="32"/>
      <c r="W377" s="32"/>
      <c r="X377" s="32"/>
      <c r="Y377" s="32"/>
      <c r="Z377" s="32"/>
    </row>
    <row r="378" spans="1:26" ht="17.25" customHeight="1">
      <c r="A378" s="3"/>
      <c r="B378" s="3"/>
      <c r="C378" s="3"/>
      <c r="D378" s="3"/>
      <c r="E378" s="3"/>
      <c r="F378" s="3"/>
      <c r="G378" s="3"/>
      <c r="H378" s="3"/>
      <c r="I378" s="3"/>
      <c r="J378" s="3"/>
      <c r="K378" s="3"/>
      <c r="L378" s="4"/>
      <c r="M378" s="32"/>
      <c r="N378" s="32"/>
      <c r="O378" s="32"/>
      <c r="P378" s="32"/>
      <c r="Q378" s="32"/>
      <c r="R378" s="32"/>
      <c r="S378" s="32"/>
      <c r="T378" s="32"/>
      <c r="U378" s="32"/>
      <c r="V378" s="32"/>
      <c r="W378" s="32"/>
      <c r="X378" s="32"/>
      <c r="Y378" s="32"/>
      <c r="Z378" s="32"/>
    </row>
    <row r="379" spans="1:26" ht="17.25" customHeight="1">
      <c r="A379" s="3"/>
      <c r="B379" s="3"/>
      <c r="C379" s="3"/>
      <c r="D379" s="3"/>
      <c r="E379" s="3"/>
      <c r="F379" s="3"/>
      <c r="G379" s="3"/>
      <c r="H379" s="3"/>
      <c r="I379" s="3"/>
      <c r="J379" s="3"/>
      <c r="K379" s="3"/>
      <c r="L379" s="4"/>
      <c r="M379" s="32"/>
      <c r="N379" s="32"/>
      <c r="O379" s="32"/>
      <c r="P379" s="32"/>
      <c r="Q379" s="32"/>
      <c r="R379" s="32"/>
      <c r="S379" s="32"/>
      <c r="T379" s="32"/>
      <c r="U379" s="32"/>
      <c r="V379" s="32"/>
      <c r="W379" s="32"/>
      <c r="X379" s="32"/>
      <c r="Y379" s="32"/>
      <c r="Z379" s="32"/>
    </row>
    <row r="380" spans="1:26" ht="17.25" customHeight="1">
      <c r="A380" s="3"/>
      <c r="B380" s="3"/>
      <c r="C380" s="3"/>
      <c r="D380" s="3"/>
      <c r="E380" s="3"/>
      <c r="F380" s="3"/>
      <c r="G380" s="3"/>
      <c r="H380" s="3"/>
      <c r="I380" s="3"/>
      <c r="J380" s="3"/>
      <c r="K380" s="3"/>
      <c r="L380" s="4"/>
      <c r="M380" s="32"/>
      <c r="N380" s="32"/>
      <c r="O380" s="32"/>
      <c r="P380" s="32"/>
      <c r="Q380" s="32"/>
      <c r="R380" s="32"/>
      <c r="S380" s="32"/>
      <c r="T380" s="32"/>
      <c r="U380" s="32"/>
      <c r="V380" s="32"/>
      <c r="W380" s="32"/>
      <c r="X380" s="32"/>
      <c r="Y380" s="32"/>
      <c r="Z380" s="32"/>
    </row>
    <row r="381" spans="1:26" ht="17.25" customHeight="1">
      <c r="A381" s="3"/>
      <c r="B381" s="3"/>
      <c r="C381" s="3"/>
      <c r="D381" s="3"/>
      <c r="E381" s="3"/>
      <c r="F381" s="3"/>
      <c r="G381" s="3"/>
      <c r="H381" s="3"/>
      <c r="I381" s="3"/>
      <c r="J381" s="3"/>
      <c r="K381" s="3"/>
      <c r="L381" s="4"/>
      <c r="M381" s="32"/>
      <c r="N381" s="32"/>
      <c r="O381" s="32"/>
      <c r="P381" s="32"/>
      <c r="Q381" s="32"/>
      <c r="R381" s="32"/>
      <c r="S381" s="32"/>
      <c r="T381" s="32"/>
      <c r="U381" s="32"/>
      <c r="V381" s="32"/>
      <c r="W381" s="32"/>
      <c r="X381" s="32"/>
      <c r="Y381" s="32"/>
      <c r="Z381" s="32"/>
    </row>
    <row r="382" spans="1:26" ht="17.25" customHeight="1">
      <c r="A382" s="3"/>
      <c r="B382" s="3"/>
      <c r="C382" s="3"/>
      <c r="D382" s="3"/>
      <c r="E382" s="3"/>
      <c r="F382" s="3"/>
      <c r="G382" s="3"/>
      <c r="H382" s="3"/>
      <c r="I382" s="3"/>
      <c r="J382" s="3"/>
      <c r="K382" s="3"/>
      <c r="L382" s="4"/>
      <c r="M382" s="32"/>
      <c r="N382" s="32"/>
      <c r="O382" s="32"/>
      <c r="P382" s="32"/>
      <c r="Q382" s="32"/>
      <c r="R382" s="32"/>
      <c r="S382" s="32"/>
      <c r="T382" s="32"/>
      <c r="U382" s="32"/>
      <c r="V382" s="32"/>
      <c r="W382" s="32"/>
      <c r="X382" s="32"/>
      <c r="Y382" s="32"/>
      <c r="Z382" s="32"/>
    </row>
    <row r="383" spans="1:26" ht="17.25" customHeight="1">
      <c r="A383" s="3"/>
      <c r="B383" s="3"/>
      <c r="C383" s="3"/>
      <c r="D383" s="3"/>
      <c r="E383" s="3"/>
      <c r="F383" s="3"/>
      <c r="G383" s="3"/>
      <c r="H383" s="3"/>
      <c r="I383" s="3"/>
      <c r="J383" s="3"/>
      <c r="K383" s="3"/>
      <c r="L383" s="4"/>
      <c r="M383" s="32"/>
      <c r="N383" s="32"/>
      <c r="O383" s="32"/>
      <c r="P383" s="32"/>
      <c r="Q383" s="32"/>
      <c r="R383" s="32"/>
      <c r="S383" s="32"/>
      <c r="T383" s="32"/>
      <c r="U383" s="32"/>
      <c r="V383" s="32"/>
      <c r="W383" s="32"/>
      <c r="X383" s="32"/>
      <c r="Y383" s="32"/>
      <c r="Z383" s="32"/>
    </row>
    <row r="384" spans="1:26" ht="17.25" customHeight="1">
      <c r="A384" s="3"/>
      <c r="B384" s="3"/>
      <c r="C384" s="3"/>
      <c r="D384" s="3"/>
      <c r="E384" s="3"/>
      <c r="F384" s="3"/>
      <c r="G384" s="3"/>
      <c r="H384" s="3"/>
      <c r="I384" s="3"/>
      <c r="J384" s="3"/>
      <c r="K384" s="3"/>
      <c r="L384" s="4"/>
      <c r="M384" s="32"/>
      <c r="N384" s="32"/>
      <c r="O384" s="32"/>
      <c r="P384" s="32"/>
      <c r="Q384" s="32"/>
      <c r="R384" s="32"/>
      <c r="S384" s="32"/>
      <c r="T384" s="32"/>
      <c r="U384" s="32"/>
      <c r="V384" s="32"/>
      <c r="W384" s="32"/>
      <c r="X384" s="32"/>
      <c r="Y384" s="32"/>
      <c r="Z384" s="32"/>
    </row>
    <row r="385" spans="1:26" ht="17.25" customHeight="1">
      <c r="A385" s="3"/>
      <c r="B385" s="3"/>
      <c r="C385" s="3"/>
      <c r="D385" s="3"/>
      <c r="E385" s="3"/>
      <c r="F385" s="3"/>
      <c r="G385" s="3"/>
      <c r="H385" s="3"/>
      <c r="I385" s="3"/>
      <c r="J385" s="3"/>
      <c r="K385" s="3"/>
      <c r="L385" s="4"/>
      <c r="M385" s="32"/>
      <c r="N385" s="32"/>
      <c r="O385" s="32"/>
      <c r="P385" s="32"/>
      <c r="Q385" s="32"/>
      <c r="R385" s="32"/>
      <c r="S385" s="32"/>
      <c r="T385" s="32"/>
      <c r="U385" s="32"/>
      <c r="V385" s="32"/>
      <c r="W385" s="32"/>
      <c r="X385" s="32"/>
      <c r="Y385" s="32"/>
      <c r="Z385" s="32"/>
    </row>
    <row r="386" spans="1:26" ht="17.25" customHeight="1">
      <c r="A386" s="3"/>
      <c r="B386" s="3"/>
      <c r="C386" s="3"/>
      <c r="D386" s="3"/>
      <c r="E386" s="3"/>
      <c r="F386" s="3"/>
      <c r="G386" s="3"/>
      <c r="H386" s="3"/>
      <c r="I386" s="3"/>
      <c r="J386" s="3"/>
      <c r="K386" s="3"/>
      <c r="L386" s="4"/>
      <c r="M386" s="32"/>
      <c r="N386" s="32"/>
      <c r="O386" s="32"/>
      <c r="P386" s="32"/>
      <c r="Q386" s="32"/>
      <c r="R386" s="32"/>
      <c r="S386" s="32"/>
      <c r="T386" s="32"/>
      <c r="U386" s="32"/>
      <c r="V386" s="32"/>
      <c r="W386" s="32"/>
      <c r="X386" s="32"/>
      <c r="Y386" s="32"/>
      <c r="Z386" s="32"/>
    </row>
    <row r="387" spans="1:26" ht="17.25" customHeight="1">
      <c r="A387" s="3"/>
      <c r="B387" s="3"/>
      <c r="C387" s="3"/>
      <c r="D387" s="3"/>
      <c r="E387" s="3"/>
      <c r="F387" s="3"/>
      <c r="G387" s="3"/>
      <c r="H387" s="3"/>
      <c r="I387" s="3"/>
      <c r="J387" s="3"/>
      <c r="K387" s="3"/>
      <c r="L387" s="4"/>
      <c r="M387" s="32"/>
      <c r="N387" s="32"/>
      <c r="O387" s="32"/>
      <c r="P387" s="32"/>
      <c r="Q387" s="32"/>
      <c r="R387" s="32"/>
      <c r="S387" s="32"/>
      <c r="T387" s="32"/>
      <c r="U387" s="32"/>
      <c r="V387" s="32"/>
      <c r="W387" s="32"/>
      <c r="X387" s="32"/>
      <c r="Y387" s="32"/>
      <c r="Z387" s="32"/>
    </row>
    <row r="388" spans="1:26" ht="17.25" customHeight="1">
      <c r="A388" s="3"/>
      <c r="B388" s="3"/>
      <c r="C388" s="3"/>
      <c r="D388" s="3"/>
      <c r="E388" s="3"/>
      <c r="F388" s="3"/>
      <c r="G388" s="3"/>
      <c r="H388" s="3"/>
      <c r="I388" s="3"/>
      <c r="J388" s="3"/>
      <c r="K388" s="3"/>
      <c r="L388" s="4"/>
      <c r="M388" s="32"/>
      <c r="N388" s="32"/>
      <c r="O388" s="32"/>
      <c r="P388" s="32"/>
      <c r="Q388" s="32"/>
      <c r="R388" s="32"/>
      <c r="S388" s="32"/>
      <c r="T388" s="32"/>
      <c r="U388" s="32"/>
      <c r="V388" s="32"/>
      <c r="W388" s="32"/>
      <c r="X388" s="32"/>
      <c r="Y388" s="32"/>
      <c r="Z388" s="32"/>
    </row>
    <row r="389" spans="1:26" ht="17.25" customHeight="1">
      <c r="A389" s="3"/>
      <c r="B389" s="3"/>
      <c r="C389" s="3"/>
      <c r="D389" s="3"/>
      <c r="E389" s="3"/>
      <c r="F389" s="3"/>
      <c r="G389" s="3"/>
      <c r="H389" s="3"/>
      <c r="I389" s="3"/>
      <c r="J389" s="3"/>
      <c r="K389" s="3"/>
      <c r="L389" s="4"/>
      <c r="M389" s="32"/>
      <c r="N389" s="32"/>
      <c r="O389" s="32"/>
      <c r="P389" s="32"/>
      <c r="Q389" s="32"/>
      <c r="R389" s="32"/>
      <c r="S389" s="32"/>
      <c r="T389" s="32"/>
      <c r="U389" s="32"/>
      <c r="V389" s="32"/>
      <c r="W389" s="32"/>
      <c r="X389" s="32"/>
      <c r="Y389" s="32"/>
      <c r="Z389" s="32"/>
    </row>
    <row r="390" spans="1:26" ht="17.25" customHeight="1">
      <c r="A390" s="3"/>
      <c r="B390" s="3"/>
      <c r="C390" s="3"/>
      <c r="D390" s="3"/>
      <c r="E390" s="3"/>
      <c r="F390" s="3"/>
      <c r="G390" s="3"/>
      <c r="H390" s="3"/>
      <c r="I390" s="3"/>
      <c r="J390" s="3"/>
      <c r="K390" s="3"/>
      <c r="L390" s="4"/>
      <c r="M390" s="32"/>
      <c r="N390" s="32"/>
      <c r="O390" s="32"/>
      <c r="P390" s="32"/>
      <c r="Q390" s="32"/>
      <c r="R390" s="32"/>
      <c r="S390" s="32"/>
      <c r="T390" s="32"/>
      <c r="U390" s="32"/>
      <c r="V390" s="32"/>
      <c r="W390" s="32"/>
      <c r="X390" s="32"/>
      <c r="Y390" s="32"/>
      <c r="Z390" s="32"/>
    </row>
    <row r="391" spans="1:26" ht="17.25" customHeight="1">
      <c r="A391" s="3"/>
      <c r="B391" s="3"/>
      <c r="C391" s="3"/>
      <c r="D391" s="3"/>
      <c r="E391" s="3"/>
      <c r="F391" s="3"/>
      <c r="G391" s="3"/>
      <c r="H391" s="3"/>
      <c r="I391" s="3"/>
      <c r="J391" s="3"/>
      <c r="K391" s="3"/>
      <c r="L391" s="4"/>
      <c r="M391" s="32"/>
      <c r="N391" s="32"/>
      <c r="O391" s="32"/>
      <c r="P391" s="32"/>
      <c r="Q391" s="32"/>
      <c r="R391" s="32"/>
      <c r="S391" s="32"/>
      <c r="T391" s="32"/>
      <c r="U391" s="32"/>
      <c r="V391" s="32"/>
      <c r="W391" s="32"/>
      <c r="X391" s="32"/>
      <c r="Y391" s="32"/>
      <c r="Z391" s="32"/>
    </row>
    <row r="392" spans="1:26" ht="17.25" customHeight="1">
      <c r="A392" s="3"/>
      <c r="B392" s="3"/>
      <c r="C392" s="3"/>
      <c r="D392" s="3"/>
      <c r="E392" s="3"/>
      <c r="F392" s="3"/>
      <c r="G392" s="3"/>
      <c r="H392" s="3"/>
      <c r="I392" s="3"/>
      <c r="J392" s="3"/>
      <c r="K392" s="3"/>
      <c r="L392" s="4"/>
      <c r="M392" s="32"/>
      <c r="N392" s="32"/>
      <c r="O392" s="32"/>
      <c r="P392" s="32"/>
      <c r="Q392" s="32"/>
      <c r="R392" s="32"/>
      <c r="S392" s="32"/>
      <c r="T392" s="32"/>
      <c r="U392" s="32"/>
      <c r="V392" s="32"/>
      <c r="W392" s="32"/>
      <c r="X392" s="32"/>
      <c r="Y392" s="32"/>
      <c r="Z392" s="32"/>
    </row>
    <row r="393" spans="1:26" ht="17.25" customHeight="1">
      <c r="A393" s="3"/>
      <c r="B393" s="3"/>
      <c r="C393" s="3"/>
      <c r="D393" s="3"/>
      <c r="E393" s="3"/>
      <c r="F393" s="3"/>
      <c r="G393" s="3"/>
      <c r="H393" s="3"/>
      <c r="I393" s="3"/>
      <c r="J393" s="3"/>
      <c r="K393" s="3"/>
      <c r="L393" s="4"/>
      <c r="M393" s="32"/>
      <c r="N393" s="32"/>
      <c r="O393" s="32"/>
      <c r="P393" s="32"/>
      <c r="Q393" s="32"/>
      <c r="R393" s="32"/>
      <c r="S393" s="32"/>
      <c r="T393" s="32"/>
      <c r="U393" s="32"/>
      <c r="V393" s="32"/>
      <c r="W393" s="32"/>
      <c r="X393" s="32"/>
      <c r="Y393" s="32"/>
      <c r="Z393" s="32"/>
    </row>
    <row r="394" spans="1:26" ht="17.25" customHeight="1">
      <c r="A394" s="3"/>
      <c r="B394" s="3"/>
      <c r="C394" s="3"/>
      <c r="D394" s="3"/>
      <c r="E394" s="3"/>
      <c r="F394" s="3"/>
      <c r="G394" s="3"/>
      <c r="H394" s="3"/>
      <c r="I394" s="3"/>
      <c r="J394" s="3"/>
      <c r="K394" s="3"/>
      <c r="L394" s="4"/>
      <c r="M394" s="32"/>
      <c r="N394" s="32"/>
      <c r="O394" s="32"/>
      <c r="P394" s="32"/>
      <c r="Q394" s="32"/>
      <c r="R394" s="32"/>
      <c r="S394" s="32"/>
      <c r="T394" s="32"/>
      <c r="U394" s="32"/>
      <c r="V394" s="32"/>
      <c r="W394" s="32"/>
      <c r="X394" s="32"/>
      <c r="Y394" s="32"/>
      <c r="Z394" s="32"/>
    </row>
    <row r="395" spans="1:26" ht="17.25" customHeight="1">
      <c r="A395" s="3"/>
      <c r="B395" s="3"/>
      <c r="C395" s="3"/>
      <c r="D395" s="3"/>
      <c r="E395" s="3"/>
      <c r="F395" s="3"/>
      <c r="G395" s="3"/>
      <c r="H395" s="3"/>
      <c r="I395" s="3"/>
      <c r="J395" s="3"/>
      <c r="K395" s="3"/>
      <c r="L395" s="4"/>
      <c r="M395" s="32"/>
      <c r="N395" s="32"/>
      <c r="O395" s="32"/>
      <c r="P395" s="32"/>
      <c r="Q395" s="32"/>
      <c r="R395" s="32"/>
      <c r="S395" s="32"/>
      <c r="T395" s="32"/>
      <c r="U395" s="32"/>
      <c r="V395" s="32"/>
      <c r="W395" s="32"/>
      <c r="X395" s="32"/>
      <c r="Y395" s="32"/>
      <c r="Z395" s="32"/>
    </row>
    <row r="396" spans="1:26" ht="17.25" customHeight="1">
      <c r="A396" s="3"/>
      <c r="B396" s="3"/>
      <c r="C396" s="3"/>
      <c r="D396" s="3"/>
      <c r="E396" s="3"/>
      <c r="F396" s="3"/>
      <c r="G396" s="3"/>
      <c r="H396" s="3"/>
      <c r="I396" s="3"/>
      <c r="J396" s="3"/>
      <c r="K396" s="3"/>
      <c r="L396" s="4"/>
      <c r="M396" s="32"/>
      <c r="N396" s="32"/>
      <c r="O396" s="32"/>
      <c r="P396" s="32"/>
      <c r="Q396" s="32"/>
      <c r="R396" s="32"/>
      <c r="S396" s="32"/>
      <c r="T396" s="32"/>
      <c r="U396" s="32"/>
      <c r="V396" s="32"/>
      <c r="W396" s="32"/>
      <c r="X396" s="32"/>
      <c r="Y396" s="32"/>
      <c r="Z396" s="32"/>
    </row>
    <row r="397" spans="1:26" ht="17.25" customHeight="1">
      <c r="A397" s="3"/>
      <c r="B397" s="3"/>
      <c r="C397" s="3"/>
      <c r="D397" s="3"/>
      <c r="E397" s="3"/>
      <c r="F397" s="3"/>
      <c r="G397" s="3"/>
      <c r="H397" s="3"/>
      <c r="I397" s="3"/>
      <c r="J397" s="3"/>
      <c r="K397" s="3"/>
      <c r="L397" s="4"/>
      <c r="M397" s="32"/>
      <c r="N397" s="32"/>
      <c r="O397" s="32"/>
      <c r="P397" s="32"/>
      <c r="Q397" s="32"/>
      <c r="R397" s="32"/>
      <c r="S397" s="32"/>
      <c r="T397" s="32"/>
      <c r="U397" s="32"/>
      <c r="V397" s="32"/>
      <c r="W397" s="32"/>
      <c r="X397" s="32"/>
      <c r="Y397" s="32"/>
      <c r="Z397" s="32"/>
    </row>
    <row r="398" spans="1:26" ht="17.25" customHeight="1">
      <c r="A398" s="3"/>
      <c r="B398" s="3"/>
      <c r="C398" s="3"/>
      <c r="D398" s="3"/>
      <c r="E398" s="3"/>
      <c r="F398" s="3"/>
      <c r="G398" s="3"/>
      <c r="H398" s="3"/>
      <c r="I398" s="3"/>
      <c r="J398" s="3"/>
      <c r="K398" s="3"/>
      <c r="L398" s="4"/>
      <c r="M398" s="32"/>
      <c r="N398" s="32"/>
      <c r="O398" s="32"/>
      <c r="P398" s="32"/>
      <c r="Q398" s="32"/>
      <c r="R398" s="32"/>
      <c r="S398" s="32"/>
      <c r="T398" s="32"/>
      <c r="U398" s="32"/>
      <c r="V398" s="32"/>
      <c r="W398" s="32"/>
      <c r="X398" s="32"/>
      <c r="Y398" s="32"/>
      <c r="Z398" s="32"/>
    </row>
    <row r="399" spans="1:26" ht="17.25" customHeight="1">
      <c r="A399" s="3"/>
      <c r="B399" s="3"/>
      <c r="C399" s="3"/>
      <c r="D399" s="3"/>
      <c r="E399" s="3"/>
      <c r="F399" s="3"/>
      <c r="G399" s="3"/>
      <c r="H399" s="3"/>
      <c r="I399" s="3"/>
      <c r="J399" s="3"/>
      <c r="K399" s="3"/>
      <c r="L399" s="4"/>
      <c r="M399" s="32"/>
      <c r="N399" s="32"/>
      <c r="O399" s="32"/>
      <c r="P399" s="32"/>
      <c r="Q399" s="32"/>
      <c r="R399" s="32"/>
      <c r="S399" s="32"/>
      <c r="T399" s="32"/>
      <c r="U399" s="32"/>
      <c r="V399" s="32"/>
      <c r="W399" s="32"/>
      <c r="X399" s="32"/>
      <c r="Y399" s="32"/>
      <c r="Z399" s="32"/>
    </row>
    <row r="400" spans="1:26" ht="17.25" customHeight="1">
      <c r="A400" s="3"/>
      <c r="B400" s="3"/>
      <c r="C400" s="3"/>
      <c r="D400" s="3"/>
      <c r="E400" s="3"/>
      <c r="F400" s="3"/>
      <c r="G400" s="3"/>
      <c r="H400" s="3"/>
      <c r="I400" s="3"/>
      <c r="J400" s="3"/>
      <c r="K400" s="3"/>
      <c r="L400" s="4"/>
      <c r="M400" s="32"/>
      <c r="N400" s="32"/>
      <c r="O400" s="32"/>
      <c r="P400" s="32"/>
      <c r="Q400" s="32"/>
      <c r="R400" s="32"/>
      <c r="S400" s="32"/>
      <c r="T400" s="32"/>
      <c r="U400" s="32"/>
      <c r="V400" s="32"/>
      <c r="W400" s="32"/>
      <c r="X400" s="32"/>
      <c r="Y400" s="32"/>
      <c r="Z400" s="32"/>
    </row>
    <row r="401" spans="1:26" ht="17.25" customHeight="1">
      <c r="A401" s="3"/>
      <c r="B401" s="3"/>
      <c r="C401" s="3"/>
      <c r="D401" s="3"/>
      <c r="E401" s="3"/>
      <c r="F401" s="3"/>
      <c r="G401" s="3"/>
      <c r="H401" s="3"/>
      <c r="I401" s="3"/>
      <c r="J401" s="3"/>
      <c r="K401" s="3"/>
      <c r="L401" s="4"/>
      <c r="M401" s="32"/>
      <c r="N401" s="32"/>
      <c r="O401" s="32"/>
      <c r="P401" s="32"/>
      <c r="Q401" s="32"/>
      <c r="R401" s="32"/>
      <c r="S401" s="32"/>
      <c r="T401" s="32"/>
      <c r="U401" s="32"/>
      <c r="V401" s="32"/>
      <c r="W401" s="32"/>
      <c r="X401" s="32"/>
      <c r="Y401" s="32"/>
      <c r="Z401" s="32"/>
    </row>
    <row r="402" spans="1:26" ht="17.25" customHeight="1">
      <c r="A402" s="3"/>
      <c r="B402" s="3"/>
      <c r="C402" s="3"/>
      <c r="D402" s="3"/>
      <c r="E402" s="3"/>
      <c r="F402" s="3"/>
      <c r="G402" s="3"/>
      <c r="H402" s="3"/>
      <c r="I402" s="3"/>
      <c r="J402" s="3"/>
      <c r="K402" s="3"/>
      <c r="L402" s="4"/>
      <c r="M402" s="32"/>
      <c r="N402" s="32"/>
      <c r="O402" s="32"/>
      <c r="P402" s="32"/>
      <c r="Q402" s="32"/>
      <c r="R402" s="32"/>
      <c r="S402" s="32"/>
      <c r="T402" s="32"/>
      <c r="U402" s="32"/>
      <c r="V402" s="32"/>
      <c r="W402" s="32"/>
      <c r="X402" s="32"/>
      <c r="Y402" s="32"/>
      <c r="Z402" s="32"/>
    </row>
    <row r="403" spans="1:26" ht="17.25" customHeight="1">
      <c r="A403" s="3"/>
      <c r="B403" s="3"/>
      <c r="C403" s="3"/>
      <c r="D403" s="3"/>
      <c r="E403" s="3"/>
      <c r="F403" s="3"/>
      <c r="G403" s="3"/>
      <c r="H403" s="3"/>
      <c r="I403" s="3"/>
      <c r="J403" s="3"/>
      <c r="K403" s="3"/>
      <c r="L403" s="4"/>
      <c r="M403" s="32"/>
      <c r="N403" s="32"/>
      <c r="O403" s="32"/>
      <c r="P403" s="32"/>
      <c r="Q403" s="32"/>
      <c r="R403" s="32"/>
      <c r="S403" s="32"/>
      <c r="T403" s="32"/>
      <c r="U403" s="32"/>
      <c r="V403" s="32"/>
      <c r="W403" s="32"/>
      <c r="X403" s="32"/>
      <c r="Y403" s="32"/>
      <c r="Z403" s="32"/>
    </row>
    <row r="404" spans="1:26" ht="17.25" customHeight="1">
      <c r="A404" s="3"/>
      <c r="B404" s="3"/>
      <c r="C404" s="3"/>
      <c r="D404" s="3"/>
      <c r="E404" s="3"/>
      <c r="F404" s="3"/>
      <c r="G404" s="3"/>
      <c r="H404" s="3"/>
      <c r="I404" s="3"/>
      <c r="J404" s="3"/>
      <c r="K404" s="3"/>
      <c r="L404" s="4"/>
      <c r="M404" s="32"/>
      <c r="N404" s="32"/>
      <c r="O404" s="32"/>
      <c r="P404" s="32"/>
      <c r="Q404" s="32"/>
      <c r="R404" s="32"/>
      <c r="S404" s="32"/>
      <c r="T404" s="32"/>
      <c r="U404" s="32"/>
      <c r="V404" s="32"/>
      <c r="W404" s="32"/>
      <c r="X404" s="32"/>
      <c r="Y404" s="32"/>
      <c r="Z404" s="32"/>
    </row>
    <row r="405" spans="1:26" ht="17.25" customHeight="1">
      <c r="A405" s="3"/>
      <c r="B405" s="3"/>
      <c r="C405" s="3"/>
      <c r="D405" s="3"/>
      <c r="E405" s="3"/>
      <c r="F405" s="3"/>
      <c r="G405" s="3"/>
      <c r="H405" s="3"/>
      <c r="I405" s="3"/>
      <c r="J405" s="3"/>
      <c r="K405" s="3"/>
      <c r="L405" s="4"/>
      <c r="M405" s="32"/>
      <c r="N405" s="32"/>
      <c r="O405" s="32"/>
      <c r="P405" s="32"/>
      <c r="Q405" s="32"/>
      <c r="R405" s="32"/>
      <c r="S405" s="32"/>
      <c r="T405" s="32"/>
      <c r="U405" s="32"/>
      <c r="V405" s="32"/>
      <c r="W405" s="32"/>
      <c r="X405" s="32"/>
      <c r="Y405" s="32"/>
      <c r="Z405" s="32"/>
    </row>
    <row r="406" spans="1:26" ht="17.25" customHeight="1">
      <c r="A406" s="3"/>
      <c r="B406" s="3"/>
      <c r="C406" s="3"/>
      <c r="D406" s="3"/>
      <c r="E406" s="3"/>
      <c r="F406" s="3"/>
      <c r="G406" s="3"/>
      <c r="H406" s="3"/>
      <c r="I406" s="3"/>
      <c r="J406" s="3"/>
      <c r="K406" s="3"/>
      <c r="L406" s="4"/>
      <c r="M406" s="32"/>
      <c r="N406" s="32"/>
      <c r="O406" s="32"/>
      <c r="P406" s="32"/>
      <c r="Q406" s="32"/>
      <c r="R406" s="32"/>
      <c r="S406" s="32"/>
      <c r="T406" s="32"/>
      <c r="U406" s="32"/>
      <c r="V406" s="32"/>
      <c r="W406" s="32"/>
      <c r="X406" s="32"/>
      <c r="Y406" s="32"/>
      <c r="Z406" s="32"/>
    </row>
    <row r="407" spans="1:26" ht="17.25" customHeight="1">
      <c r="A407" s="3"/>
      <c r="B407" s="3"/>
      <c r="C407" s="3"/>
      <c r="D407" s="3"/>
      <c r="E407" s="3"/>
      <c r="F407" s="3"/>
      <c r="G407" s="3"/>
      <c r="H407" s="3"/>
      <c r="I407" s="3"/>
      <c r="J407" s="3"/>
      <c r="K407" s="3"/>
      <c r="L407" s="4"/>
      <c r="M407" s="32"/>
      <c r="N407" s="32"/>
      <c r="O407" s="32"/>
      <c r="P407" s="32"/>
      <c r="Q407" s="32"/>
      <c r="R407" s="32"/>
      <c r="S407" s="32"/>
      <c r="T407" s="32"/>
      <c r="U407" s="32"/>
      <c r="V407" s="32"/>
      <c r="W407" s="32"/>
      <c r="X407" s="32"/>
      <c r="Y407" s="32"/>
      <c r="Z407" s="32"/>
    </row>
    <row r="408" spans="1:26" ht="17.25" customHeight="1">
      <c r="A408" s="3"/>
      <c r="B408" s="3"/>
      <c r="C408" s="3"/>
      <c r="D408" s="3"/>
      <c r="E408" s="3"/>
      <c r="F408" s="3"/>
      <c r="G408" s="3"/>
      <c r="H408" s="3"/>
      <c r="I408" s="3"/>
      <c r="J408" s="3"/>
      <c r="K408" s="3"/>
      <c r="L408" s="4"/>
      <c r="M408" s="32"/>
      <c r="N408" s="32"/>
      <c r="O408" s="32"/>
      <c r="P408" s="32"/>
      <c r="Q408" s="32"/>
      <c r="R408" s="32"/>
      <c r="S408" s="32"/>
      <c r="T408" s="32"/>
      <c r="U408" s="32"/>
      <c r="V408" s="32"/>
      <c r="W408" s="32"/>
      <c r="X408" s="32"/>
      <c r="Y408" s="32"/>
      <c r="Z408" s="32"/>
    </row>
    <row r="409" spans="1:26" ht="17.25" customHeight="1">
      <c r="A409" s="3"/>
      <c r="B409" s="3"/>
      <c r="C409" s="3"/>
      <c r="D409" s="3"/>
      <c r="E409" s="3"/>
      <c r="F409" s="3"/>
      <c r="G409" s="3"/>
      <c r="H409" s="3"/>
      <c r="I409" s="3"/>
      <c r="J409" s="3"/>
      <c r="K409" s="3"/>
      <c r="L409" s="4"/>
      <c r="M409" s="32"/>
      <c r="N409" s="32"/>
      <c r="O409" s="32"/>
      <c r="P409" s="32"/>
      <c r="Q409" s="32"/>
      <c r="R409" s="32"/>
      <c r="S409" s="32"/>
      <c r="T409" s="32"/>
      <c r="U409" s="32"/>
      <c r="V409" s="32"/>
      <c r="W409" s="32"/>
      <c r="X409" s="32"/>
      <c r="Y409" s="32"/>
      <c r="Z409" s="32"/>
    </row>
    <row r="410" spans="1:26" ht="17.25" customHeight="1">
      <c r="A410" s="3"/>
      <c r="B410" s="3"/>
      <c r="C410" s="3"/>
      <c r="D410" s="3"/>
      <c r="E410" s="3"/>
      <c r="F410" s="3"/>
      <c r="G410" s="3"/>
      <c r="H410" s="3"/>
      <c r="I410" s="3"/>
      <c r="J410" s="3"/>
      <c r="K410" s="3"/>
      <c r="L410" s="4"/>
      <c r="M410" s="32"/>
      <c r="N410" s="32"/>
      <c r="O410" s="32"/>
      <c r="P410" s="32"/>
      <c r="Q410" s="32"/>
      <c r="R410" s="32"/>
      <c r="S410" s="32"/>
      <c r="T410" s="32"/>
      <c r="U410" s="32"/>
      <c r="V410" s="32"/>
      <c r="W410" s="32"/>
      <c r="X410" s="32"/>
      <c r="Y410" s="32"/>
      <c r="Z410" s="32"/>
    </row>
    <row r="411" spans="1:26" ht="17.25" customHeight="1">
      <c r="A411" s="3"/>
      <c r="B411" s="3"/>
      <c r="C411" s="3"/>
      <c r="D411" s="3"/>
      <c r="E411" s="3"/>
      <c r="F411" s="3"/>
      <c r="G411" s="3"/>
      <c r="H411" s="3"/>
      <c r="I411" s="3"/>
      <c r="J411" s="3"/>
      <c r="K411" s="3"/>
      <c r="L411" s="4"/>
      <c r="M411" s="32"/>
      <c r="N411" s="32"/>
      <c r="O411" s="32"/>
      <c r="P411" s="32"/>
      <c r="Q411" s="32"/>
      <c r="R411" s="32"/>
      <c r="S411" s="32"/>
      <c r="T411" s="32"/>
      <c r="U411" s="32"/>
      <c r="V411" s="32"/>
      <c r="W411" s="32"/>
      <c r="X411" s="32"/>
      <c r="Y411" s="32"/>
      <c r="Z411" s="32"/>
    </row>
    <row r="412" spans="1:26" ht="17.25" customHeight="1">
      <c r="A412" s="3"/>
      <c r="B412" s="3"/>
      <c r="C412" s="3"/>
      <c r="D412" s="3"/>
      <c r="E412" s="3"/>
      <c r="F412" s="3"/>
      <c r="G412" s="3"/>
      <c r="H412" s="3"/>
      <c r="I412" s="3"/>
      <c r="J412" s="3"/>
      <c r="K412" s="3"/>
      <c r="L412" s="4"/>
      <c r="M412" s="32"/>
      <c r="N412" s="32"/>
      <c r="O412" s="32"/>
      <c r="P412" s="32"/>
      <c r="Q412" s="32"/>
      <c r="R412" s="32"/>
      <c r="S412" s="32"/>
      <c r="T412" s="32"/>
      <c r="U412" s="32"/>
      <c r="V412" s="32"/>
      <c r="W412" s="32"/>
      <c r="X412" s="32"/>
      <c r="Y412" s="32"/>
      <c r="Z412" s="32"/>
    </row>
    <row r="413" spans="1:26" ht="17.25" customHeight="1">
      <c r="A413" s="3"/>
      <c r="B413" s="3"/>
      <c r="C413" s="3"/>
      <c r="D413" s="3"/>
      <c r="E413" s="3"/>
      <c r="F413" s="3"/>
      <c r="G413" s="3"/>
      <c r="H413" s="3"/>
      <c r="I413" s="3"/>
      <c r="J413" s="3"/>
      <c r="K413" s="3"/>
      <c r="L413" s="4"/>
      <c r="M413" s="32"/>
      <c r="N413" s="32"/>
      <c r="O413" s="32"/>
      <c r="P413" s="32"/>
      <c r="Q413" s="32"/>
      <c r="R413" s="32"/>
      <c r="S413" s="32"/>
      <c r="T413" s="32"/>
      <c r="U413" s="32"/>
      <c r="V413" s="32"/>
      <c r="W413" s="32"/>
      <c r="X413" s="32"/>
      <c r="Y413" s="32"/>
      <c r="Z413" s="32"/>
    </row>
    <row r="414" spans="1:26" ht="17.25" customHeight="1">
      <c r="A414" s="3"/>
      <c r="B414" s="3"/>
      <c r="C414" s="3"/>
      <c r="D414" s="3"/>
      <c r="E414" s="3"/>
      <c r="F414" s="3"/>
      <c r="G414" s="3"/>
      <c r="H414" s="3"/>
      <c r="I414" s="3"/>
      <c r="J414" s="3"/>
      <c r="K414" s="3"/>
      <c r="L414" s="4"/>
      <c r="M414" s="32"/>
      <c r="N414" s="32"/>
      <c r="O414" s="32"/>
      <c r="P414" s="32"/>
      <c r="Q414" s="32"/>
      <c r="R414" s="32"/>
      <c r="S414" s="32"/>
      <c r="T414" s="32"/>
      <c r="U414" s="32"/>
      <c r="V414" s="32"/>
      <c r="W414" s="32"/>
      <c r="X414" s="32"/>
      <c r="Y414" s="32"/>
      <c r="Z414" s="32"/>
    </row>
    <row r="415" spans="1:26" ht="17.25" customHeight="1">
      <c r="A415" s="3"/>
      <c r="B415" s="3"/>
      <c r="C415" s="3"/>
      <c r="D415" s="3"/>
      <c r="E415" s="3"/>
      <c r="F415" s="3"/>
      <c r="G415" s="3"/>
      <c r="H415" s="3"/>
      <c r="I415" s="3"/>
      <c r="J415" s="3"/>
      <c r="K415" s="3"/>
      <c r="L415" s="4"/>
      <c r="M415" s="32"/>
      <c r="N415" s="32"/>
      <c r="O415" s="32"/>
      <c r="P415" s="32"/>
      <c r="Q415" s="32"/>
      <c r="R415" s="32"/>
      <c r="S415" s="32"/>
      <c r="T415" s="32"/>
      <c r="U415" s="32"/>
      <c r="V415" s="32"/>
      <c r="W415" s="32"/>
      <c r="X415" s="32"/>
      <c r="Y415" s="32"/>
      <c r="Z415" s="32"/>
    </row>
    <row r="416" spans="1:26" ht="17.25" customHeight="1">
      <c r="A416" s="3"/>
      <c r="B416" s="3"/>
      <c r="C416" s="3"/>
      <c r="D416" s="3"/>
      <c r="E416" s="3"/>
      <c r="F416" s="3"/>
      <c r="G416" s="3"/>
      <c r="H416" s="3"/>
      <c r="I416" s="3"/>
      <c r="J416" s="3"/>
      <c r="K416" s="3"/>
      <c r="L416" s="4"/>
      <c r="M416" s="32"/>
      <c r="N416" s="32"/>
      <c r="O416" s="32"/>
      <c r="P416" s="32"/>
      <c r="Q416" s="32"/>
      <c r="R416" s="32"/>
      <c r="S416" s="32"/>
      <c r="T416" s="32"/>
      <c r="U416" s="32"/>
      <c r="V416" s="32"/>
      <c r="W416" s="32"/>
      <c r="X416" s="32"/>
      <c r="Y416" s="32"/>
      <c r="Z416" s="32"/>
    </row>
    <row r="417" spans="1:26" ht="17.25" customHeight="1">
      <c r="A417" s="3"/>
      <c r="B417" s="3"/>
      <c r="C417" s="3"/>
      <c r="D417" s="3"/>
      <c r="E417" s="3"/>
      <c r="F417" s="3"/>
      <c r="G417" s="3"/>
      <c r="H417" s="3"/>
      <c r="I417" s="3"/>
      <c r="J417" s="3"/>
      <c r="K417" s="3"/>
      <c r="L417" s="4"/>
      <c r="M417" s="32"/>
      <c r="N417" s="32"/>
      <c r="O417" s="32"/>
      <c r="P417" s="32"/>
      <c r="Q417" s="32"/>
      <c r="R417" s="32"/>
      <c r="S417" s="32"/>
      <c r="T417" s="32"/>
      <c r="U417" s="32"/>
      <c r="V417" s="32"/>
      <c r="W417" s="32"/>
      <c r="X417" s="32"/>
      <c r="Y417" s="32"/>
      <c r="Z417" s="32"/>
    </row>
    <row r="418" spans="1:26" ht="17.25" customHeight="1">
      <c r="A418" s="3"/>
      <c r="B418" s="3"/>
      <c r="C418" s="3"/>
      <c r="D418" s="3"/>
      <c r="E418" s="3"/>
      <c r="F418" s="3"/>
      <c r="G418" s="3"/>
      <c r="H418" s="3"/>
      <c r="I418" s="3"/>
      <c r="J418" s="3"/>
      <c r="K418" s="3"/>
      <c r="L418" s="4"/>
      <c r="M418" s="32"/>
      <c r="N418" s="32"/>
      <c r="O418" s="32"/>
      <c r="P418" s="32"/>
      <c r="Q418" s="32"/>
      <c r="R418" s="32"/>
      <c r="S418" s="32"/>
      <c r="T418" s="32"/>
      <c r="U418" s="32"/>
      <c r="V418" s="32"/>
      <c r="W418" s="32"/>
      <c r="X418" s="32"/>
      <c r="Y418" s="32"/>
      <c r="Z418" s="32"/>
    </row>
    <row r="419" spans="1:26" ht="17.25" customHeight="1">
      <c r="A419" s="3"/>
      <c r="B419" s="3"/>
      <c r="C419" s="3"/>
      <c r="D419" s="3"/>
      <c r="E419" s="3"/>
      <c r="F419" s="3"/>
      <c r="G419" s="3"/>
      <c r="H419" s="3"/>
      <c r="I419" s="3"/>
      <c r="J419" s="3"/>
      <c r="K419" s="3"/>
      <c r="L419" s="4"/>
      <c r="M419" s="32"/>
      <c r="N419" s="32"/>
      <c r="O419" s="32"/>
      <c r="P419" s="32"/>
      <c r="Q419" s="32"/>
      <c r="R419" s="32"/>
      <c r="S419" s="32"/>
      <c r="T419" s="32"/>
      <c r="U419" s="32"/>
      <c r="V419" s="32"/>
      <c r="W419" s="32"/>
      <c r="X419" s="32"/>
      <c r="Y419" s="32"/>
      <c r="Z419" s="32"/>
    </row>
    <row r="420" spans="1:26" ht="17.25" customHeight="1">
      <c r="A420" s="3"/>
      <c r="B420" s="3"/>
      <c r="C420" s="3"/>
      <c r="D420" s="3"/>
      <c r="E420" s="3"/>
      <c r="F420" s="3"/>
      <c r="G420" s="3"/>
      <c r="H420" s="3"/>
      <c r="I420" s="3"/>
      <c r="J420" s="3"/>
      <c r="K420" s="3"/>
      <c r="L420" s="4"/>
      <c r="M420" s="32"/>
      <c r="N420" s="32"/>
      <c r="O420" s="32"/>
      <c r="P420" s="32"/>
      <c r="Q420" s="32"/>
      <c r="R420" s="32"/>
      <c r="S420" s="32"/>
      <c r="T420" s="32"/>
      <c r="U420" s="32"/>
      <c r="V420" s="32"/>
      <c r="W420" s="32"/>
      <c r="X420" s="32"/>
      <c r="Y420" s="32"/>
      <c r="Z420" s="32"/>
    </row>
    <row r="421" spans="1:26" ht="17.25" customHeight="1">
      <c r="A421" s="3"/>
      <c r="B421" s="3"/>
      <c r="C421" s="3"/>
      <c r="D421" s="3"/>
      <c r="E421" s="3"/>
      <c r="F421" s="3"/>
      <c r="G421" s="3"/>
      <c r="H421" s="3"/>
      <c r="I421" s="3"/>
      <c r="J421" s="3"/>
      <c r="K421" s="3"/>
      <c r="L421" s="4"/>
      <c r="M421" s="32"/>
      <c r="N421" s="32"/>
      <c r="O421" s="32"/>
      <c r="P421" s="32"/>
      <c r="Q421" s="32"/>
      <c r="R421" s="32"/>
      <c r="S421" s="32"/>
      <c r="T421" s="32"/>
      <c r="U421" s="32"/>
      <c r="V421" s="32"/>
      <c r="W421" s="32"/>
      <c r="X421" s="32"/>
      <c r="Y421" s="32"/>
      <c r="Z421" s="32"/>
    </row>
    <row r="422" spans="1:26" ht="17.25" customHeight="1">
      <c r="A422" s="3"/>
      <c r="B422" s="3"/>
      <c r="C422" s="3"/>
      <c r="D422" s="3"/>
      <c r="E422" s="3"/>
      <c r="F422" s="3"/>
      <c r="G422" s="3"/>
      <c r="H422" s="3"/>
      <c r="I422" s="3"/>
      <c r="J422" s="3"/>
      <c r="K422" s="3"/>
      <c r="L422" s="4"/>
      <c r="M422" s="32"/>
      <c r="N422" s="32"/>
      <c r="O422" s="32"/>
      <c r="P422" s="32"/>
      <c r="Q422" s="32"/>
      <c r="R422" s="32"/>
      <c r="S422" s="32"/>
      <c r="T422" s="32"/>
      <c r="U422" s="32"/>
      <c r="V422" s="32"/>
      <c r="W422" s="32"/>
      <c r="X422" s="32"/>
      <c r="Y422" s="32"/>
      <c r="Z422" s="32"/>
    </row>
    <row r="423" spans="1:26" ht="17.25" customHeight="1">
      <c r="A423" s="3"/>
      <c r="B423" s="3"/>
      <c r="C423" s="3"/>
      <c r="D423" s="3"/>
      <c r="E423" s="3"/>
      <c r="F423" s="3"/>
      <c r="G423" s="3"/>
      <c r="H423" s="3"/>
      <c r="I423" s="3"/>
      <c r="J423" s="3"/>
      <c r="K423" s="3"/>
      <c r="L423" s="4"/>
      <c r="M423" s="32"/>
      <c r="N423" s="32"/>
      <c r="O423" s="32"/>
      <c r="P423" s="32"/>
      <c r="Q423" s="32"/>
      <c r="R423" s="32"/>
      <c r="S423" s="32"/>
      <c r="T423" s="32"/>
      <c r="U423" s="32"/>
      <c r="V423" s="32"/>
      <c r="W423" s="32"/>
      <c r="X423" s="32"/>
      <c r="Y423" s="32"/>
      <c r="Z423" s="32"/>
    </row>
    <row r="424" spans="1:26" ht="17.25" customHeight="1">
      <c r="A424" s="3"/>
      <c r="B424" s="3"/>
      <c r="C424" s="3"/>
      <c r="D424" s="3"/>
      <c r="E424" s="3"/>
      <c r="F424" s="3"/>
      <c r="G424" s="3"/>
      <c r="H424" s="3"/>
      <c r="I424" s="3"/>
      <c r="J424" s="3"/>
      <c r="K424" s="3"/>
      <c r="L424" s="4"/>
      <c r="M424" s="32"/>
      <c r="N424" s="32"/>
      <c r="O424" s="32"/>
      <c r="P424" s="32"/>
      <c r="Q424" s="32"/>
      <c r="R424" s="32"/>
      <c r="S424" s="32"/>
      <c r="T424" s="32"/>
      <c r="U424" s="32"/>
      <c r="V424" s="32"/>
      <c r="W424" s="32"/>
      <c r="X424" s="32"/>
      <c r="Y424" s="32"/>
      <c r="Z424" s="32"/>
    </row>
    <row r="425" spans="1:26" ht="17.25" customHeight="1">
      <c r="A425" s="3"/>
      <c r="B425" s="3"/>
      <c r="C425" s="3"/>
      <c r="D425" s="3"/>
      <c r="E425" s="3"/>
      <c r="F425" s="3"/>
      <c r="G425" s="3"/>
      <c r="H425" s="3"/>
      <c r="I425" s="3"/>
      <c r="J425" s="3"/>
      <c r="K425" s="3"/>
      <c r="L425" s="4"/>
      <c r="M425" s="32"/>
      <c r="N425" s="32"/>
      <c r="O425" s="32"/>
      <c r="P425" s="32"/>
      <c r="Q425" s="32"/>
      <c r="R425" s="32"/>
      <c r="S425" s="32"/>
      <c r="T425" s="32"/>
      <c r="U425" s="32"/>
      <c r="V425" s="32"/>
      <c r="W425" s="32"/>
      <c r="X425" s="32"/>
      <c r="Y425" s="32"/>
      <c r="Z425" s="32"/>
    </row>
    <row r="426" spans="1:26" ht="17.25" customHeight="1">
      <c r="A426" s="3"/>
      <c r="B426" s="3"/>
      <c r="C426" s="3"/>
      <c r="D426" s="3"/>
      <c r="E426" s="3"/>
      <c r="F426" s="3"/>
      <c r="G426" s="3"/>
      <c r="H426" s="3"/>
      <c r="I426" s="3"/>
      <c r="J426" s="3"/>
      <c r="K426" s="3"/>
      <c r="L426" s="4"/>
      <c r="M426" s="32"/>
      <c r="N426" s="32"/>
      <c r="O426" s="32"/>
      <c r="P426" s="32"/>
      <c r="Q426" s="32"/>
      <c r="R426" s="32"/>
      <c r="S426" s="32"/>
      <c r="T426" s="32"/>
      <c r="U426" s="32"/>
      <c r="V426" s="32"/>
      <c r="W426" s="32"/>
      <c r="X426" s="32"/>
      <c r="Y426" s="32"/>
      <c r="Z426" s="32"/>
    </row>
    <row r="427" spans="1:26" ht="17.25" customHeight="1">
      <c r="A427" s="3"/>
      <c r="B427" s="3"/>
      <c r="C427" s="3"/>
      <c r="D427" s="3"/>
      <c r="E427" s="3"/>
      <c r="F427" s="3"/>
      <c r="G427" s="3"/>
      <c r="H427" s="3"/>
      <c r="I427" s="3"/>
      <c r="J427" s="3"/>
      <c r="K427" s="3"/>
      <c r="L427" s="4"/>
      <c r="M427" s="32"/>
      <c r="N427" s="32"/>
      <c r="O427" s="32"/>
      <c r="P427" s="32"/>
      <c r="Q427" s="32"/>
      <c r="R427" s="32"/>
      <c r="S427" s="32"/>
      <c r="T427" s="32"/>
      <c r="U427" s="32"/>
      <c r="V427" s="32"/>
      <c r="W427" s="32"/>
      <c r="X427" s="32"/>
      <c r="Y427" s="32"/>
      <c r="Z427" s="32"/>
    </row>
    <row r="428" spans="1:26" ht="17.25" customHeight="1">
      <c r="A428" s="3"/>
      <c r="B428" s="3"/>
      <c r="C428" s="3"/>
      <c r="D428" s="3"/>
      <c r="E428" s="3"/>
      <c r="F428" s="3"/>
      <c r="G428" s="3"/>
      <c r="H428" s="3"/>
      <c r="I428" s="3"/>
      <c r="J428" s="3"/>
      <c r="K428" s="3"/>
      <c r="L428" s="4"/>
      <c r="M428" s="32"/>
      <c r="N428" s="32"/>
      <c r="O428" s="32"/>
      <c r="P428" s="32"/>
      <c r="Q428" s="32"/>
      <c r="R428" s="32"/>
      <c r="S428" s="32"/>
      <c r="T428" s="32"/>
      <c r="U428" s="32"/>
      <c r="V428" s="32"/>
      <c r="W428" s="32"/>
      <c r="X428" s="32"/>
      <c r="Y428" s="32"/>
      <c r="Z428" s="32"/>
    </row>
    <row r="429" spans="1:26" ht="17.25" customHeight="1">
      <c r="A429" s="3"/>
      <c r="B429" s="3"/>
      <c r="C429" s="3"/>
      <c r="D429" s="3"/>
      <c r="E429" s="3"/>
      <c r="F429" s="3"/>
      <c r="G429" s="3"/>
      <c r="H429" s="3"/>
      <c r="I429" s="3"/>
      <c r="J429" s="3"/>
      <c r="K429" s="3"/>
      <c r="L429" s="4"/>
      <c r="M429" s="32"/>
      <c r="N429" s="32"/>
      <c r="O429" s="32"/>
      <c r="P429" s="32"/>
      <c r="Q429" s="32"/>
      <c r="R429" s="32"/>
      <c r="S429" s="32"/>
      <c r="T429" s="32"/>
      <c r="U429" s="32"/>
      <c r="V429" s="32"/>
      <c r="W429" s="32"/>
      <c r="X429" s="32"/>
      <c r="Y429" s="32"/>
      <c r="Z429" s="32"/>
    </row>
    <row r="430" spans="1:26" ht="17.25" customHeight="1">
      <c r="A430" s="3"/>
      <c r="B430" s="3"/>
      <c r="C430" s="3"/>
      <c r="D430" s="3"/>
      <c r="E430" s="3"/>
      <c r="F430" s="3"/>
      <c r="G430" s="3"/>
      <c r="H430" s="3"/>
      <c r="I430" s="3"/>
      <c r="J430" s="3"/>
      <c r="K430" s="3"/>
      <c r="L430" s="4"/>
      <c r="M430" s="32"/>
      <c r="N430" s="32"/>
      <c r="O430" s="32"/>
      <c r="P430" s="32"/>
      <c r="Q430" s="32"/>
      <c r="R430" s="32"/>
      <c r="S430" s="32"/>
      <c r="T430" s="32"/>
      <c r="U430" s="32"/>
      <c r="V430" s="32"/>
      <c r="W430" s="32"/>
      <c r="X430" s="32"/>
      <c r="Y430" s="32"/>
      <c r="Z430" s="32"/>
    </row>
    <row r="431" spans="1:26" ht="17.25" customHeight="1">
      <c r="A431" s="3"/>
      <c r="B431" s="3"/>
      <c r="C431" s="3"/>
      <c r="D431" s="3"/>
      <c r="E431" s="3"/>
      <c r="F431" s="3"/>
      <c r="G431" s="3"/>
      <c r="H431" s="3"/>
      <c r="I431" s="3"/>
      <c r="J431" s="3"/>
      <c r="K431" s="3"/>
      <c r="L431" s="4"/>
      <c r="M431" s="32"/>
      <c r="N431" s="32"/>
      <c r="O431" s="32"/>
      <c r="P431" s="32"/>
      <c r="Q431" s="32"/>
      <c r="R431" s="32"/>
      <c r="S431" s="32"/>
      <c r="T431" s="32"/>
      <c r="U431" s="32"/>
      <c r="V431" s="32"/>
      <c r="W431" s="32"/>
      <c r="X431" s="32"/>
      <c r="Y431" s="32"/>
      <c r="Z431" s="32"/>
    </row>
    <row r="432" spans="1:26" ht="17.25" customHeight="1">
      <c r="A432" s="3"/>
      <c r="B432" s="3"/>
      <c r="C432" s="3"/>
      <c r="D432" s="3"/>
      <c r="E432" s="3"/>
      <c r="F432" s="3"/>
      <c r="G432" s="3"/>
      <c r="H432" s="3"/>
      <c r="I432" s="3"/>
      <c r="J432" s="3"/>
      <c r="K432" s="3"/>
      <c r="L432" s="4"/>
      <c r="M432" s="32"/>
      <c r="N432" s="32"/>
      <c r="O432" s="32"/>
      <c r="P432" s="32"/>
      <c r="Q432" s="32"/>
      <c r="R432" s="32"/>
      <c r="S432" s="32"/>
      <c r="T432" s="32"/>
      <c r="U432" s="32"/>
      <c r="V432" s="32"/>
      <c r="W432" s="32"/>
      <c r="X432" s="32"/>
      <c r="Y432" s="32"/>
      <c r="Z432" s="32"/>
    </row>
    <row r="433" spans="1:26" ht="17.25" customHeight="1">
      <c r="A433" s="3"/>
      <c r="B433" s="3"/>
      <c r="C433" s="3"/>
      <c r="D433" s="3"/>
      <c r="E433" s="3"/>
      <c r="F433" s="3"/>
      <c r="G433" s="3"/>
      <c r="H433" s="3"/>
      <c r="I433" s="3"/>
      <c r="J433" s="3"/>
      <c r="K433" s="3"/>
      <c r="L433" s="4"/>
      <c r="M433" s="32"/>
      <c r="N433" s="32"/>
      <c r="O433" s="32"/>
      <c r="P433" s="32"/>
      <c r="Q433" s="32"/>
      <c r="R433" s="32"/>
      <c r="S433" s="32"/>
      <c r="T433" s="32"/>
      <c r="U433" s="32"/>
      <c r="V433" s="32"/>
      <c r="W433" s="32"/>
      <c r="X433" s="32"/>
      <c r="Y433" s="32"/>
      <c r="Z433" s="32"/>
    </row>
    <row r="434" spans="1:26" ht="17.25" customHeight="1">
      <c r="A434" s="3"/>
      <c r="B434" s="3"/>
      <c r="C434" s="3"/>
      <c r="D434" s="3"/>
      <c r="E434" s="3"/>
      <c r="F434" s="3"/>
      <c r="G434" s="3"/>
      <c r="H434" s="3"/>
      <c r="I434" s="3"/>
      <c r="J434" s="3"/>
      <c r="K434" s="3"/>
      <c r="L434" s="4"/>
      <c r="M434" s="32"/>
      <c r="N434" s="32"/>
      <c r="O434" s="32"/>
      <c r="P434" s="32"/>
      <c r="Q434" s="32"/>
      <c r="R434" s="32"/>
      <c r="S434" s="32"/>
      <c r="T434" s="32"/>
      <c r="U434" s="32"/>
      <c r="V434" s="32"/>
      <c r="W434" s="32"/>
      <c r="X434" s="32"/>
      <c r="Y434" s="32"/>
      <c r="Z434" s="32"/>
    </row>
    <row r="435" spans="1:26" ht="17.25" customHeight="1">
      <c r="A435" s="3"/>
      <c r="B435" s="3"/>
      <c r="C435" s="3"/>
      <c r="D435" s="3"/>
      <c r="E435" s="3"/>
      <c r="F435" s="3"/>
      <c r="G435" s="3"/>
      <c r="H435" s="3"/>
      <c r="I435" s="3"/>
      <c r="J435" s="3"/>
      <c r="K435" s="3"/>
      <c r="L435" s="4"/>
      <c r="M435" s="32"/>
      <c r="N435" s="32"/>
      <c r="O435" s="32"/>
      <c r="P435" s="32"/>
      <c r="Q435" s="32"/>
      <c r="R435" s="32"/>
      <c r="S435" s="32"/>
      <c r="T435" s="32"/>
      <c r="U435" s="32"/>
      <c r="V435" s="32"/>
      <c r="W435" s="32"/>
      <c r="X435" s="32"/>
      <c r="Y435" s="32"/>
      <c r="Z435" s="32"/>
    </row>
    <row r="436" spans="1:26" ht="17.25" customHeight="1">
      <c r="A436" s="3"/>
      <c r="B436" s="3"/>
      <c r="C436" s="3"/>
      <c r="D436" s="3"/>
      <c r="E436" s="3"/>
      <c r="F436" s="3"/>
      <c r="G436" s="3"/>
      <c r="H436" s="3"/>
      <c r="I436" s="3"/>
      <c r="J436" s="3"/>
      <c r="K436" s="3"/>
      <c r="L436" s="4"/>
      <c r="M436" s="32"/>
      <c r="N436" s="32"/>
      <c r="O436" s="32"/>
      <c r="P436" s="32"/>
      <c r="Q436" s="32"/>
      <c r="R436" s="32"/>
      <c r="S436" s="32"/>
      <c r="T436" s="32"/>
      <c r="U436" s="32"/>
      <c r="V436" s="32"/>
      <c r="W436" s="32"/>
      <c r="X436" s="32"/>
      <c r="Y436" s="32"/>
      <c r="Z436" s="32"/>
    </row>
    <row r="437" spans="1:26" ht="17.25" customHeight="1">
      <c r="A437" s="3"/>
      <c r="B437" s="3"/>
      <c r="C437" s="3"/>
      <c r="D437" s="3"/>
      <c r="E437" s="3"/>
      <c r="F437" s="3"/>
      <c r="G437" s="3"/>
      <c r="H437" s="3"/>
      <c r="I437" s="3"/>
      <c r="J437" s="3"/>
      <c r="K437" s="3"/>
      <c r="L437" s="4"/>
      <c r="M437" s="32"/>
      <c r="N437" s="32"/>
      <c r="O437" s="32"/>
      <c r="P437" s="32"/>
      <c r="Q437" s="32"/>
      <c r="R437" s="32"/>
      <c r="S437" s="32"/>
      <c r="T437" s="32"/>
      <c r="U437" s="32"/>
      <c r="V437" s="32"/>
      <c r="W437" s="32"/>
      <c r="X437" s="32"/>
      <c r="Y437" s="32"/>
      <c r="Z437" s="32"/>
    </row>
    <row r="438" spans="1:26" ht="17.25" customHeight="1">
      <c r="A438" s="3"/>
      <c r="B438" s="3"/>
      <c r="C438" s="3"/>
      <c r="D438" s="3"/>
      <c r="E438" s="3"/>
      <c r="F438" s="3"/>
      <c r="G438" s="3"/>
      <c r="H438" s="3"/>
      <c r="I438" s="3"/>
      <c r="J438" s="3"/>
      <c r="K438" s="3"/>
      <c r="L438" s="4"/>
      <c r="M438" s="32"/>
      <c r="N438" s="32"/>
      <c r="O438" s="32"/>
      <c r="P438" s="32"/>
      <c r="Q438" s="32"/>
      <c r="R438" s="32"/>
      <c r="S438" s="32"/>
      <c r="T438" s="32"/>
      <c r="U438" s="32"/>
      <c r="V438" s="32"/>
      <c r="W438" s="32"/>
      <c r="X438" s="32"/>
      <c r="Y438" s="32"/>
      <c r="Z438" s="32"/>
    </row>
    <row r="439" spans="1:26" ht="17.25" customHeight="1">
      <c r="A439" s="3"/>
      <c r="B439" s="3"/>
      <c r="C439" s="3"/>
      <c r="D439" s="3"/>
      <c r="E439" s="3"/>
      <c r="F439" s="3"/>
      <c r="G439" s="3"/>
      <c r="H439" s="3"/>
      <c r="I439" s="3"/>
      <c r="J439" s="3"/>
      <c r="K439" s="3"/>
      <c r="L439" s="4"/>
      <c r="M439" s="32"/>
      <c r="N439" s="32"/>
      <c r="O439" s="32"/>
      <c r="P439" s="32"/>
      <c r="Q439" s="32"/>
      <c r="R439" s="32"/>
      <c r="S439" s="32"/>
      <c r="T439" s="32"/>
      <c r="U439" s="32"/>
      <c r="V439" s="32"/>
      <c r="W439" s="32"/>
      <c r="X439" s="32"/>
      <c r="Y439" s="32"/>
      <c r="Z439" s="32"/>
    </row>
    <row r="440" spans="1:26" ht="17.25" customHeight="1">
      <c r="A440" s="3"/>
      <c r="B440" s="3"/>
      <c r="C440" s="3"/>
      <c r="D440" s="3"/>
      <c r="E440" s="3"/>
      <c r="F440" s="3"/>
      <c r="G440" s="3"/>
      <c r="H440" s="3"/>
      <c r="I440" s="3"/>
      <c r="J440" s="3"/>
      <c r="K440" s="3"/>
      <c r="L440" s="4"/>
      <c r="M440" s="32"/>
      <c r="N440" s="32"/>
      <c r="O440" s="32"/>
      <c r="P440" s="32"/>
      <c r="Q440" s="32"/>
      <c r="R440" s="32"/>
      <c r="S440" s="32"/>
      <c r="T440" s="32"/>
      <c r="U440" s="32"/>
      <c r="V440" s="32"/>
      <c r="W440" s="32"/>
      <c r="X440" s="32"/>
      <c r="Y440" s="32"/>
      <c r="Z440" s="32"/>
    </row>
    <row r="441" spans="1:26" ht="17.25" customHeight="1">
      <c r="A441" s="3"/>
      <c r="B441" s="3"/>
      <c r="C441" s="3"/>
      <c r="D441" s="3"/>
      <c r="E441" s="3"/>
      <c r="F441" s="3"/>
      <c r="G441" s="3"/>
      <c r="H441" s="3"/>
      <c r="I441" s="3"/>
      <c r="J441" s="3"/>
      <c r="K441" s="3"/>
      <c r="L441" s="4"/>
      <c r="M441" s="32"/>
      <c r="N441" s="32"/>
      <c r="O441" s="32"/>
      <c r="P441" s="32"/>
      <c r="Q441" s="32"/>
      <c r="R441" s="32"/>
      <c r="S441" s="32"/>
      <c r="T441" s="32"/>
      <c r="U441" s="32"/>
      <c r="V441" s="32"/>
      <c r="W441" s="32"/>
      <c r="X441" s="32"/>
      <c r="Y441" s="32"/>
      <c r="Z441" s="32"/>
    </row>
    <row r="442" spans="1:26" ht="17.25" customHeight="1">
      <c r="A442" s="3"/>
      <c r="B442" s="3"/>
      <c r="C442" s="3"/>
      <c r="D442" s="3"/>
      <c r="E442" s="3"/>
      <c r="F442" s="3"/>
      <c r="G442" s="3"/>
      <c r="H442" s="3"/>
      <c r="I442" s="3"/>
      <c r="J442" s="3"/>
      <c r="K442" s="3"/>
      <c r="L442" s="4"/>
      <c r="M442" s="32"/>
      <c r="N442" s="32"/>
      <c r="O442" s="32"/>
      <c r="P442" s="32"/>
      <c r="Q442" s="32"/>
      <c r="R442" s="32"/>
      <c r="S442" s="32"/>
      <c r="T442" s="32"/>
      <c r="U442" s="32"/>
      <c r="V442" s="32"/>
      <c r="W442" s="32"/>
      <c r="X442" s="32"/>
      <c r="Y442" s="32"/>
      <c r="Z442" s="32"/>
    </row>
    <row r="443" spans="1:26" ht="17.25" customHeight="1">
      <c r="A443" s="3"/>
      <c r="B443" s="3"/>
      <c r="C443" s="3"/>
      <c r="D443" s="3"/>
      <c r="E443" s="3"/>
      <c r="F443" s="3"/>
      <c r="G443" s="3"/>
      <c r="H443" s="3"/>
      <c r="I443" s="3"/>
      <c r="J443" s="3"/>
      <c r="K443" s="3"/>
      <c r="L443" s="4"/>
      <c r="M443" s="32"/>
      <c r="N443" s="32"/>
      <c r="O443" s="32"/>
      <c r="P443" s="32"/>
      <c r="Q443" s="32"/>
      <c r="R443" s="32"/>
      <c r="S443" s="32"/>
      <c r="T443" s="32"/>
      <c r="U443" s="32"/>
      <c r="V443" s="32"/>
      <c r="W443" s="32"/>
      <c r="X443" s="32"/>
      <c r="Y443" s="32"/>
      <c r="Z443" s="32"/>
    </row>
    <row r="444" spans="1:26" ht="17.25" customHeight="1">
      <c r="A444" s="3"/>
      <c r="B444" s="3"/>
      <c r="C444" s="3"/>
      <c r="D444" s="3"/>
      <c r="E444" s="3"/>
      <c r="F444" s="3"/>
      <c r="G444" s="3"/>
      <c r="H444" s="3"/>
      <c r="I444" s="3"/>
      <c r="J444" s="3"/>
      <c r="K444" s="3"/>
      <c r="L444" s="4"/>
      <c r="M444" s="32"/>
      <c r="N444" s="32"/>
      <c r="O444" s="32"/>
      <c r="P444" s="32"/>
      <c r="Q444" s="32"/>
      <c r="R444" s="32"/>
      <c r="S444" s="32"/>
      <c r="T444" s="32"/>
      <c r="U444" s="32"/>
      <c r="V444" s="32"/>
      <c r="W444" s="32"/>
      <c r="X444" s="32"/>
      <c r="Y444" s="32"/>
      <c r="Z444" s="32"/>
    </row>
    <row r="445" spans="1:26" ht="17.25" customHeight="1">
      <c r="A445" s="3"/>
      <c r="B445" s="3"/>
      <c r="C445" s="3"/>
      <c r="D445" s="3"/>
      <c r="E445" s="3"/>
      <c r="F445" s="3"/>
      <c r="G445" s="3"/>
      <c r="H445" s="3"/>
      <c r="I445" s="3"/>
      <c r="J445" s="3"/>
      <c r="K445" s="3"/>
      <c r="L445" s="4"/>
      <c r="M445" s="32"/>
      <c r="N445" s="32"/>
      <c r="O445" s="32"/>
      <c r="P445" s="32"/>
      <c r="Q445" s="32"/>
      <c r="R445" s="32"/>
      <c r="S445" s="32"/>
      <c r="T445" s="32"/>
      <c r="U445" s="32"/>
      <c r="V445" s="32"/>
      <c r="W445" s="32"/>
      <c r="X445" s="32"/>
      <c r="Y445" s="32"/>
      <c r="Z445" s="32"/>
    </row>
    <row r="446" spans="1:26" ht="17.25" customHeight="1">
      <c r="A446" s="3"/>
      <c r="B446" s="3"/>
      <c r="C446" s="3"/>
      <c r="D446" s="3"/>
      <c r="E446" s="3"/>
      <c r="F446" s="3"/>
      <c r="G446" s="3"/>
      <c r="H446" s="3"/>
      <c r="I446" s="3"/>
      <c r="J446" s="3"/>
      <c r="K446" s="3"/>
      <c r="L446" s="4"/>
      <c r="M446" s="32"/>
      <c r="N446" s="32"/>
      <c r="O446" s="32"/>
      <c r="P446" s="32"/>
      <c r="Q446" s="32"/>
      <c r="R446" s="32"/>
      <c r="S446" s="32"/>
      <c r="T446" s="32"/>
      <c r="U446" s="32"/>
      <c r="V446" s="32"/>
      <c r="W446" s="32"/>
      <c r="X446" s="32"/>
      <c r="Y446" s="32"/>
      <c r="Z446" s="32"/>
    </row>
    <row r="447" spans="1:26" ht="17.25" customHeight="1">
      <c r="A447" s="3"/>
      <c r="B447" s="3"/>
      <c r="C447" s="3"/>
      <c r="D447" s="3"/>
      <c r="E447" s="3"/>
      <c r="F447" s="3"/>
      <c r="G447" s="3"/>
      <c r="H447" s="3"/>
      <c r="I447" s="3"/>
      <c r="J447" s="3"/>
      <c r="K447" s="3"/>
      <c r="L447" s="4"/>
      <c r="M447" s="32"/>
      <c r="N447" s="32"/>
      <c r="O447" s="32"/>
      <c r="P447" s="32"/>
      <c r="Q447" s="32"/>
      <c r="R447" s="32"/>
      <c r="S447" s="32"/>
      <c r="T447" s="32"/>
      <c r="U447" s="32"/>
      <c r="V447" s="32"/>
      <c r="W447" s="32"/>
      <c r="X447" s="32"/>
      <c r="Y447" s="32"/>
      <c r="Z447" s="32"/>
    </row>
    <row r="448" spans="1:26" ht="17.25" customHeight="1">
      <c r="A448" s="3"/>
      <c r="B448" s="3"/>
      <c r="C448" s="3"/>
      <c r="D448" s="3"/>
      <c r="E448" s="3"/>
      <c r="F448" s="3"/>
      <c r="G448" s="3"/>
      <c r="H448" s="3"/>
      <c r="I448" s="3"/>
      <c r="J448" s="3"/>
      <c r="K448" s="3"/>
      <c r="L448" s="4"/>
      <c r="M448" s="32"/>
      <c r="N448" s="32"/>
      <c r="O448" s="32"/>
      <c r="P448" s="32"/>
      <c r="Q448" s="32"/>
      <c r="R448" s="32"/>
      <c r="S448" s="32"/>
      <c r="T448" s="32"/>
      <c r="U448" s="32"/>
      <c r="V448" s="32"/>
      <c r="W448" s="32"/>
      <c r="X448" s="32"/>
      <c r="Y448" s="32"/>
      <c r="Z448" s="32"/>
    </row>
    <row r="449" spans="1:26" ht="17.25" customHeight="1">
      <c r="A449" s="3"/>
      <c r="B449" s="3"/>
      <c r="C449" s="3"/>
      <c r="D449" s="3"/>
      <c r="E449" s="3"/>
      <c r="F449" s="3"/>
      <c r="G449" s="3"/>
      <c r="H449" s="3"/>
      <c r="I449" s="3"/>
      <c r="J449" s="3"/>
      <c r="K449" s="3"/>
      <c r="L449" s="4"/>
      <c r="M449" s="32"/>
      <c r="N449" s="32"/>
      <c r="O449" s="32"/>
      <c r="P449" s="32"/>
      <c r="Q449" s="32"/>
      <c r="R449" s="32"/>
      <c r="S449" s="32"/>
      <c r="T449" s="32"/>
      <c r="U449" s="32"/>
      <c r="V449" s="32"/>
      <c r="W449" s="32"/>
      <c r="X449" s="32"/>
      <c r="Y449" s="32"/>
      <c r="Z449" s="32"/>
    </row>
    <row r="450" spans="1:26" ht="17.25" customHeight="1">
      <c r="A450" s="3"/>
      <c r="B450" s="3"/>
      <c r="C450" s="3"/>
      <c r="D450" s="3"/>
      <c r="E450" s="3"/>
      <c r="F450" s="3"/>
      <c r="G450" s="3"/>
      <c r="H450" s="3"/>
      <c r="I450" s="3"/>
      <c r="J450" s="3"/>
      <c r="K450" s="3"/>
      <c r="L450" s="4"/>
      <c r="M450" s="32"/>
      <c r="N450" s="32"/>
      <c r="O450" s="32"/>
      <c r="P450" s="32"/>
      <c r="Q450" s="32"/>
      <c r="R450" s="32"/>
      <c r="S450" s="32"/>
      <c r="T450" s="32"/>
      <c r="U450" s="32"/>
      <c r="V450" s="32"/>
      <c r="W450" s="32"/>
      <c r="X450" s="32"/>
      <c r="Y450" s="32"/>
      <c r="Z450" s="32"/>
    </row>
    <row r="451" spans="1:26" ht="17.25" customHeight="1">
      <c r="A451" s="3"/>
      <c r="B451" s="3"/>
      <c r="C451" s="3"/>
      <c r="D451" s="3"/>
      <c r="E451" s="3"/>
      <c r="F451" s="3"/>
      <c r="G451" s="3"/>
      <c r="H451" s="3"/>
      <c r="I451" s="3"/>
      <c r="J451" s="3"/>
      <c r="K451" s="3"/>
      <c r="L451" s="4"/>
      <c r="M451" s="32"/>
      <c r="N451" s="32"/>
      <c r="O451" s="32"/>
      <c r="P451" s="32"/>
      <c r="Q451" s="32"/>
      <c r="R451" s="32"/>
      <c r="S451" s="32"/>
      <c r="T451" s="32"/>
      <c r="U451" s="32"/>
      <c r="V451" s="32"/>
      <c r="W451" s="32"/>
      <c r="X451" s="32"/>
      <c r="Y451" s="32"/>
      <c r="Z451" s="32"/>
    </row>
    <row r="452" spans="1:26" ht="17.25" customHeight="1">
      <c r="A452" s="3"/>
      <c r="B452" s="3"/>
      <c r="C452" s="3"/>
      <c r="D452" s="3"/>
      <c r="E452" s="3"/>
      <c r="F452" s="3"/>
      <c r="G452" s="3"/>
      <c r="H452" s="3"/>
      <c r="I452" s="3"/>
      <c r="J452" s="3"/>
      <c r="K452" s="3"/>
      <c r="L452" s="4"/>
      <c r="M452" s="32"/>
      <c r="N452" s="32"/>
      <c r="O452" s="32"/>
      <c r="P452" s="32"/>
      <c r="Q452" s="32"/>
      <c r="R452" s="32"/>
      <c r="S452" s="32"/>
      <c r="T452" s="32"/>
      <c r="U452" s="32"/>
      <c r="V452" s="32"/>
      <c r="W452" s="32"/>
      <c r="X452" s="32"/>
      <c r="Y452" s="32"/>
      <c r="Z452" s="32"/>
    </row>
    <row r="453" spans="1:26" ht="17.25" customHeight="1">
      <c r="A453" s="3"/>
      <c r="B453" s="3"/>
      <c r="C453" s="3"/>
      <c r="D453" s="3"/>
      <c r="E453" s="3"/>
      <c r="F453" s="3"/>
      <c r="G453" s="3"/>
      <c r="H453" s="3"/>
      <c r="I453" s="3"/>
      <c r="J453" s="3"/>
      <c r="K453" s="3"/>
      <c r="L453" s="4"/>
      <c r="M453" s="32"/>
      <c r="N453" s="32"/>
      <c r="O453" s="32"/>
      <c r="P453" s="32"/>
      <c r="Q453" s="32"/>
      <c r="R453" s="32"/>
      <c r="S453" s="32"/>
      <c r="T453" s="32"/>
      <c r="U453" s="32"/>
      <c r="V453" s="32"/>
      <c r="W453" s="32"/>
      <c r="X453" s="32"/>
      <c r="Y453" s="32"/>
      <c r="Z453" s="32"/>
    </row>
    <row r="454" spans="1:26" ht="17.25" customHeight="1">
      <c r="A454" s="3"/>
      <c r="B454" s="3"/>
      <c r="C454" s="3"/>
      <c r="D454" s="3"/>
      <c r="E454" s="3"/>
      <c r="F454" s="3"/>
      <c r="G454" s="3"/>
      <c r="H454" s="3"/>
      <c r="I454" s="3"/>
      <c r="J454" s="3"/>
      <c r="K454" s="3"/>
      <c r="L454" s="4"/>
      <c r="M454" s="32"/>
      <c r="N454" s="32"/>
      <c r="O454" s="32"/>
      <c r="P454" s="32"/>
      <c r="Q454" s="32"/>
      <c r="R454" s="32"/>
      <c r="S454" s="32"/>
      <c r="T454" s="32"/>
      <c r="U454" s="32"/>
      <c r="V454" s="32"/>
      <c r="W454" s="32"/>
      <c r="X454" s="32"/>
      <c r="Y454" s="32"/>
      <c r="Z454" s="32"/>
    </row>
    <row r="455" spans="1:26" ht="17.25" customHeight="1">
      <c r="A455" s="3"/>
      <c r="B455" s="3"/>
      <c r="C455" s="3"/>
      <c r="D455" s="3"/>
      <c r="E455" s="3"/>
      <c r="F455" s="3"/>
      <c r="G455" s="3"/>
      <c r="H455" s="3"/>
      <c r="I455" s="3"/>
      <c r="J455" s="3"/>
      <c r="K455" s="3"/>
      <c r="L455" s="4"/>
      <c r="M455" s="32"/>
      <c r="N455" s="32"/>
      <c r="O455" s="32"/>
      <c r="P455" s="32"/>
      <c r="Q455" s="32"/>
      <c r="R455" s="32"/>
      <c r="S455" s="32"/>
      <c r="T455" s="32"/>
      <c r="U455" s="32"/>
      <c r="V455" s="32"/>
      <c r="W455" s="32"/>
      <c r="X455" s="32"/>
      <c r="Y455" s="32"/>
      <c r="Z455" s="32"/>
    </row>
    <row r="456" spans="1:26" ht="17.25" customHeight="1">
      <c r="A456" s="3"/>
      <c r="B456" s="3"/>
      <c r="C456" s="3"/>
      <c r="D456" s="3"/>
      <c r="E456" s="3"/>
      <c r="F456" s="3"/>
      <c r="G456" s="3"/>
      <c r="H456" s="3"/>
      <c r="I456" s="3"/>
      <c r="J456" s="3"/>
      <c r="K456" s="3"/>
      <c r="L456" s="4"/>
      <c r="M456" s="32"/>
      <c r="N456" s="32"/>
      <c r="O456" s="32"/>
      <c r="P456" s="32"/>
      <c r="Q456" s="32"/>
      <c r="R456" s="32"/>
      <c r="S456" s="32"/>
      <c r="T456" s="32"/>
      <c r="U456" s="32"/>
      <c r="V456" s="32"/>
      <c r="W456" s="32"/>
      <c r="X456" s="32"/>
      <c r="Y456" s="32"/>
      <c r="Z456" s="32"/>
    </row>
    <row r="457" spans="1:26" ht="17.25" customHeight="1">
      <c r="A457" s="3"/>
      <c r="B457" s="3"/>
      <c r="C457" s="3"/>
      <c r="D457" s="3"/>
      <c r="E457" s="3"/>
      <c r="F457" s="3"/>
      <c r="G457" s="3"/>
      <c r="H457" s="3"/>
      <c r="I457" s="3"/>
      <c r="J457" s="3"/>
      <c r="K457" s="3"/>
      <c r="L457" s="4"/>
      <c r="M457" s="32"/>
      <c r="N457" s="32"/>
      <c r="O457" s="32"/>
      <c r="P457" s="32"/>
      <c r="Q457" s="32"/>
      <c r="R457" s="32"/>
      <c r="S457" s="32"/>
      <c r="T457" s="32"/>
      <c r="U457" s="32"/>
      <c r="V457" s="32"/>
      <c r="W457" s="32"/>
      <c r="X457" s="32"/>
      <c r="Y457" s="32"/>
      <c r="Z457" s="32"/>
    </row>
    <row r="458" spans="1:26" ht="17.25" customHeight="1">
      <c r="A458" s="3"/>
      <c r="B458" s="3"/>
      <c r="C458" s="3"/>
      <c r="D458" s="3"/>
      <c r="E458" s="3"/>
      <c r="F458" s="3"/>
      <c r="G458" s="3"/>
      <c r="H458" s="3"/>
      <c r="I458" s="3"/>
      <c r="J458" s="3"/>
      <c r="K458" s="3"/>
      <c r="L458" s="4"/>
      <c r="M458" s="32"/>
      <c r="N458" s="32"/>
      <c r="O458" s="32"/>
      <c r="P458" s="32"/>
      <c r="Q458" s="32"/>
      <c r="R458" s="32"/>
      <c r="S458" s="32"/>
      <c r="T458" s="32"/>
      <c r="U458" s="32"/>
      <c r="V458" s="32"/>
      <c r="W458" s="32"/>
      <c r="X458" s="32"/>
      <c r="Y458" s="32"/>
      <c r="Z458" s="32"/>
    </row>
    <row r="459" spans="1:26" ht="17.25" customHeight="1">
      <c r="A459" s="3"/>
      <c r="B459" s="3"/>
      <c r="C459" s="3"/>
      <c r="D459" s="3"/>
      <c r="E459" s="3"/>
      <c r="F459" s="3"/>
      <c r="G459" s="3"/>
      <c r="H459" s="3"/>
      <c r="I459" s="3"/>
      <c r="J459" s="3"/>
      <c r="K459" s="3"/>
      <c r="L459" s="4"/>
      <c r="M459" s="32"/>
      <c r="N459" s="32"/>
      <c r="O459" s="32"/>
      <c r="P459" s="32"/>
      <c r="Q459" s="32"/>
      <c r="R459" s="32"/>
      <c r="S459" s="32"/>
      <c r="T459" s="32"/>
      <c r="U459" s="32"/>
      <c r="V459" s="32"/>
      <c r="W459" s="32"/>
      <c r="X459" s="32"/>
      <c r="Y459" s="32"/>
      <c r="Z459" s="32"/>
    </row>
    <row r="460" spans="1:26" ht="17.25" customHeight="1">
      <c r="A460" s="3"/>
      <c r="B460" s="3"/>
      <c r="C460" s="3"/>
      <c r="D460" s="3"/>
      <c r="E460" s="3"/>
      <c r="F460" s="3"/>
      <c r="G460" s="3"/>
      <c r="H460" s="3"/>
      <c r="I460" s="3"/>
      <c r="J460" s="3"/>
      <c r="K460" s="3"/>
      <c r="L460" s="4"/>
      <c r="M460" s="32"/>
      <c r="N460" s="32"/>
      <c r="O460" s="32"/>
      <c r="P460" s="32"/>
      <c r="Q460" s="32"/>
      <c r="R460" s="32"/>
      <c r="S460" s="32"/>
      <c r="T460" s="32"/>
      <c r="U460" s="32"/>
      <c r="V460" s="32"/>
      <c r="W460" s="32"/>
      <c r="X460" s="32"/>
      <c r="Y460" s="32"/>
      <c r="Z460" s="32"/>
    </row>
    <row r="461" spans="1:26" ht="17.25" customHeight="1">
      <c r="A461" s="3"/>
      <c r="B461" s="3"/>
      <c r="C461" s="3"/>
      <c r="D461" s="3"/>
      <c r="E461" s="3"/>
      <c r="F461" s="3"/>
      <c r="G461" s="3"/>
      <c r="H461" s="3"/>
      <c r="I461" s="3"/>
      <c r="J461" s="3"/>
      <c r="K461" s="3"/>
      <c r="L461" s="4"/>
      <c r="M461" s="32"/>
      <c r="N461" s="32"/>
      <c r="O461" s="32"/>
      <c r="P461" s="32"/>
      <c r="Q461" s="32"/>
      <c r="R461" s="32"/>
      <c r="S461" s="32"/>
      <c r="T461" s="32"/>
      <c r="U461" s="32"/>
      <c r="V461" s="32"/>
      <c r="W461" s="32"/>
      <c r="X461" s="32"/>
      <c r="Y461" s="32"/>
      <c r="Z461" s="32"/>
    </row>
    <row r="462" spans="1:26" ht="17.25" customHeight="1">
      <c r="A462" s="3"/>
      <c r="B462" s="3"/>
      <c r="C462" s="3"/>
      <c r="D462" s="3"/>
      <c r="E462" s="3"/>
      <c r="F462" s="3"/>
      <c r="G462" s="3"/>
      <c r="H462" s="3"/>
      <c r="I462" s="3"/>
      <c r="J462" s="3"/>
      <c r="K462" s="3"/>
      <c r="L462" s="4"/>
      <c r="M462" s="32"/>
      <c r="N462" s="32"/>
      <c r="O462" s="32"/>
      <c r="P462" s="32"/>
      <c r="Q462" s="32"/>
      <c r="R462" s="32"/>
      <c r="S462" s="32"/>
      <c r="T462" s="32"/>
      <c r="U462" s="32"/>
      <c r="V462" s="32"/>
      <c r="W462" s="32"/>
      <c r="X462" s="32"/>
      <c r="Y462" s="32"/>
      <c r="Z462" s="32"/>
    </row>
    <row r="463" spans="1:26" ht="17.25" customHeight="1">
      <c r="A463" s="3"/>
      <c r="B463" s="3"/>
      <c r="C463" s="3"/>
      <c r="D463" s="3"/>
      <c r="E463" s="3"/>
      <c r="F463" s="3"/>
      <c r="G463" s="3"/>
      <c r="H463" s="3"/>
      <c r="I463" s="3"/>
      <c r="J463" s="3"/>
      <c r="K463" s="3"/>
      <c r="L463" s="4"/>
      <c r="M463" s="32"/>
      <c r="N463" s="32"/>
      <c r="O463" s="32"/>
      <c r="P463" s="32"/>
      <c r="Q463" s="32"/>
      <c r="R463" s="32"/>
      <c r="S463" s="32"/>
      <c r="T463" s="32"/>
      <c r="U463" s="32"/>
      <c r="V463" s="32"/>
      <c r="W463" s="32"/>
      <c r="X463" s="32"/>
      <c r="Y463" s="32"/>
      <c r="Z463" s="32"/>
    </row>
    <row r="464" spans="1:26" ht="17.25" customHeight="1">
      <c r="A464" s="3"/>
      <c r="B464" s="3"/>
      <c r="C464" s="3"/>
      <c r="D464" s="3"/>
      <c r="E464" s="3"/>
      <c r="F464" s="3"/>
      <c r="G464" s="3"/>
      <c r="H464" s="3"/>
      <c r="I464" s="3"/>
      <c r="J464" s="3"/>
      <c r="K464" s="3"/>
      <c r="L464" s="4"/>
      <c r="M464" s="32"/>
      <c r="N464" s="32"/>
      <c r="O464" s="32"/>
      <c r="P464" s="32"/>
      <c r="Q464" s="32"/>
      <c r="R464" s="32"/>
      <c r="S464" s="32"/>
      <c r="T464" s="32"/>
      <c r="U464" s="32"/>
      <c r="V464" s="32"/>
      <c r="W464" s="32"/>
      <c r="X464" s="32"/>
      <c r="Y464" s="32"/>
      <c r="Z464" s="32"/>
    </row>
    <row r="465" spans="1:26" ht="17.25" customHeight="1">
      <c r="A465" s="3"/>
      <c r="B465" s="3"/>
      <c r="C465" s="3"/>
      <c r="D465" s="3"/>
      <c r="E465" s="3"/>
      <c r="F465" s="3"/>
      <c r="G465" s="3"/>
      <c r="H465" s="3"/>
      <c r="I465" s="3"/>
      <c r="J465" s="3"/>
      <c r="K465" s="3"/>
      <c r="L465" s="4"/>
      <c r="M465" s="32"/>
      <c r="N465" s="32"/>
      <c r="O465" s="32"/>
      <c r="P465" s="32"/>
      <c r="Q465" s="32"/>
      <c r="R465" s="32"/>
      <c r="S465" s="32"/>
      <c r="T465" s="32"/>
      <c r="U465" s="32"/>
      <c r="V465" s="32"/>
      <c r="W465" s="32"/>
      <c r="X465" s="32"/>
      <c r="Y465" s="32"/>
      <c r="Z465" s="32"/>
    </row>
    <row r="466" spans="1:26" ht="17.25" customHeight="1">
      <c r="A466" s="3"/>
      <c r="B466" s="3"/>
      <c r="C466" s="3"/>
      <c r="D466" s="3"/>
      <c r="E466" s="3"/>
      <c r="F466" s="3"/>
      <c r="G466" s="3"/>
      <c r="H466" s="3"/>
      <c r="I466" s="3"/>
      <c r="J466" s="3"/>
      <c r="K466" s="3"/>
      <c r="L466" s="4"/>
      <c r="M466" s="32"/>
      <c r="N466" s="32"/>
      <c r="O466" s="32"/>
      <c r="P466" s="32"/>
      <c r="Q466" s="32"/>
      <c r="R466" s="32"/>
      <c r="S466" s="32"/>
      <c r="T466" s="32"/>
      <c r="U466" s="32"/>
      <c r="V466" s="32"/>
      <c r="W466" s="32"/>
      <c r="X466" s="32"/>
      <c r="Y466" s="32"/>
      <c r="Z466" s="32"/>
    </row>
    <row r="467" spans="1:26" ht="17.25" customHeight="1">
      <c r="A467" s="3"/>
      <c r="B467" s="3"/>
      <c r="C467" s="3"/>
      <c r="D467" s="3"/>
      <c r="E467" s="3"/>
      <c r="F467" s="3"/>
      <c r="G467" s="3"/>
      <c r="H467" s="3"/>
      <c r="I467" s="3"/>
      <c r="J467" s="3"/>
      <c r="K467" s="3"/>
      <c r="L467" s="4"/>
      <c r="M467" s="32"/>
      <c r="N467" s="32"/>
      <c r="O467" s="32"/>
      <c r="P467" s="32"/>
      <c r="Q467" s="32"/>
      <c r="R467" s="32"/>
      <c r="S467" s="32"/>
      <c r="T467" s="32"/>
      <c r="U467" s="32"/>
      <c r="V467" s="32"/>
      <c r="W467" s="32"/>
      <c r="X467" s="32"/>
      <c r="Y467" s="32"/>
      <c r="Z467" s="32"/>
    </row>
    <row r="468" spans="1:26" ht="17.25" customHeight="1">
      <c r="A468" s="3"/>
      <c r="B468" s="3"/>
      <c r="C468" s="3"/>
      <c r="D468" s="3"/>
      <c r="E468" s="3"/>
      <c r="F468" s="3"/>
      <c r="G468" s="3"/>
      <c r="H468" s="3"/>
      <c r="I468" s="3"/>
      <c r="J468" s="3"/>
      <c r="K468" s="3"/>
      <c r="L468" s="4"/>
      <c r="M468" s="32"/>
      <c r="N468" s="32"/>
      <c r="O468" s="32"/>
      <c r="P468" s="32"/>
      <c r="Q468" s="32"/>
      <c r="R468" s="32"/>
      <c r="S468" s="32"/>
      <c r="T468" s="32"/>
      <c r="U468" s="32"/>
      <c r="V468" s="32"/>
      <c r="W468" s="32"/>
      <c r="X468" s="32"/>
      <c r="Y468" s="32"/>
      <c r="Z468" s="32"/>
    </row>
    <row r="469" spans="1:26" ht="17.25" customHeight="1">
      <c r="A469" s="3"/>
      <c r="B469" s="3"/>
      <c r="C469" s="3"/>
      <c r="D469" s="3"/>
      <c r="E469" s="3"/>
      <c r="F469" s="3"/>
      <c r="G469" s="3"/>
      <c r="H469" s="3"/>
      <c r="I469" s="3"/>
      <c r="J469" s="3"/>
      <c r="K469" s="3"/>
      <c r="L469" s="4"/>
      <c r="M469" s="32"/>
      <c r="N469" s="32"/>
      <c r="O469" s="32"/>
      <c r="P469" s="32"/>
      <c r="Q469" s="32"/>
      <c r="R469" s="32"/>
      <c r="S469" s="32"/>
      <c r="T469" s="32"/>
      <c r="U469" s="32"/>
      <c r="V469" s="32"/>
      <c r="W469" s="32"/>
      <c r="X469" s="32"/>
      <c r="Y469" s="32"/>
      <c r="Z469" s="32"/>
    </row>
    <row r="470" spans="1:26" ht="17.25" customHeight="1">
      <c r="A470" s="3"/>
      <c r="B470" s="3"/>
      <c r="C470" s="3"/>
      <c r="D470" s="3"/>
      <c r="E470" s="3"/>
      <c r="F470" s="3"/>
      <c r="G470" s="3"/>
      <c r="H470" s="3"/>
      <c r="I470" s="3"/>
      <c r="J470" s="3"/>
      <c r="K470" s="3"/>
      <c r="L470" s="4"/>
      <c r="M470" s="32"/>
      <c r="N470" s="32"/>
      <c r="O470" s="32"/>
      <c r="P470" s="32"/>
      <c r="Q470" s="32"/>
      <c r="R470" s="32"/>
      <c r="S470" s="32"/>
      <c r="T470" s="32"/>
      <c r="U470" s="32"/>
      <c r="V470" s="32"/>
      <c r="W470" s="32"/>
      <c r="X470" s="32"/>
      <c r="Y470" s="32"/>
      <c r="Z470" s="32"/>
    </row>
    <row r="471" spans="1:26" ht="17.25" customHeight="1">
      <c r="A471" s="3"/>
      <c r="B471" s="3"/>
      <c r="C471" s="3"/>
      <c r="D471" s="3"/>
      <c r="E471" s="3"/>
      <c r="F471" s="3"/>
      <c r="G471" s="3"/>
      <c r="H471" s="3"/>
      <c r="I471" s="3"/>
      <c r="J471" s="3"/>
      <c r="K471" s="3"/>
      <c r="L471" s="4"/>
      <c r="M471" s="32"/>
      <c r="N471" s="32"/>
      <c r="O471" s="32"/>
      <c r="P471" s="32"/>
      <c r="Q471" s="32"/>
      <c r="R471" s="32"/>
      <c r="S471" s="32"/>
      <c r="T471" s="32"/>
      <c r="U471" s="32"/>
      <c r="V471" s="32"/>
      <c r="W471" s="32"/>
      <c r="X471" s="32"/>
      <c r="Y471" s="32"/>
      <c r="Z471" s="32"/>
    </row>
    <row r="472" spans="1:26" ht="17.25" customHeight="1">
      <c r="A472" s="3"/>
      <c r="B472" s="3"/>
      <c r="C472" s="3"/>
      <c r="D472" s="3"/>
      <c r="E472" s="3"/>
      <c r="F472" s="3"/>
      <c r="G472" s="3"/>
      <c r="H472" s="3"/>
      <c r="I472" s="3"/>
      <c r="J472" s="3"/>
      <c r="K472" s="3"/>
      <c r="L472" s="4"/>
      <c r="M472" s="32"/>
      <c r="N472" s="32"/>
      <c r="O472" s="32"/>
      <c r="P472" s="32"/>
      <c r="Q472" s="32"/>
      <c r="R472" s="32"/>
      <c r="S472" s="32"/>
      <c r="T472" s="32"/>
      <c r="U472" s="32"/>
      <c r="V472" s="32"/>
      <c r="W472" s="32"/>
      <c r="X472" s="32"/>
      <c r="Y472" s="32"/>
      <c r="Z472" s="32"/>
    </row>
    <row r="473" spans="1:26" ht="17.25" customHeight="1">
      <c r="A473" s="3"/>
      <c r="B473" s="3"/>
      <c r="C473" s="3"/>
      <c r="D473" s="3"/>
      <c r="E473" s="3"/>
      <c r="F473" s="3"/>
      <c r="G473" s="3"/>
      <c r="H473" s="3"/>
      <c r="I473" s="3"/>
      <c r="J473" s="3"/>
      <c r="K473" s="3"/>
      <c r="L473" s="4"/>
      <c r="M473" s="32"/>
      <c r="N473" s="32"/>
      <c r="O473" s="32"/>
      <c r="P473" s="32"/>
      <c r="Q473" s="32"/>
      <c r="R473" s="32"/>
      <c r="S473" s="32"/>
      <c r="T473" s="32"/>
      <c r="U473" s="32"/>
      <c r="V473" s="32"/>
      <c r="W473" s="32"/>
      <c r="X473" s="32"/>
      <c r="Y473" s="32"/>
      <c r="Z473" s="32"/>
    </row>
    <row r="474" spans="1:26" ht="17.25" customHeight="1">
      <c r="A474" s="3"/>
      <c r="B474" s="3"/>
      <c r="C474" s="3"/>
      <c r="D474" s="3"/>
      <c r="E474" s="3"/>
      <c r="F474" s="3"/>
      <c r="G474" s="3"/>
      <c r="H474" s="3"/>
      <c r="I474" s="3"/>
      <c r="J474" s="3"/>
      <c r="K474" s="3"/>
      <c r="L474" s="4"/>
      <c r="M474" s="32"/>
      <c r="N474" s="32"/>
      <c r="O474" s="32"/>
      <c r="P474" s="32"/>
      <c r="Q474" s="32"/>
      <c r="R474" s="32"/>
      <c r="S474" s="32"/>
      <c r="T474" s="32"/>
      <c r="U474" s="32"/>
      <c r="V474" s="32"/>
      <c r="W474" s="32"/>
      <c r="X474" s="32"/>
      <c r="Y474" s="32"/>
      <c r="Z474" s="32"/>
    </row>
    <row r="475" spans="1:26" ht="17.25" customHeight="1">
      <c r="A475" s="3"/>
      <c r="B475" s="3"/>
      <c r="C475" s="3"/>
      <c r="D475" s="3"/>
      <c r="E475" s="3"/>
      <c r="F475" s="3"/>
      <c r="G475" s="3"/>
      <c r="H475" s="3"/>
      <c r="I475" s="3"/>
      <c r="J475" s="3"/>
      <c r="K475" s="3"/>
      <c r="L475" s="4"/>
      <c r="M475" s="32"/>
      <c r="N475" s="32"/>
      <c r="O475" s="32"/>
      <c r="P475" s="32"/>
      <c r="Q475" s="32"/>
      <c r="R475" s="32"/>
      <c r="S475" s="32"/>
      <c r="T475" s="32"/>
      <c r="U475" s="32"/>
      <c r="V475" s="32"/>
      <c r="W475" s="32"/>
      <c r="X475" s="32"/>
      <c r="Y475" s="32"/>
      <c r="Z475" s="32"/>
    </row>
    <row r="476" spans="1:26" ht="17.25" customHeight="1">
      <c r="A476" s="3"/>
      <c r="B476" s="3"/>
      <c r="C476" s="3"/>
      <c r="D476" s="3"/>
      <c r="E476" s="3"/>
      <c r="F476" s="3"/>
      <c r="G476" s="3"/>
      <c r="H476" s="3"/>
      <c r="I476" s="3"/>
      <c r="J476" s="3"/>
      <c r="K476" s="3"/>
      <c r="L476" s="4"/>
      <c r="M476" s="32"/>
      <c r="N476" s="32"/>
      <c r="O476" s="32"/>
      <c r="P476" s="32"/>
      <c r="Q476" s="32"/>
      <c r="R476" s="32"/>
      <c r="S476" s="32"/>
      <c r="T476" s="32"/>
      <c r="U476" s="32"/>
      <c r="V476" s="32"/>
      <c r="W476" s="32"/>
      <c r="X476" s="32"/>
      <c r="Y476" s="32"/>
      <c r="Z476" s="32"/>
    </row>
    <row r="477" spans="1:26" ht="17.25" customHeight="1">
      <c r="A477" s="3"/>
      <c r="B477" s="3"/>
      <c r="C477" s="3"/>
      <c r="D477" s="3"/>
      <c r="E477" s="3"/>
      <c r="F477" s="3"/>
      <c r="G477" s="3"/>
      <c r="H477" s="3"/>
      <c r="I477" s="3"/>
      <c r="J477" s="3"/>
      <c r="K477" s="3"/>
      <c r="L477" s="4"/>
      <c r="M477" s="32"/>
      <c r="N477" s="32"/>
      <c r="O477" s="32"/>
      <c r="P477" s="32"/>
      <c r="Q477" s="32"/>
      <c r="R477" s="32"/>
      <c r="S477" s="32"/>
      <c r="T477" s="32"/>
      <c r="U477" s="32"/>
      <c r="V477" s="32"/>
      <c r="W477" s="32"/>
      <c r="X477" s="32"/>
      <c r="Y477" s="32"/>
      <c r="Z477" s="32"/>
    </row>
    <row r="478" spans="1:26" ht="17.25" customHeight="1">
      <c r="A478" s="3"/>
      <c r="B478" s="3"/>
      <c r="C478" s="3"/>
      <c r="D478" s="3"/>
      <c r="E478" s="3"/>
      <c r="F478" s="3"/>
      <c r="G478" s="3"/>
      <c r="H478" s="3"/>
      <c r="I478" s="3"/>
      <c r="J478" s="3"/>
      <c r="K478" s="3"/>
      <c r="L478" s="4"/>
      <c r="M478" s="32"/>
      <c r="N478" s="32"/>
      <c r="O478" s="32"/>
      <c r="P478" s="32"/>
      <c r="Q478" s="32"/>
      <c r="R478" s="32"/>
      <c r="S478" s="32"/>
      <c r="T478" s="32"/>
      <c r="U478" s="32"/>
      <c r="V478" s="32"/>
      <c r="W478" s="32"/>
      <c r="X478" s="32"/>
      <c r="Y478" s="32"/>
      <c r="Z478" s="32"/>
    </row>
    <row r="479" spans="1:26" ht="17.25" customHeight="1">
      <c r="A479" s="3"/>
      <c r="B479" s="3"/>
      <c r="C479" s="3"/>
      <c r="D479" s="3"/>
      <c r="E479" s="3"/>
      <c r="F479" s="3"/>
      <c r="G479" s="3"/>
      <c r="H479" s="3"/>
      <c r="I479" s="3"/>
      <c r="J479" s="3"/>
      <c r="K479" s="3"/>
      <c r="L479" s="4"/>
      <c r="M479" s="32"/>
      <c r="N479" s="32"/>
      <c r="O479" s="32"/>
      <c r="P479" s="32"/>
      <c r="Q479" s="32"/>
      <c r="R479" s="32"/>
      <c r="S479" s="32"/>
      <c r="T479" s="32"/>
      <c r="U479" s="32"/>
      <c r="V479" s="32"/>
      <c r="W479" s="32"/>
      <c r="X479" s="32"/>
      <c r="Y479" s="32"/>
      <c r="Z479" s="32"/>
    </row>
    <row r="480" spans="1:26" ht="17.25" customHeight="1">
      <c r="A480" s="3"/>
      <c r="B480" s="3"/>
      <c r="C480" s="3"/>
      <c r="D480" s="3"/>
      <c r="E480" s="3"/>
      <c r="F480" s="3"/>
      <c r="G480" s="3"/>
      <c r="H480" s="3"/>
      <c r="I480" s="3"/>
      <c r="J480" s="3"/>
      <c r="K480" s="3"/>
      <c r="L480" s="4"/>
      <c r="M480" s="32"/>
      <c r="N480" s="32"/>
      <c r="O480" s="32"/>
      <c r="P480" s="32"/>
      <c r="Q480" s="32"/>
      <c r="R480" s="32"/>
      <c r="S480" s="32"/>
      <c r="T480" s="32"/>
      <c r="U480" s="32"/>
      <c r="V480" s="32"/>
      <c r="W480" s="32"/>
      <c r="X480" s="32"/>
      <c r="Y480" s="32"/>
      <c r="Z480" s="32"/>
    </row>
    <row r="481" spans="1:26" ht="17.25" customHeight="1">
      <c r="A481" s="3"/>
      <c r="B481" s="3"/>
      <c r="C481" s="3"/>
      <c r="D481" s="3"/>
      <c r="E481" s="3"/>
      <c r="F481" s="3"/>
      <c r="G481" s="3"/>
      <c r="H481" s="3"/>
      <c r="I481" s="3"/>
      <c r="J481" s="3"/>
      <c r="K481" s="3"/>
      <c r="L481" s="4"/>
      <c r="M481" s="32"/>
      <c r="N481" s="32"/>
      <c r="O481" s="32"/>
      <c r="P481" s="32"/>
      <c r="Q481" s="32"/>
      <c r="R481" s="32"/>
      <c r="S481" s="32"/>
      <c r="T481" s="32"/>
      <c r="U481" s="32"/>
      <c r="V481" s="32"/>
      <c r="W481" s="32"/>
      <c r="X481" s="32"/>
      <c r="Y481" s="32"/>
      <c r="Z481" s="32"/>
    </row>
    <row r="482" spans="1:26" ht="17.25" customHeight="1">
      <c r="A482" s="3"/>
      <c r="B482" s="3"/>
      <c r="C482" s="3"/>
      <c r="D482" s="3"/>
      <c r="E482" s="3"/>
      <c r="F482" s="3"/>
      <c r="G482" s="3"/>
      <c r="H482" s="3"/>
      <c r="I482" s="3"/>
      <c r="J482" s="3"/>
      <c r="K482" s="3"/>
      <c r="L482" s="4"/>
      <c r="M482" s="32"/>
      <c r="N482" s="32"/>
      <c r="O482" s="32"/>
      <c r="P482" s="32"/>
      <c r="Q482" s="32"/>
      <c r="R482" s="32"/>
      <c r="S482" s="32"/>
      <c r="T482" s="32"/>
      <c r="U482" s="32"/>
      <c r="V482" s="32"/>
      <c r="W482" s="32"/>
      <c r="X482" s="32"/>
      <c r="Y482" s="32"/>
      <c r="Z482" s="32"/>
    </row>
    <row r="483" spans="1:26" ht="17.25" customHeight="1">
      <c r="A483" s="3"/>
      <c r="B483" s="3"/>
      <c r="C483" s="3"/>
      <c r="D483" s="3"/>
      <c r="E483" s="3"/>
      <c r="F483" s="3"/>
      <c r="G483" s="3"/>
      <c r="H483" s="3"/>
      <c r="I483" s="3"/>
      <c r="J483" s="3"/>
      <c r="K483" s="3"/>
      <c r="L483" s="4"/>
      <c r="M483" s="32"/>
      <c r="N483" s="32"/>
      <c r="O483" s="32"/>
      <c r="P483" s="32"/>
      <c r="Q483" s="32"/>
      <c r="R483" s="32"/>
      <c r="S483" s="32"/>
      <c r="T483" s="32"/>
      <c r="U483" s="32"/>
      <c r="V483" s="32"/>
      <c r="W483" s="32"/>
      <c r="X483" s="32"/>
      <c r="Y483" s="32"/>
      <c r="Z483" s="32"/>
    </row>
    <row r="484" spans="1:26" ht="17.25" customHeight="1">
      <c r="A484" s="3"/>
      <c r="B484" s="3"/>
      <c r="C484" s="3"/>
      <c r="D484" s="3"/>
      <c r="E484" s="3"/>
      <c r="F484" s="3"/>
      <c r="G484" s="3"/>
      <c r="H484" s="3"/>
      <c r="I484" s="3"/>
      <c r="J484" s="3"/>
      <c r="K484" s="3"/>
      <c r="L484" s="4"/>
      <c r="M484" s="32"/>
      <c r="N484" s="32"/>
      <c r="O484" s="32"/>
      <c r="P484" s="32"/>
      <c r="Q484" s="32"/>
      <c r="R484" s="32"/>
      <c r="S484" s="32"/>
      <c r="T484" s="32"/>
      <c r="U484" s="32"/>
      <c r="V484" s="32"/>
      <c r="W484" s="32"/>
      <c r="X484" s="32"/>
      <c r="Y484" s="32"/>
      <c r="Z484" s="32"/>
    </row>
    <row r="485" spans="1:26" ht="17.25" customHeight="1">
      <c r="A485" s="3"/>
      <c r="B485" s="3"/>
      <c r="C485" s="3"/>
      <c r="D485" s="3"/>
      <c r="E485" s="3"/>
      <c r="F485" s="3"/>
      <c r="G485" s="3"/>
      <c r="H485" s="3"/>
      <c r="I485" s="3"/>
      <c r="J485" s="3"/>
      <c r="K485" s="3"/>
      <c r="L485" s="4"/>
      <c r="M485" s="32"/>
      <c r="N485" s="32"/>
      <c r="O485" s="32"/>
      <c r="P485" s="32"/>
      <c r="Q485" s="32"/>
      <c r="R485" s="32"/>
      <c r="S485" s="32"/>
      <c r="T485" s="32"/>
      <c r="U485" s="32"/>
      <c r="V485" s="32"/>
      <c r="W485" s="32"/>
      <c r="X485" s="32"/>
      <c r="Y485" s="32"/>
      <c r="Z485" s="32"/>
    </row>
    <row r="486" spans="1:26" ht="17.25" customHeight="1">
      <c r="A486" s="3"/>
      <c r="B486" s="3"/>
      <c r="C486" s="3"/>
      <c r="D486" s="3"/>
      <c r="E486" s="3"/>
      <c r="F486" s="3"/>
      <c r="G486" s="3"/>
      <c r="H486" s="3"/>
      <c r="I486" s="3"/>
      <c r="J486" s="3"/>
      <c r="K486" s="3"/>
      <c r="L486" s="4"/>
      <c r="M486" s="32"/>
      <c r="N486" s="32"/>
      <c r="O486" s="32"/>
      <c r="P486" s="32"/>
      <c r="Q486" s="32"/>
      <c r="R486" s="32"/>
      <c r="S486" s="32"/>
      <c r="T486" s="32"/>
      <c r="U486" s="32"/>
      <c r="V486" s="32"/>
      <c r="W486" s="32"/>
      <c r="X486" s="32"/>
      <c r="Y486" s="32"/>
      <c r="Z486" s="32"/>
    </row>
    <row r="487" spans="1:26" ht="17.25" customHeight="1">
      <c r="A487" s="3"/>
      <c r="B487" s="3"/>
      <c r="C487" s="3"/>
      <c r="D487" s="3"/>
      <c r="E487" s="3"/>
      <c r="F487" s="3"/>
      <c r="G487" s="3"/>
      <c r="H487" s="3"/>
      <c r="I487" s="3"/>
      <c r="J487" s="3"/>
      <c r="K487" s="3"/>
      <c r="L487" s="4"/>
      <c r="M487" s="32"/>
      <c r="N487" s="32"/>
      <c r="O487" s="32"/>
      <c r="P487" s="32"/>
      <c r="Q487" s="32"/>
      <c r="R487" s="32"/>
      <c r="S487" s="32"/>
      <c r="T487" s="32"/>
      <c r="U487" s="32"/>
      <c r="V487" s="32"/>
      <c r="W487" s="32"/>
      <c r="X487" s="32"/>
      <c r="Y487" s="32"/>
      <c r="Z487" s="32"/>
    </row>
    <row r="488" spans="1:26" ht="17.25" customHeight="1">
      <c r="A488" s="3"/>
      <c r="B488" s="3"/>
      <c r="C488" s="3"/>
      <c r="D488" s="3"/>
      <c r="E488" s="3"/>
      <c r="F488" s="3"/>
      <c r="G488" s="3"/>
      <c r="H488" s="3"/>
      <c r="I488" s="3"/>
      <c r="J488" s="3"/>
      <c r="K488" s="3"/>
      <c r="L488" s="4"/>
      <c r="M488" s="32"/>
      <c r="N488" s="32"/>
      <c r="O488" s="32"/>
      <c r="P488" s="32"/>
      <c r="Q488" s="32"/>
      <c r="R488" s="32"/>
      <c r="S488" s="32"/>
      <c r="T488" s="32"/>
      <c r="U488" s="32"/>
      <c r="V488" s="32"/>
      <c r="W488" s="32"/>
      <c r="X488" s="32"/>
      <c r="Y488" s="32"/>
      <c r="Z488" s="32"/>
    </row>
    <row r="489" spans="1:26" ht="17.25" customHeight="1">
      <c r="A489" s="3"/>
      <c r="B489" s="3"/>
      <c r="C489" s="3"/>
      <c r="D489" s="3"/>
      <c r="E489" s="3"/>
      <c r="F489" s="3"/>
      <c r="G489" s="3"/>
      <c r="H489" s="3"/>
      <c r="I489" s="3"/>
      <c r="J489" s="3"/>
      <c r="K489" s="3"/>
      <c r="L489" s="4"/>
      <c r="M489" s="32"/>
      <c r="N489" s="32"/>
      <c r="O489" s="32"/>
      <c r="P489" s="32"/>
      <c r="Q489" s="32"/>
      <c r="R489" s="32"/>
      <c r="S489" s="32"/>
      <c r="T489" s="32"/>
      <c r="U489" s="32"/>
      <c r="V489" s="32"/>
      <c r="W489" s="32"/>
      <c r="X489" s="32"/>
      <c r="Y489" s="32"/>
      <c r="Z489" s="32"/>
    </row>
    <row r="490" spans="1:26" ht="17.25" customHeight="1">
      <c r="A490" s="3"/>
      <c r="B490" s="3"/>
      <c r="C490" s="3"/>
      <c r="D490" s="3"/>
      <c r="E490" s="3"/>
      <c r="F490" s="3"/>
      <c r="G490" s="3"/>
      <c r="H490" s="3"/>
      <c r="I490" s="3"/>
      <c r="J490" s="3"/>
      <c r="K490" s="3"/>
      <c r="L490" s="4"/>
      <c r="M490" s="32"/>
      <c r="N490" s="32"/>
      <c r="O490" s="32"/>
      <c r="P490" s="32"/>
      <c r="Q490" s="32"/>
      <c r="R490" s="32"/>
      <c r="S490" s="32"/>
      <c r="T490" s="32"/>
      <c r="U490" s="32"/>
      <c r="V490" s="32"/>
      <c r="W490" s="32"/>
      <c r="X490" s="32"/>
      <c r="Y490" s="32"/>
      <c r="Z490" s="32"/>
    </row>
    <row r="491" spans="1:26" ht="17.25" customHeight="1">
      <c r="A491" s="3"/>
      <c r="B491" s="3"/>
      <c r="C491" s="3"/>
      <c r="D491" s="3"/>
      <c r="E491" s="3"/>
      <c r="F491" s="3"/>
      <c r="G491" s="3"/>
      <c r="H491" s="3"/>
      <c r="I491" s="3"/>
      <c r="J491" s="3"/>
      <c r="K491" s="3"/>
      <c r="L491" s="4"/>
      <c r="M491" s="32"/>
      <c r="N491" s="32"/>
      <c r="O491" s="32"/>
      <c r="P491" s="32"/>
      <c r="Q491" s="32"/>
      <c r="R491" s="32"/>
      <c r="S491" s="32"/>
      <c r="T491" s="32"/>
      <c r="U491" s="32"/>
      <c r="V491" s="32"/>
      <c r="W491" s="32"/>
      <c r="X491" s="32"/>
      <c r="Y491" s="32"/>
      <c r="Z491" s="32"/>
    </row>
    <row r="492" spans="1:26" ht="17.25" customHeight="1">
      <c r="A492" s="3"/>
      <c r="B492" s="3"/>
      <c r="C492" s="3"/>
      <c r="D492" s="3"/>
      <c r="E492" s="3"/>
      <c r="F492" s="3"/>
      <c r="G492" s="3"/>
      <c r="H492" s="3"/>
      <c r="I492" s="3"/>
      <c r="J492" s="3"/>
      <c r="K492" s="3"/>
      <c r="L492" s="4"/>
      <c r="M492" s="32"/>
      <c r="N492" s="32"/>
      <c r="O492" s="32"/>
      <c r="P492" s="32"/>
      <c r="Q492" s="32"/>
      <c r="R492" s="32"/>
      <c r="S492" s="32"/>
      <c r="T492" s="32"/>
      <c r="U492" s="32"/>
      <c r="V492" s="32"/>
      <c r="W492" s="32"/>
      <c r="X492" s="32"/>
      <c r="Y492" s="32"/>
      <c r="Z492" s="32"/>
    </row>
    <row r="493" spans="1:26" ht="17.25" customHeight="1">
      <c r="A493" s="3"/>
      <c r="B493" s="3"/>
      <c r="C493" s="3"/>
      <c r="D493" s="3"/>
      <c r="E493" s="3"/>
      <c r="F493" s="3"/>
      <c r="G493" s="3"/>
      <c r="H493" s="3"/>
      <c r="I493" s="3"/>
      <c r="J493" s="3"/>
      <c r="K493" s="3"/>
      <c r="L493" s="4"/>
      <c r="M493" s="32"/>
      <c r="N493" s="32"/>
      <c r="O493" s="32"/>
      <c r="P493" s="32"/>
      <c r="Q493" s="32"/>
      <c r="R493" s="32"/>
      <c r="S493" s="32"/>
      <c r="T493" s="32"/>
      <c r="U493" s="32"/>
      <c r="V493" s="32"/>
      <c r="W493" s="32"/>
      <c r="X493" s="32"/>
      <c r="Y493" s="32"/>
      <c r="Z493" s="32"/>
    </row>
    <row r="494" spans="1:26" ht="17.25" customHeight="1">
      <c r="A494" s="3"/>
      <c r="B494" s="3"/>
      <c r="C494" s="3"/>
      <c r="D494" s="3"/>
      <c r="E494" s="3"/>
      <c r="F494" s="3"/>
      <c r="G494" s="3"/>
      <c r="H494" s="3"/>
      <c r="I494" s="3"/>
      <c r="J494" s="3"/>
      <c r="K494" s="3"/>
      <c r="L494" s="4"/>
      <c r="M494" s="32"/>
      <c r="N494" s="32"/>
      <c r="O494" s="32"/>
      <c r="P494" s="32"/>
      <c r="Q494" s="32"/>
      <c r="R494" s="32"/>
      <c r="S494" s="32"/>
      <c r="T494" s="32"/>
      <c r="U494" s="32"/>
      <c r="V494" s="32"/>
      <c r="W494" s="32"/>
      <c r="X494" s="32"/>
      <c r="Y494" s="32"/>
      <c r="Z494" s="32"/>
    </row>
    <row r="495" spans="1:26" ht="17.25" customHeight="1">
      <c r="A495" s="3"/>
      <c r="B495" s="3"/>
      <c r="C495" s="3"/>
      <c r="D495" s="3"/>
      <c r="E495" s="3"/>
      <c r="F495" s="3"/>
      <c r="G495" s="3"/>
      <c r="H495" s="3"/>
      <c r="I495" s="3"/>
      <c r="J495" s="3"/>
      <c r="K495" s="3"/>
      <c r="L495" s="4"/>
      <c r="M495" s="32"/>
      <c r="N495" s="32"/>
      <c r="O495" s="32"/>
      <c r="P495" s="32"/>
      <c r="Q495" s="32"/>
      <c r="R495" s="32"/>
      <c r="S495" s="32"/>
      <c r="T495" s="32"/>
      <c r="U495" s="32"/>
      <c r="V495" s="32"/>
      <c r="W495" s="32"/>
      <c r="X495" s="32"/>
      <c r="Y495" s="32"/>
      <c r="Z495" s="32"/>
    </row>
    <row r="496" spans="1:26" ht="17.25" customHeight="1">
      <c r="A496" s="3"/>
      <c r="B496" s="3"/>
      <c r="C496" s="3"/>
      <c r="D496" s="3"/>
      <c r="E496" s="3"/>
      <c r="F496" s="3"/>
      <c r="G496" s="3"/>
      <c r="H496" s="3"/>
      <c r="I496" s="3"/>
      <c r="J496" s="3"/>
      <c r="K496" s="3"/>
      <c r="L496" s="4"/>
      <c r="M496" s="32"/>
      <c r="N496" s="32"/>
      <c r="O496" s="32"/>
      <c r="P496" s="32"/>
      <c r="Q496" s="32"/>
      <c r="R496" s="32"/>
      <c r="S496" s="32"/>
      <c r="T496" s="32"/>
      <c r="U496" s="32"/>
      <c r="V496" s="32"/>
      <c r="W496" s="32"/>
      <c r="X496" s="32"/>
      <c r="Y496" s="32"/>
      <c r="Z496" s="32"/>
    </row>
    <row r="497" spans="1:26" ht="17.25" customHeight="1">
      <c r="A497" s="3"/>
      <c r="B497" s="3"/>
      <c r="C497" s="3"/>
      <c r="D497" s="3"/>
      <c r="E497" s="3"/>
      <c r="F497" s="3"/>
      <c r="G497" s="3"/>
      <c r="H497" s="3"/>
      <c r="I497" s="3"/>
      <c r="J497" s="3"/>
      <c r="K497" s="3"/>
      <c r="L497" s="4"/>
      <c r="M497" s="32"/>
      <c r="N497" s="32"/>
      <c r="O497" s="32"/>
      <c r="P497" s="32"/>
      <c r="Q497" s="32"/>
      <c r="R497" s="32"/>
      <c r="S497" s="32"/>
      <c r="T497" s="32"/>
      <c r="U497" s="32"/>
      <c r="V497" s="32"/>
      <c r="W497" s="32"/>
      <c r="X497" s="32"/>
      <c r="Y497" s="32"/>
      <c r="Z497" s="32"/>
    </row>
    <row r="498" spans="1:26" ht="17.25" customHeight="1">
      <c r="A498" s="3"/>
      <c r="B498" s="3"/>
      <c r="C498" s="3"/>
      <c r="D498" s="3"/>
      <c r="E498" s="3"/>
      <c r="F498" s="3"/>
      <c r="G498" s="3"/>
      <c r="H498" s="3"/>
      <c r="I498" s="3"/>
      <c r="J498" s="3"/>
      <c r="K498" s="3"/>
      <c r="L498" s="4"/>
      <c r="M498" s="32"/>
      <c r="N498" s="32"/>
      <c r="O498" s="32"/>
      <c r="P498" s="32"/>
      <c r="Q498" s="32"/>
      <c r="R498" s="32"/>
      <c r="S498" s="32"/>
      <c r="T498" s="32"/>
      <c r="U498" s="32"/>
      <c r="V498" s="32"/>
      <c r="W498" s="32"/>
      <c r="X498" s="32"/>
      <c r="Y498" s="32"/>
      <c r="Z498" s="32"/>
    </row>
    <row r="499" spans="1:26" ht="17.25" customHeight="1">
      <c r="A499" s="3"/>
      <c r="B499" s="3"/>
      <c r="C499" s="3"/>
      <c r="D499" s="3"/>
      <c r="E499" s="3"/>
      <c r="F499" s="3"/>
      <c r="G499" s="3"/>
      <c r="H499" s="3"/>
      <c r="I499" s="3"/>
      <c r="J499" s="3"/>
      <c r="K499" s="3"/>
      <c r="L499" s="4"/>
      <c r="M499" s="32"/>
      <c r="N499" s="32"/>
      <c r="O499" s="32"/>
      <c r="P499" s="32"/>
      <c r="Q499" s="32"/>
      <c r="R499" s="32"/>
      <c r="S499" s="32"/>
      <c r="T499" s="32"/>
      <c r="U499" s="32"/>
      <c r="V499" s="32"/>
      <c r="W499" s="32"/>
      <c r="X499" s="32"/>
      <c r="Y499" s="32"/>
      <c r="Z499" s="32"/>
    </row>
    <row r="500" spans="1:26" ht="17.25" customHeight="1">
      <c r="A500" s="3"/>
      <c r="B500" s="3"/>
      <c r="C500" s="3"/>
      <c r="D500" s="3"/>
      <c r="E500" s="3"/>
      <c r="F500" s="3"/>
      <c r="G500" s="3"/>
      <c r="H500" s="3"/>
      <c r="I500" s="3"/>
      <c r="J500" s="3"/>
      <c r="K500" s="3"/>
      <c r="L500" s="4"/>
      <c r="M500" s="32"/>
      <c r="N500" s="32"/>
      <c r="O500" s="32"/>
      <c r="P500" s="32"/>
      <c r="Q500" s="32"/>
      <c r="R500" s="32"/>
      <c r="S500" s="32"/>
      <c r="T500" s="32"/>
      <c r="U500" s="32"/>
      <c r="V500" s="32"/>
      <c r="W500" s="32"/>
      <c r="X500" s="32"/>
      <c r="Y500" s="32"/>
      <c r="Z500" s="32"/>
    </row>
    <row r="501" spans="1:26" ht="17.25" customHeight="1">
      <c r="A501" s="3"/>
      <c r="B501" s="3"/>
      <c r="C501" s="3"/>
      <c r="D501" s="3"/>
      <c r="E501" s="3"/>
      <c r="F501" s="3"/>
      <c r="G501" s="3"/>
      <c r="H501" s="3"/>
      <c r="I501" s="3"/>
      <c r="J501" s="3"/>
      <c r="K501" s="3"/>
      <c r="L501" s="4"/>
      <c r="M501" s="32"/>
      <c r="N501" s="32"/>
      <c r="O501" s="32"/>
      <c r="P501" s="32"/>
      <c r="Q501" s="32"/>
      <c r="R501" s="32"/>
      <c r="S501" s="32"/>
      <c r="T501" s="32"/>
      <c r="U501" s="32"/>
      <c r="V501" s="32"/>
      <c r="W501" s="32"/>
      <c r="X501" s="32"/>
      <c r="Y501" s="32"/>
      <c r="Z501" s="32"/>
    </row>
    <row r="502" spans="1:26" ht="17.25" customHeight="1">
      <c r="A502" s="3"/>
      <c r="B502" s="3"/>
      <c r="C502" s="3"/>
      <c r="D502" s="3"/>
      <c r="E502" s="3"/>
      <c r="F502" s="3"/>
      <c r="G502" s="3"/>
      <c r="H502" s="3"/>
      <c r="I502" s="3"/>
      <c r="J502" s="3"/>
      <c r="K502" s="3"/>
      <c r="L502" s="4"/>
      <c r="M502" s="32"/>
      <c r="N502" s="32"/>
      <c r="O502" s="32"/>
      <c r="P502" s="32"/>
      <c r="Q502" s="32"/>
      <c r="R502" s="32"/>
      <c r="S502" s="32"/>
      <c r="T502" s="32"/>
      <c r="U502" s="32"/>
      <c r="V502" s="32"/>
      <c r="W502" s="32"/>
      <c r="X502" s="32"/>
      <c r="Y502" s="32"/>
      <c r="Z502" s="32"/>
    </row>
    <row r="503" spans="1:26" ht="17.25" customHeight="1">
      <c r="A503" s="3"/>
      <c r="B503" s="3"/>
      <c r="C503" s="3"/>
      <c r="D503" s="3"/>
      <c r="E503" s="3"/>
      <c r="F503" s="3"/>
      <c r="G503" s="3"/>
      <c r="H503" s="3"/>
      <c r="I503" s="3"/>
      <c r="J503" s="3"/>
      <c r="K503" s="3"/>
      <c r="L503" s="4"/>
      <c r="M503" s="32"/>
      <c r="N503" s="32"/>
      <c r="O503" s="32"/>
      <c r="P503" s="32"/>
      <c r="Q503" s="32"/>
      <c r="R503" s="32"/>
      <c r="S503" s="32"/>
      <c r="T503" s="32"/>
      <c r="U503" s="32"/>
      <c r="V503" s="32"/>
      <c r="W503" s="32"/>
      <c r="X503" s="32"/>
      <c r="Y503" s="32"/>
      <c r="Z503" s="32"/>
    </row>
    <row r="504" spans="1:26" ht="17.25" customHeight="1">
      <c r="A504" s="3"/>
      <c r="B504" s="3"/>
      <c r="C504" s="3"/>
      <c r="D504" s="3"/>
      <c r="E504" s="3"/>
      <c r="F504" s="3"/>
      <c r="G504" s="3"/>
      <c r="H504" s="3"/>
      <c r="I504" s="3"/>
      <c r="J504" s="3"/>
      <c r="K504" s="3"/>
      <c r="L504" s="4"/>
      <c r="M504" s="32"/>
      <c r="N504" s="32"/>
      <c r="O504" s="32"/>
      <c r="P504" s="32"/>
      <c r="Q504" s="32"/>
      <c r="R504" s="32"/>
      <c r="S504" s="32"/>
      <c r="T504" s="32"/>
      <c r="U504" s="32"/>
      <c r="V504" s="32"/>
      <c r="W504" s="32"/>
      <c r="X504" s="32"/>
      <c r="Y504" s="32"/>
      <c r="Z504" s="32"/>
    </row>
    <row r="505" spans="1:26" ht="17.25" customHeight="1">
      <c r="A505" s="3"/>
      <c r="B505" s="3"/>
      <c r="C505" s="3"/>
      <c r="D505" s="3"/>
      <c r="E505" s="3"/>
      <c r="F505" s="3"/>
      <c r="G505" s="3"/>
      <c r="H505" s="3"/>
      <c r="I505" s="3"/>
      <c r="J505" s="3"/>
      <c r="K505" s="3"/>
      <c r="L505" s="4"/>
      <c r="M505" s="32"/>
      <c r="N505" s="32"/>
      <c r="O505" s="32"/>
      <c r="P505" s="32"/>
      <c r="Q505" s="32"/>
      <c r="R505" s="32"/>
      <c r="S505" s="32"/>
      <c r="T505" s="32"/>
      <c r="U505" s="32"/>
      <c r="V505" s="32"/>
      <c r="W505" s="32"/>
      <c r="X505" s="32"/>
      <c r="Y505" s="32"/>
      <c r="Z505" s="32"/>
    </row>
    <row r="506" spans="1:26" ht="17.25" customHeight="1">
      <c r="A506" s="3"/>
      <c r="B506" s="3"/>
      <c r="C506" s="3"/>
      <c r="D506" s="3"/>
      <c r="E506" s="3"/>
      <c r="F506" s="3"/>
      <c r="G506" s="3"/>
      <c r="H506" s="3"/>
      <c r="I506" s="3"/>
      <c r="J506" s="3"/>
      <c r="K506" s="3"/>
      <c r="L506" s="4"/>
      <c r="M506" s="32"/>
      <c r="N506" s="32"/>
      <c r="O506" s="32"/>
      <c r="P506" s="32"/>
      <c r="Q506" s="32"/>
      <c r="R506" s="32"/>
      <c r="S506" s="32"/>
      <c r="T506" s="32"/>
      <c r="U506" s="32"/>
      <c r="V506" s="32"/>
      <c r="W506" s="32"/>
      <c r="X506" s="32"/>
      <c r="Y506" s="32"/>
      <c r="Z506" s="32"/>
    </row>
    <row r="507" spans="1:26" ht="17.25" customHeight="1">
      <c r="A507" s="3"/>
      <c r="B507" s="3"/>
      <c r="C507" s="3"/>
      <c r="D507" s="3"/>
      <c r="E507" s="3"/>
      <c r="F507" s="3"/>
      <c r="G507" s="3"/>
      <c r="H507" s="3"/>
      <c r="I507" s="3"/>
      <c r="J507" s="3"/>
      <c r="K507" s="3"/>
      <c r="L507" s="4"/>
      <c r="M507" s="32"/>
      <c r="N507" s="32"/>
      <c r="O507" s="32"/>
      <c r="P507" s="32"/>
      <c r="Q507" s="32"/>
      <c r="R507" s="32"/>
      <c r="S507" s="32"/>
      <c r="T507" s="32"/>
      <c r="U507" s="32"/>
      <c r="V507" s="32"/>
      <c r="W507" s="32"/>
      <c r="X507" s="32"/>
      <c r="Y507" s="32"/>
      <c r="Z507" s="32"/>
    </row>
    <row r="508" spans="1:26" ht="17.25" customHeight="1">
      <c r="A508" s="3"/>
      <c r="B508" s="3"/>
      <c r="C508" s="3"/>
      <c r="D508" s="3"/>
      <c r="E508" s="3"/>
      <c r="F508" s="3"/>
      <c r="G508" s="3"/>
      <c r="H508" s="3"/>
      <c r="I508" s="3"/>
      <c r="J508" s="3"/>
      <c r="K508" s="3"/>
      <c r="L508" s="4"/>
      <c r="M508" s="32"/>
      <c r="N508" s="32"/>
      <c r="O508" s="32"/>
      <c r="P508" s="32"/>
      <c r="Q508" s="32"/>
      <c r="R508" s="32"/>
      <c r="S508" s="32"/>
      <c r="T508" s="32"/>
      <c r="U508" s="32"/>
      <c r="V508" s="32"/>
      <c r="W508" s="32"/>
      <c r="X508" s="32"/>
      <c r="Y508" s="32"/>
      <c r="Z508" s="32"/>
    </row>
    <row r="509" spans="1:26" ht="17.25" customHeight="1">
      <c r="A509" s="3"/>
      <c r="B509" s="3"/>
      <c r="C509" s="3"/>
      <c r="D509" s="3"/>
      <c r="E509" s="3"/>
      <c r="F509" s="3"/>
      <c r="G509" s="3"/>
      <c r="H509" s="3"/>
      <c r="I509" s="3"/>
      <c r="J509" s="3"/>
      <c r="K509" s="3"/>
      <c r="L509" s="4"/>
      <c r="M509" s="32"/>
      <c r="N509" s="32"/>
      <c r="O509" s="32"/>
      <c r="P509" s="32"/>
      <c r="Q509" s="32"/>
      <c r="R509" s="32"/>
      <c r="S509" s="32"/>
      <c r="T509" s="32"/>
      <c r="U509" s="32"/>
      <c r="V509" s="32"/>
      <c r="W509" s="32"/>
      <c r="X509" s="32"/>
      <c r="Y509" s="32"/>
      <c r="Z509" s="32"/>
    </row>
    <row r="510" spans="1:26" ht="17.25" customHeight="1">
      <c r="A510" s="3"/>
      <c r="B510" s="3"/>
      <c r="C510" s="3"/>
      <c r="D510" s="3"/>
      <c r="E510" s="3"/>
      <c r="F510" s="3"/>
      <c r="G510" s="3"/>
      <c r="H510" s="3"/>
      <c r="I510" s="3"/>
      <c r="J510" s="3"/>
      <c r="K510" s="3"/>
      <c r="L510" s="4"/>
      <c r="M510" s="32"/>
      <c r="N510" s="32"/>
      <c r="O510" s="32"/>
      <c r="P510" s="32"/>
      <c r="Q510" s="32"/>
      <c r="R510" s="32"/>
      <c r="S510" s="32"/>
      <c r="T510" s="32"/>
      <c r="U510" s="32"/>
      <c r="V510" s="32"/>
      <c r="W510" s="32"/>
      <c r="X510" s="32"/>
      <c r="Y510" s="32"/>
      <c r="Z510" s="32"/>
    </row>
    <row r="511" spans="1:26" ht="17.25" customHeight="1">
      <c r="A511" s="3"/>
      <c r="B511" s="3"/>
      <c r="C511" s="3"/>
      <c r="D511" s="3"/>
      <c r="E511" s="3"/>
      <c r="F511" s="3"/>
      <c r="G511" s="3"/>
      <c r="H511" s="3"/>
      <c r="I511" s="3"/>
      <c r="J511" s="3"/>
      <c r="K511" s="3"/>
      <c r="L511" s="4"/>
      <c r="M511" s="32"/>
      <c r="N511" s="32"/>
      <c r="O511" s="32"/>
      <c r="P511" s="32"/>
      <c r="Q511" s="32"/>
      <c r="R511" s="32"/>
      <c r="S511" s="32"/>
      <c r="T511" s="32"/>
      <c r="U511" s="32"/>
      <c r="V511" s="32"/>
      <c r="W511" s="32"/>
      <c r="X511" s="32"/>
      <c r="Y511" s="32"/>
      <c r="Z511" s="32"/>
    </row>
    <row r="512" spans="1:26" ht="17.25" customHeight="1">
      <c r="A512" s="3"/>
      <c r="B512" s="3"/>
      <c r="C512" s="3"/>
      <c r="D512" s="3"/>
      <c r="E512" s="3"/>
      <c r="F512" s="3"/>
      <c r="G512" s="3"/>
      <c r="H512" s="3"/>
      <c r="I512" s="3"/>
      <c r="J512" s="3"/>
      <c r="K512" s="3"/>
      <c r="L512" s="4"/>
      <c r="M512" s="32"/>
      <c r="N512" s="32"/>
      <c r="O512" s="32"/>
      <c r="P512" s="32"/>
      <c r="Q512" s="32"/>
      <c r="R512" s="32"/>
      <c r="S512" s="32"/>
      <c r="T512" s="32"/>
      <c r="U512" s="32"/>
      <c r="V512" s="32"/>
      <c r="W512" s="32"/>
      <c r="X512" s="32"/>
      <c r="Y512" s="32"/>
      <c r="Z512" s="32"/>
    </row>
    <row r="513" spans="1:26" ht="17.25" customHeight="1">
      <c r="A513" s="3"/>
      <c r="B513" s="3"/>
      <c r="C513" s="3"/>
      <c r="D513" s="3"/>
      <c r="E513" s="3"/>
      <c r="F513" s="3"/>
      <c r="G513" s="3"/>
      <c r="H513" s="3"/>
      <c r="I513" s="3"/>
      <c r="J513" s="3"/>
      <c r="K513" s="3"/>
      <c r="L513" s="4"/>
      <c r="M513" s="32"/>
      <c r="N513" s="32"/>
      <c r="O513" s="32"/>
      <c r="P513" s="32"/>
      <c r="Q513" s="32"/>
      <c r="R513" s="32"/>
      <c r="S513" s="32"/>
      <c r="T513" s="32"/>
      <c r="U513" s="32"/>
      <c r="V513" s="32"/>
      <c r="W513" s="32"/>
      <c r="X513" s="32"/>
      <c r="Y513" s="32"/>
      <c r="Z513" s="32"/>
    </row>
    <row r="514" spans="1:26" ht="17.25" customHeight="1">
      <c r="A514" s="3"/>
      <c r="B514" s="3"/>
      <c r="C514" s="3"/>
      <c r="D514" s="3"/>
      <c r="E514" s="3"/>
      <c r="F514" s="3"/>
      <c r="G514" s="3"/>
      <c r="H514" s="3"/>
      <c r="I514" s="3"/>
      <c r="J514" s="3"/>
      <c r="K514" s="3"/>
      <c r="L514" s="4"/>
      <c r="M514" s="32"/>
      <c r="N514" s="32"/>
      <c r="O514" s="32"/>
      <c r="P514" s="32"/>
      <c r="Q514" s="32"/>
      <c r="R514" s="32"/>
      <c r="S514" s="32"/>
      <c r="T514" s="32"/>
      <c r="U514" s="32"/>
      <c r="V514" s="32"/>
      <c r="W514" s="32"/>
      <c r="X514" s="32"/>
      <c r="Y514" s="32"/>
      <c r="Z514" s="32"/>
    </row>
    <row r="515" spans="1:26" ht="17.25" customHeight="1">
      <c r="A515" s="3"/>
      <c r="B515" s="3"/>
      <c r="C515" s="3"/>
      <c r="D515" s="3"/>
      <c r="E515" s="3"/>
      <c r="F515" s="3"/>
      <c r="G515" s="3"/>
      <c r="H515" s="3"/>
      <c r="I515" s="3"/>
      <c r="J515" s="3"/>
      <c r="K515" s="3"/>
      <c r="L515" s="4"/>
      <c r="M515" s="32"/>
      <c r="N515" s="32"/>
      <c r="O515" s="32"/>
      <c r="P515" s="32"/>
      <c r="Q515" s="32"/>
      <c r="R515" s="32"/>
      <c r="S515" s="32"/>
      <c r="T515" s="32"/>
      <c r="U515" s="32"/>
      <c r="V515" s="32"/>
      <c r="W515" s="32"/>
      <c r="X515" s="32"/>
      <c r="Y515" s="32"/>
      <c r="Z515" s="32"/>
    </row>
    <row r="516" spans="1:26" ht="17.25" customHeight="1">
      <c r="A516" s="3"/>
      <c r="B516" s="3"/>
      <c r="C516" s="3"/>
      <c r="D516" s="3"/>
      <c r="E516" s="3"/>
      <c r="F516" s="3"/>
      <c r="G516" s="3"/>
      <c r="H516" s="3"/>
      <c r="I516" s="3"/>
      <c r="J516" s="3"/>
      <c r="K516" s="3"/>
      <c r="L516" s="4"/>
      <c r="M516" s="32"/>
      <c r="N516" s="32"/>
      <c r="O516" s="32"/>
      <c r="P516" s="32"/>
      <c r="Q516" s="32"/>
      <c r="R516" s="32"/>
      <c r="S516" s="32"/>
      <c r="T516" s="32"/>
      <c r="U516" s="32"/>
      <c r="V516" s="32"/>
      <c r="W516" s="32"/>
      <c r="X516" s="32"/>
      <c r="Y516" s="32"/>
      <c r="Z516" s="32"/>
    </row>
    <row r="517" spans="1:26" ht="17.25" customHeight="1">
      <c r="A517" s="3"/>
      <c r="B517" s="3"/>
      <c r="C517" s="3"/>
      <c r="D517" s="3"/>
      <c r="E517" s="3"/>
      <c r="F517" s="3"/>
      <c r="G517" s="3"/>
      <c r="H517" s="3"/>
      <c r="I517" s="3"/>
      <c r="J517" s="3"/>
      <c r="K517" s="3"/>
      <c r="L517" s="4"/>
      <c r="M517" s="32"/>
      <c r="N517" s="32"/>
      <c r="O517" s="32"/>
      <c r="P517" s="32"/>
      <c r="Q517" s="32"/>
      <c r="R517" s="32"/>
      <c r="S517" s="32"/>
      <c r="T517" s="32"/>
      <c r="U517" s="32"/>
      <c r="V517" s="32"/>
      <c r="W517" s="32"/>
      <c r="X517" s="32"/>
      <c r="Y517" s="32"/>
      <c r="Z517" s="32"/>
    </row>
    <row r="518" spans="1:26" ht="17.25" customHeight="1">
      <c r="A518" s="3"/>
      <c r="B518" s="3"/>
      <c r="C518" s="3"/>
      <c r="D518" s="3"/>
      <c r="E518" s="3"/>
      <c r="F518" s="3"/>
      <c r="G518" s="3"/>
      <c r="H518" s="3"/>
      <c r="I518" s="3"/>
      <c r="J518" s="3"/>
      <c r="K518" s="3"/>
      <c r="L518" s="4"/>
      <c r="M518" s="32"/>
      <c r="N518" s="32"/>
      <c r="O518" s="32"/>
      <c r="P518" s="32"/>
      <c r="Q518" s="32"/>
      <c r="R518" s="32"/>
      <c r="S518" s="32"/>
      <c r="T518" s="32"/>
      <c r="U518" s="32"/>
      <c r="V518" s="32"/>
      <c r="W518" s="32"/>
      <c r="X518" s="32"/>
      <c r="Y518" s="32"/>
      <c r="Z518" s="32"/>
    </row>
    <row r="519" spans="1:26" ht="17.25" customHeight="1">
      <c r="A519" s="3"/>
      <c r="B519" s="3"/>
      <c r="C519" s="3"/>
      <c r="D519" s="3"/>
      <c r="E519" s="3"/>
      <c r="F519" s="3"/>
      <c r="G519" s="3"/>
      <c r="H519" s="3"/>
      <c r="I519" s="3"/>
      <c r="J519" s="3"/>
      <c r="K519" s="3"/>
      <c r="L519" s="4"/>
      <c r="M519" s="32"/>
      <c r="N519" s="32"/>
      <c r="O519" s="32"/>
      <c r="P519" s="32"/>
      <c r="Q519" s="32"/>
      <c r="R519" s="32"/>
      <c r="S519" s="32"/>
      <c r="T519" s="32"/>
      <c r="U519" s="32"/>
      <c r="V519" s="32"/>
      <c r="W519" s="32"/>
      <c r="X519" s="32"/>
      <c r="Y519" s="32"/>
      <c r="Z519" s="32"/>
    </row>
    <row r="520" spans="1:26" ht="17.25" customHeight="1">
      <c r="A520" s="3"/>
      <c r="B520" s="3"/>
      <c r="C520" s="3"/>
      <c r="D520" s="3"/>
      <c r="E520" s="3"/>
      <c r="F520" s="3"/>
      <c r="G520" s="3"/>
      <c r="H520" s="3"/>
      <c r="I520" s="3"/>
      <c r="J520" s="3"/>
      <c r="K520" s="3"/>
      <c r="L520" s="4"/>
      <c r="M520" s="32"/>
      <c r="N520" s="32"/>
      <c r="O520" s="32"/>
      <c r="P520" s="32"/>
      <c r="Q520" s="32"/>
      <c r="R520" s="32"/>
      <c r="S520" s="32"/>
      <c r="T520" s="32"/>
      <c r="U520" s="32"/>
      <c r="V520" s="32"/>
      <c r="W520" s="32"/>
      <c r="X520" s="32"/>
      <c r="Y520" s="32"/>
      <c r="Z520" s="32"/>
    </row>
    <row r="521" spans="1:26" ht="17.25" customHeight="1">
      <c r="A521" s="3"/>
      <c r="B521" s="3"/>
      <c r="C521" s="3"/>
      <c r="D521" s="3"/>
      <c r="E521" s="3"/>
      <c r="F521" s="3"/>
      <c r="G521" s="3"/>
      <c r="H521" s="3"/>
      <c r="I521" s="3"/>
      <c r="J521" s="3"/>
      <c r="K521" s="3"/>
      <c r="L521" s="4"/>
      <c r="M521" s="32"/>
      <c r="N521" s="32"/>
      <c r="O521" s="32"/>
      <c r="P521" s="32"/>
      <c r="Q521" s="32"/>
      <c r="R521" s="32"/>
      <c r="S521" s="32"/>
      <c r="T521" s="32"/>
      <c r="U521" s="32"/>
      <c r="V521" s="32"/>
      <c r="W521" s="32"/>
      <c r="X521" s="32"/>
      <c r="Y521" s="32"/>
      <c r="Z521" s="32"/>
    </row>
    <row r="522" spans="1:26" ht="17.25" customHeight="1">
      <c r="A522" s="3"/>
      <c r="B522" s="3"/>
      <c r="C522" s="3"/>
      <c r="D522" s="3"/>
      <c r="E522" s="3"/>
      <c r="F522" s="3"/>
      <c r="G522" s="3"/>
      <c r="H522" s="3"/>
      <c r="I522" s="3"/>
      <c r="J522" s="3"/>
      <c r="K522" s="3"/>
      <c r="L522" s="4"/>
      <c r="M522" s="32"/>
      <c r="N522" s="32"/>
      <c r="O522" s="32"/>
      <c r="P522" s="32"/>
      <c r="Q522" s="32"/>
      <c r="R522" s="32"/>
      <c r="S522" s="32"/>
      <c r="T522" s="32"/>
      <c r="U522" s="32"/>
      <c r="V522" s="32"/>
      <c r="W522" s="32"/>
      <c r="X522" s="32"/>
      <c r="Y522" s="32"/>
      <c r="Z522" s="32"/>
    </row>
    <row r="523" spans="1:26" ht="17.25" customHeight="1">
      <c r="A523" s="3"/>
      <c r="B523" s="3"/>
      <c r="C523" s="3"/>
      <c r="D523" s="3"/>
      <c r="E523" s="3"/>
      <c r="F523" s="3"/>
      <c r="G523" s="3"/>
      <c r="H523" s="3"/>
      <c r="I523" s="3"/>
      <c r="J523" s="3"/>
      <c r="K523" s="3"/>
      <c r="L523" s="4"/>
      <c r="M523" s="32"/>
      <c r="N523" s="32"/>
      <c r="O523" s="32"/>
      <c r="P523" s="32"/>
      <c r="Q523" s="32"/>
      <c r="R523" s="32"/>
      <c r="S523" s="32"/>
      <c r="T523" s="32"/>
      <c r="U523" s="32"/>
      <c r="V523" s="32"/>
      <c r="W523" s="32"/>
      <c r="X523" s="32"/>
      <c r="Y523" s="32"/>
      <c r="Z523" s="32"/>
    </row>
    <row r="524" spans="1:26" ht="17.25" customHeight="1">
      <c r="A524" s="3"/>
      <c r="B524" s="3"/>
      <c r="C524" s="3"/>
      <c r="D524" s="3"/>
      <c r="E524" s="3"/>
      <c r="F524" s="3"/>
      <c r="G524" s="3"/>
      <c r="H524" s="3"/>
      <c r="I524" s="3"/>
      <c r="J524" s="3"/>
      <c r="K524" s="3"/>
      <c r="L524" s="4"/>
      <c r="M524" s="32"/>
      <c r="N524" s="32"/>
      <c r="O524" s="32"/>
      <c r="P524" s="32"/>
      <c r="Q524" s="32"/>
      <c r="R524" s="32"/>
      <c r="S524" s="32"/>
      <c r="T524" s="32"/>
      <c r="U524" s="32"/>
      <c r="V524" s="32"/>
      <c r="W524" s="32"/>
      <c r="X524" s="32"/>
      <c r="Y524" s="32"/>
      <c r="Z524" s="32"/>
    </row>
    <row r="525" spans="1:26" ht="17.25" customHeight="1">
      <c r="A525" s="3"/>
      <c r="B525" s="3"/>
      <c r="C525" s="3"/>
      <c r="D525" s="3"/>
      <c r="E525" s="3"/>
      <c r="F525" s="3"/>
      <c r="G525" s="3"/>
      <c r="H525" s="3"/>
      <c r="I525" s="3"/>
      <c r="J525" s="3"/>
      <c r="K525" s="3"/>
      <c r="L525" s="4"/>
      <c r="M525" s="32"/>
      <c r="N525" s="32"/>
      <c r="O525" s="32"/>
      <c r="P525" s="32"/>
      <c r="Q525" s="32"/>
      <c r="R525" s="32"/>
      <c r="S525" s="32"/>
      <c r="T525" s="32"/>
      <c r="U525" s="32"/>
      <c r="V525" s="32"/>
      <c r="W525" s="32"/>
      <c r="X525" s="32"/>
      <c r="Y525" s="32"/>
      <c r="Z525" s="32"/>
    </row>
    <row r="526" spans="1:26" ht="17.25" customHeight="1">
      <c r="A526" s="3"/>
      <c r="B526" s="3"/>
      <c r="C526" s="3"/>
      <c r="D526" s="3"/>
      <c r="E526" s="3"/>
      <c r="F526" s="3"/>
      <c r="G526" s="3"/>
      <c r="H526" s="3"/>
      <c r="I526" s="3"/>
      <c r="J526" s="3"/>
      <c r="K526" s="3"/>
      <c r="L526" s="4"/>
      <c r="M526" s="32"/>
      <c r="N526" s="32"/>
      <c r="O526" s="32"/>
      <c r="P526" s="32"/>
      <c r="Q526" s="32"/>
      <c r="R526" s="32"/>
      <c r="S526" s="32"/>
      <c r="T526" s="32"/>
      <c r="U526" s="32"/>
      <c r="V526" s="32"/>
      <c r="W526" s="32"/>
      <c r="X526" s="32"/>
      <c r="Y526" s="32"/>
      <c r="Z526" s="32"/>
    </row>
    <row r="527" spans="1:26" ht="17.25" customHeight="1">
      <c r="A527" s="3"/>
      <c r="B527" s="3"/>
      <c r="C527" s="3"/>
      <c r="D527" s="3"/>
      <c r="E527" s="3"/>
      <c r="F527" s="3"/>
      <c r="G527" s="3"/>
      <c r="H527" s="3"/>
      <c r="I527" s="3"/>
      <c r="J527" s="3"/>
      <c r="K527" s="3"/>
      <c r="L527" s="4"/>
      <c r="M527" s="32"/>
      <c r="N527" s="32"/>
      <c r="O527" s="32"/>
      <c r="P527" s="32"/>
      <c r="Q527" s="32"/>
      <c r="R527" s="32"/>
      <c r="S527" s="32"/>
      <c r="T527" s="32"/>
      <c r="U527" s="32"/>
      <c r="V527" s="32"/>
      <c r="W527" s="32"/>
      <c r="X527" s="32"/>
      <c r="Y527" s="32"/>
      <c r="Z527" s="32"/>
    </row>
    <row r="528" spans="1:26" ht="17.25" customHeight="1">
      <c r="A528" s="3"/>
      <c r="B528" s="3"/>
      <c r="C528" s="3"/>
      <c r="D528" s="3"/>
      <c r="E528" s="3"/>
      <c r="F528" s="3"/>
      <c r="G528" s="3"/>
      <c r="H528" s="3"/>
      <c r="I528" s="3"/>
      <c r="J528" s="3"/>
      <c r="K528" s="3"/>
      <c r="L528" s="4"/>
      <c r="M528" s="32"/>
      <c r="N528" s="32"/>
      <c r="O528" s="32"/>
      <c r="P528" s="32"/>
      <c r="Q528" s="32"/>
      <c r="R528" s="32"/>
      <c r="S528" s="32"/>
      <c r="T528" s="32"/>
      <c r="U528" s="32"/>
      <c r="V528" s="32"/>
      <c r="W528" s="32"/>
      <c r="X528" s="32"/>
      <c r="Y528" s="32"/>
      <c r="Z528" s="32"/>
    </row>
    <row r="529" spans="1:26" ht="17.25" customHeight="1">
      <c r="A529" s="3"/>
      <c r="B529" s="3"/>
      <c r="C529" s="3"/>
      <c r="D529" s="3"/>
      <c r="E529" s="3"/>
      <c r="F529" s="3"/>
      <c r="G529" s="3"/>
      <c r="H529" s="3"/>
      <c r="I529" s="3"/>
      <c r="J529" s="3"/>
      <c r="K529" s="3"/>
      <c r="L529" s="4"/>
      <c r="M529" s="32"/>
      <c r="N529" s="32"/>
      <c r="O529" s="32"/>
      <c r="P529" s="32"/>
      <c r="Q529" s="32"/>
      <c r="R529" s="32"/>
      <c r="S529" s="32"/>
      <c r="T529" s="32"/>
      <c r="U529" s="32"/>
      <c r="V529" s="32"/>
      <c r="W529" s="32"/>
      <c r="X529" s="32"/>
      <c r="Y529" s="32"/>
      <c r="Z529" s="32"/>
    </row>
    <row r="530" spans="1:26" ht="17.25" customHeight="1">
      <c r="A530" s="3"/>
      <c r="B530" s="3"/>
      <c r="C530" s="3"/>
      <c r="D530" s="3"/>
      <c r="E530" s="3"/>
      <c r="F530" s="3"/>
      <c r="G530" s="3"/>
      <c r="H530" s="3"/>
      <c r="I530" s="3"/>
      <c r="J530" s="3"/>
      <c r="K530" s="3"/>
      <c r="L530" s="4"/>
      <c r="M530" s="32"/>
      <c r="N530" s="32"/>
      <c r="O530" s="32"/>
      <c r="P530" s="32"/>
      <c r="Q530" s="32"/>
      <c r="R530" s="32"/>
      <c r="S530" s="32"/>
      <c r="T530" s="32"/>
      <c r="U530" s="32"/>
      <c r="V530" s="32"/>
      <c r="W530" s="32"/>
      <c r="X530" s="32"/>
      <c r="Y530" s="32"/>
      <c r="Z530" s="32"/>
    </row>
    <row r="531" spans="1:26" ht="17.25" customHeight="1">
      <c r="A531" s="3"/>
      <c r="B531" s="3"/>
      <c r="C531" s="3"/>
      <c r="D531" s="3"/>
      <c r="E531" s="3"/>
      <c r="F531" s="3"/>
      <c r="G531" s="3"/>
      <c r="H531" s="3"/>
      <c r="I531" s="3"/>
      <c r="J531" s="3"/>
      <c r="K531" s="3"/>
      <c r="L531" s="4"/>
      <c r="M531" s="32"/>
      <c r="N531" s="32"/>
      <c r="O531" s="32"/>
      <c r="P531" s="32"/>
      <c r="Q531" s="32"/>
      <c r="R531" s="32"/>
      <c r="S531" s="32"/>
      <c r="T531" s="32"/>
      <c r="U531" s="32"/>
      <c r="V531" s="32"/>
      <c r="W531" s="32"/>
      <c r="X531" s="32"/>
      <c r="Y531" s="32"/>
      <c r="Z531" s="32"/>
    </row>
    <row r="532" spans="1:26" ht="17.25" customHeight="1">
      <c r="A532" s="3"/>
      <c r="B532" s="3"/>
      <c r="C532" s="3"/>
      <c r="D532" s="3"/>
      <c r="E532" s="3"/>
      <c r="F532" s="3"/>
      <c r="G532" s="3"/>
      <c r="H532" s="3"/>
      <c r="I532" s="3"/>
      <c r="J532" s="3"/>
      <c r="K532" s="3"/>
      <c r="L532" s="4"/>
      <c r="M532" s="32"/>
      <c r="N532" s="32"/>
      <c r="O532" s="32"/>
      <c r="P532" s="32"/>
      <c r="Q532" s="32"/>
      <c r="R532" s="32"/>
      <c r="S532" s="32"/>
      <c r="T532" s="32"/>
      <c r="U532" s="32"/>
      <c r="V532" s="32"/>
      <c r="W532" s="32"/>
      <c r="X532" s="32"/>
      <c r="Y532" s="32"/>
      <c r="Z532" s="32"/>
    </row>
    <row r="533" spans="1:26" ht="17.25" customHeight="1">
      <c r="A533" s="3"/>
      <c r="B533" s="3"/>
      <c r="C533" s="3"/>
      <c r="D533" s="3"/>
      <c r="E533" s="3"/>
      <c r="F533" s="3"/>
      <c r="G533" s="3"/>
      <c r="H533" s="3"/>
      <c r="I533" s="3"/>
      <c r="J533" s="3"/>
      <c r="K533" s="3"/>
      <c r="L533" s="4"/>
      <c r="M533" s="32"/>
      <c r="N533" s="32"/>
      <c r="O533" s="32"/>
      <c r="P533" s="32"/>
      <c r="Q533" s="32"/>
      <c r="R533" s="32"/>
      <c r="S533" s="32"/>
      <c r="T533" s="32"/>
      <c r="U533" s="32"/>
      <c r="V533" s="32"/>
      <c r="W533" s="32"/>
      <c r="X533" s="32"/>
      <c r="Y533" s="32"/>
      <c r="Z533" s="32"/>
    </row>
    <row r="534" spans="1:26" ht="17.25" customHeight="1">
      <c r="A534" s="3"/>
      <c r="B534" s="3"/>
      <c r="C534" s="3"/>
      <c r="D534" s="3"/>
      <c r="E534" s="3"/>
      <c r="F534" s="3"/>
      <c r="G534" s="3"/>
      <c r="H534" s="3"/>
      <c r="I534" s="3"/>
      <c r="J534" s="3"/>
      <c r="K534" s="3"/>
      <c r="L534" s="4"/>
      <c r="M534" s="32"/>
      <c r="N534" s="32"/>
      <c r="O534" s="32"/>
      <c r="P534" s="32"/>
      <c r="Q534" s="32"/>
      <c r="R534" s="32"/>
      <c r="S534" s="32"/>
      <c r="T534" s="32"/>
      <c r="U534" s="32"/>
      <c r="V534" s="32"/>
      <c r="W534" s="32"/>
      <c r="X534" s="32"/>
      <c r="Y534" s="32"/>
      <c r="Z534" s="32"/>
    </row>
    <row r="535" spans="1:26" ht="17.25" customHeight="1">
      <c r="A535" s="3"/>
      <c r="B535" s="3"/>
      <c r="C535" s="3"/>
      <c r="D535" s="3"/>
      <c r="E535" s="3"/>
      <c r="F535" s="3"/>
      <c r="G535" s="3"/>
      <c r="H535" s="3"/>
      <c r="I535" s="3"/>
      <c r="J535" s="3"/>
      <c r="K535" s="3"/>
      <c r="L535" s="4"/>
      <c r="M535" s="32"/>
      <c r="N535" s="32"/>
      <c r="O535" s="32"/>
      <c r="P535" s="32"/>
      <c r="Q535" s="32"/>
      <c r="R535" s="32"/>
      <c r="S535" s="32"/>
      <c r="T535" s="32"/>
      <c r="U535" s="32"/>
      <c r="V535" s="32"/>
      <c r="W535" s="32"/>
      <c r="X535" s="32"/>
      <c r="Y535" s="32"/>
      <c r="Z535" s="32"/>
    </row>
    <row r="536" spans="1:26" ht="17.25" customHeight="1">
      <c r="A536" s="3"/>
      <c r="B536" s="3"/>
      <c r="C536" s="3"/>
      <c r="D536" s="3"/>
      <c r="E536" s="3"/>
      <c r="F536" s="3"/>
      <c r="G536" s="3"/>
      <c r="H536" s="3"/>
      <c r="I536" s="3"/>
      <c r="J536" s="3"/>
      <c r="K536" s="3"/>
      <c r="L536" s="4"/>
      <c r="M536" s="32"/>
      <c r="N536" s="32"/>
      <c r="O536" s="32"/>
      <c r="P536" s="32"/>
      <c r="Q536" s="32"/>
      <c r="R536" s="32"/>
      <c r="S536" s="32"/>
      <c r="T536" s="32"/>
      <c r="U536" s="32"/>
      <c r="V536" s="32"/>
      <c r="W536" s="32"/>
      <c r="X536" s="32"/>
      <c r="Y536" s="32"/>
      <c r="Z536" s="32"/>
    </row>
    <row r="537" spans="1:26" ht="17.25" customHeight="1">
      <c r="A537" s="3"/>
      <c r="B537" s="3"/>
      <c r="C537" s="3"/>
      <c r="D537" s="3"/>
      <c r="E537" s="3"/>
      <c r="F537" s="3"/>
      <c r="G537" s="3"/>
      <c r="H537" s="3"/>
      <c r="I537" s="3"/>
      <c r="J537" s="3"/>
      <c r="K537" s="3"/>
      <c r="L537" s="4"/>
      <c r="M537" s="32"/>
      <c r="N537" s="32"/>
      <c r="O537" s="32"/>
      <c r="P537" s="32"/>
      <c r="Q537" s="32"/>
      <c r="R537" s="32"/>
      <c r="S537" s="32"/>
      <c r="T537" s="32"/>
      <c r="U537" s="32"/>
      <c r="V537" s="32"/>
      <c r="W537" s="32"/>
      <c r="X537" s="32"/>
      <c r="Y537" s="32"/>
      <c r="Z537" s="32"/>
    </row>
    <row r="538" spans="1:26" ht="17.25" customHeight="1">
      <c r="A538" s="3"/>
      <c r="B538" s="3"/>
      <c r="C538" s="3"/>
      <c r="D538" s="3"/>
      <c r="E538" s="3"/>
      <c r="F538" s="3"/>
      <c r="G538" s="3"/>
      <c r="H538" s="3"/>
      <c r="I538" s="3"/>
      <c r="J538" s="3"/>
      <c r="K538" s="3"/>
      <c r="L538" s="4"/>
      <c r="M538" s="32"/>
      <c r="N538" s="32"/>
      <c r="O538" s="32"/>
      <c r="P538" s="32"/>
      <c r="Q538" s="32"/>
      <c r="R538" s="32"/>
      <c r="S538" s="32"/>
      <c r="T538" s="32"/>
      <c r="U538" s="32"/>
      <c r="V538" s="32"/>
      <c r="W538" s="32"/>
      <c r="X538" s="32"/>
      <c r="Y538" s="32"/>
      <c r="Z538" s="32"/>
    </row>
    <row r="539" spans="1:26" ht="17.25" customHeight="1">
      <c r="A539" s="3"/>
      <c r="B539" s="3"/>
      <c r="C539" s="3"/>
      <c r="D539" s="3"/>
      <c r="E539" s="3"/>
      <c r="F539" s="3"/>
      <c r="G539" s="3"/>
      <c r="H539" s="3"/>
      <c r="I539" s="3"/>
      <c r="J539" s="3"/>
      <c r="K539" s="3"/>
      <c r="L539" s="4"/>
      <c r="M539" s="32"/>
      <c r="N539" s="32"/>
      <c r="O539" s="32"/>
      <c r="P539" s="32"/>
      <c r="Q539" s="32"/>
      <c r="R539" s="32"/>
      <c r="S539" s="32"/>
      <c r="T539" s="32"/>
      <c r="U539" s="32"/>
      <c r="V539" s="32"/>
      <c r="W539" s="32"/>
      <c r="X539" s="32"/>
      <c r="Y539" s="32"/>
      <c r="Z539" s="32"/>
    </row>
    <row r="540" spans="1:26" ht="17.25" customHeight="1">
      <c r="A540" s="3"/>
      <c r="B540" s="3"/>
      <c r="C540" s="3"/>
      <c r="D540" s="3"/>
      <c r="E540" s="3"/>
      <c r="F540" s="3"/>
      <c r="G540" s="3"/>
      <c r="H540" s="3"/>
      <c r="I540" s="3"/>
      <c r="J540" s="3"/>
      <c r="K540" s="3"/>
      <c r="L540" s="4"/>
      <c r="M540" s="32"/>
      <c r="N540" s="32"/>
      <c r="O540" s="32"/>
      <c r="P540" s="32"/>
      <c r="Q540" s="32"/>
      <c r="R540" s="32"/>
      <c r="S540" s="32"/>
      <c r="T540" s="32"/>
      <c r="U540" s="32"/>
      <c r="V540" s="32"/>
      <c r="W540" s="32"/>
      <c r="X540" s="32"/>
      <c r="Y540" s="32"/>
      <c r="Z540" s="32"/>
    </row>
    <row r="541" spans="1:26" ht="17.25" customHeight="1">
      <c r="A541" s="3"/>
      <c r="B541" s="3"/>
      <c r="C541" s="3"/>
      <c r="D541" s="3"/>
      <c r="E541" s="3"/>
      <c r="F541" s="3"/>
      <c r="G541" s="3"/>
      <c r="H541" s="3"/>
      <c r="I541" s="3"/>
      <c r="J541" s="3"/>
      <c r="K541" s="3"/>
      <c r="L541" s="4"/>
      <c r="M541" s="32"/>
      <c r="N541" s="32"/>
      <c r="O541" s="32"/>
      <c r="P541" s="32"/>
      <c r="Q541" s="32"/>
      <c r="R541" s="32"/>
      <c r="S541" s="32"/>
      <c r="T541" s="32"/>
      <c r="U541" s="32"/>
      <c r="V541" s="32"/>
      <c r="W541" s="32"/>
      <c r="X541" s="32"/>
      <c r="Y541" s="32"/>
      <c r="Z541" s="32"/>
    </row>
    <row r="542" spans="1:26" ht="17.25" customHeight="1">
      <c r="A542" s="3"/>
      <c r="B542" s="3"/>
      <c r="C542" s="3"/>
      <c r="D542" s="3"/>
      <c r="E542" s="3"/>
      <c r="F542" s="3"/>
      <c r="G542" s="3"/>
      <c r="H542" s="3"/>
      <c r="I542" s="3"/>
      <c r="J542" s="3"/>
      <c r="K542" s="3"/>
      <c r="L542" s="4"/>
      <c r="M542" s="32"/>
      <c r="N542" s="32"/>
      <c r="O542" s="32"/>
      <c r="P542" s="32"/>
      <c r="Q542" s="32"/>
      <c r="R542" s="32"/>
      <c r="S542" s="32"/>
      <c r="T542" s="32"/>
      <c r="U542" s="32"/>
      <c r="V542" s="32"/>
      <c r="W542" s="32"/>
      <c r="X542" s="32"/>
      <c r="Y542" s="32"/>
      <c r="Z542" s="32"/>
    </row>
    <row r="543" spans="1:26" ht="17.25" customHeight="1">
      <c r="A543" s="3"/>
      <c r="B543" s="3"/>
      <c r="C543" s="3"/>
      <c r="D543" s="3"/>
      <c r="E543" s="3"/>
      <c r="F543" s="3"/>
      <c r="G543" s="3"/>
      <c r="H543" s="3"/>
      <c r="I543" s="3"/>
      <c r="J543" s="3"/>
      <c r="K543" s="3"/>
      <c r="L543" s="4"/>
      <c r="M543" s="32"/>
      <c r="N543" s="32"/>
      <c r="O543" s="32"/>
      <c r="P543" s="32"/>
      <c r="Q543" s="32"/>
      <c r="R543" s="32"/>
      <c r="S543" s="32"/>
      <c r="T543" s="32"/>
      <c r="U543" s="32"/>
      <c r="V543" s="32"/>
      <c r="W543" s="32"/>
      <c r="X543" s="32"/>
      <c r="Y543" s="32"/>
      <c r="Z543" s="32"/>
    </row>
    <row r="544" spans="1:26" ht="17.25" customHeight="1">
      <c r="A544" s="3"/>
      <c r="B544" s="3"/>
      <c r="C544" s="3"/>
      <c r="D544" s="3"/>
      <c r="E544" s="3"/>
      <c r="F544" s="3"/>
      <c r="G544" s="3"/>
      <c r="H544" s="3"/>
      <c r="I544" s="3"/>
      <c r="J544" s="3"/>
      <c r="K544" s="3"/>
      <c r="L544" s="4"/>
      <c r="M544" s="32"/>
      <c r="N544" s="32"/>
      <c r="O544" s="32"/>
      <c r="P544" s="32"/>
      <c r="Q544" s="32"/>
      <c r="R544" s="32"/>
      <c r="S544" s="32"/>
      <c r="T544" s="32"/>
      <c r="U544" s="32"/>
      <c r="V544" s="32"/>
      <c r="W544" s="32"/>
      <c r="X544" s="32"/>
      <c r="Y544" s="32"/>
      <c r="Z544" s="32"/>
    </row>
    <row r="545" spans="1:26" ht="17.25" customHeight="1">
      <c r="A545" s="3"/>
      <c r="B545" s="3"/>
      <c r="C545" s="3"/>
      <c r="D545" s="3"/>
      <c r="E545" s="3"/>
      <c r="F545" s="3"/>
      <c r="G545" s="3"/>
      <c r="H545" s="3"/>
      <c r="I545" s="3"/>
      <c r="J545" s="3"/>
      <c r="K545" s="3"/>
      <c r="L545" s="4"/>
      <c r="M545" s="32"/>
      <c r="N545" s="32"/>
      <c r="O545" s="32"/>
      <c r="P545" s="32"/>
      <c r="Q545" s="32"/>
      <c r="R545" s="32"/>
      <c r="S545" s="32"/>
      <c r="T545" s="32"/>
      <c r="U545" s="32"/>
      <c r="V545" s="32"/>
      <c r="W545" s="32"/>
      <c r="X545" s="32"/>
      <c r="Y545" s="32"/>
      <c r="Z545" s="32"/>
    </row>
    <row r="546" spans="1:26" ht="17.25" customHeight="1">
      <c r="A546" s="3"/>
      <c r="B546" s="3"/>
      <c r="C546" s="3"/>
      <c r="D546" s="3"/>
      <c r="E546" s="3"/>
      <c r="F546" s="3"/>
      <c r="G546" s="3"/>
      <c r="H546" s="3"/>
      <c r="I546" s="3"/>
      <c r="J546" s="3"/>
      <c r="K546" s="3"/>
      <c r="L546" s="4"/>
      <c r="M546" s="32"/>
      <c r="N546" s="32"/>
      <c r="O546" s="32"/>
      <c r="P546" s="32"/>
      <c r="Q546" s="32"/>
      <c r="R546" s="32"/>
      <c r="S546" s="32"/>
      <c r="T546" s="32"/>
      <c r="U546" s="32"/>
      <c r="V546" s="32"/>
      <c r="W546" s="32"/>
      <c r="X546" s="32"/>
      <c r="Y546" s="32"/>
      <c r="Z546" s="32"/>
    </row>
    <row r="547" spans="1:26" ht="17.25" customHeight="1">
      <c r="A547" s="3"/>
      <c r="B547" s="3"/>
      <c r="C547" s="3"/>
      <c r="D547" s="3"/>
      <c r="E547" s="3"/>
      <c r="F547" s="3"/>
      <c r="G547" s="3"/>
      <c r="H547" s="3"/>
      <c r="I547" s="3"/>
      <c r="J547" s="3"/>
      <c r="K547" s="3"/>
      <c r="L547" s="4"/>
      <c r="M547" s="32"/>
      <c r="N547" s="32"/>
      <c r="O547" s="32"/>
      <c r="P547" s="32"/>
      <c r="Q547" s="32"/>
      <c r="R547" s="32"/>
      <c r="S547" s="32"/>
      <c r="T547" s="32"/>
      <c r="U547" s="32"/>
      <c r="V547" s="32"/>
      <c r="W547" s="32"/>
      <c r="X547" s="32"/>
      <c r="Y547" s="32"/>
      <c r="Z547" s="32"/>
    </row>
    <row r="548" spans="1:26" ht="17.25" customHeight="1">
      <c r="A548" s="3"/>
      <c r="B548" s="3"/>
      <c r="C548" s="3"/>
      <c r="D548" s="3"/>
      <c r="E548" s="3"/>
      <c r="F548" s="3"/>
      <c r="G548" s="3"/>
      <c r="H548" s="3"/>
      <c r="I548" s="3"/>
      <c r="J548" s="3"/>
      <c r="K548" s="3"/>
      <c r="L548" s="4"/>
      <c r="M548" s="32"/>
      <c r="N548" s="32"/>
      <c r="O548" s="32"/>
      <c r="P548" s="32"/>
      <c r="Q548" s="32"/>
      <c r="R548" s="32"/>
      <c r="S548" s="32"/>
      <c r="T548" s="32"/>
      <c r="U548" s="32"/>
      <c r="V548" s="32"/>
      <c r="W548" s="32"/>
      <c r="X548" s="32"/>
      <c r="Y548" s="32"/>
      <c r="Z548" s="32"/>
    </row>
    <row r="549" spans="1:26" ht="17.25" customHeight="1">
      <c r="A549" s="3"/>
      <c r="B549" s="3"/>
      <c r="C549" s="3"/>
      <c r="D549" s="3"/>
      <c r="E549" s="3"/>
      <c r="F549" s="3"/>
      <c r="G549" s="3"/>
      <c r="H549" s="3"/>
      <c r="I549" s="3"/>
      <c r="J549" s="3"/>
      <c r="K549" s="3"/>
      <c r="L549" s="4"/>
      <c r="M549" s="32"/>
      <c r="N549" s="32"/>
      <c r="O549" s="32"/>
      <c r="P549" s="32"/>
      <c r="Q549" s="32"/>
      <c r="R549" s="32"/>
      <c r="S549" s="32"/>
      <c r="T549" s="32"/>
      <c r="U549" s="32"/>
      <c r="V549" s="32"/>
      <c r="W549" s="32"/>
      <c r="X549" s="32"/>
      <c r="Y549" s="32"/>
      <c r="Z549" s="32"/>
    </row>
    <row r="550" spans="1:26" ht="17.25" customHeight="1">
      <c r="A550" s="3"/>
      <c r="B550" s="3"/>
      <c r="C550" s="3"/>
      <c r="D550" s="3"/>
      <c r="E550" s="3"/>
      <c r="F550" s="3"/>
      <c r="G550" s="3"/>
      <c r="H550" s="3"/>
      <c r="I550" s="3"/>
      <c r="J550" s="3"/>
      <c r="K550" s="3"/>
      <c r="L550" s="4"/>
      <c r="M550" s="32"/>
      <c r="N550" s="32"/>
      <c r="O550" s="32"/>
      <c r="P550" s="32"/>
      <c r="Q550" s="32"/>
      <c r="R550" s="32"/>
      <c r="S550" s="32"/>
      <c r="T550" s="32"/>
      <c r="U550" s="32"/>
      <c r="V550" s="32"/>
      <c r="W550" s="32"/>
      <c r="X550" s="32"/>
      <c r="Y550" s="32"/>
      <c r="Z550" s="32"/>
    </row>
    <row r="551" spans="1:26" ht="17.25" customHeight="1">
      <c r="A551" s="3"/>
      <c r="B551" s="3"/>
      <c r="C551" s="3"/>
      <c r="D551" s="3"/>
      <c r="E551" s="3"/>
      <c r="F551" s="3"/>
      <c r="G551" s="3"/>
      <c r="H551" s="3"/>
      <c r="I551" s="3"/>
      <c r="J551" s="3"/>
      <c r="K551" s="3"/>
      <c r="L551" s="4"/>
      <c r="M551" s="32"/>
      <c r="N551" s="32"/>
      <c r="O551" s="32"/>
      <c r="P551" s="32"/>
      <c r="Q551" s="32"/>
      <c r="R551" s="32"/>
      <c r="S551" s="32"/>
      <c r="T551" s="32"/>
      <c r="U551" s="32"/>
      <c r="V551" s="32"/>
      <c r="W551" s="32"/>
      <c r="X551" s="32"/>
      <c r="Y551" s="32"/>
      <c r="Z551" s="32"/>
    </row>
    <row r="552" spans="1:26" ht="17.25" customHeight="1">
      <c r="A552" s="3"/>
      <c r="B552" s="3"/>
      <c r="C552" s="3"/>
      <c r="D552" s="3"/>
      <c r="E552" s="3"/>
      <c r="F552" s="3"/>
      <c r="G552" s="3"/>
      <c r="H552" s="3"/>
      <c r="I552" s="3"/>
      <c r="J552" s="3"/>
      <c r="K552" s="3"/>
      <c r="L552" s="4"/>
      <c r="M552" s="32"/>
      <c r="N552" s="32"/>
      <c r="O552" s="32"/>
      <c r="P552" s="32"/>
      <c r="Q552" s="32"/>
      <c r="R552" s="32"/>
      <c r="S552" s="32"/>
      <c r="T552" s="32"/>
      <c r="U552" s="32"/>
      <c r="V552" s="32"/>
      <c r="W552" s="32"/>
      <c r="X552" s="32"/>
      <c r="Y552" s="32"/>
      <c r="Z552" s="32"/>
    </row>
    <row r="553" spans="1:26" ht="17.25" customHeight="1">
      <c r="A553" s="3"/>
      <c r="B553" s="3"/>
      <c r="C553" s="3"/>
      <c r="D553" s="3"/>
      <c r="E553" s="3"/>
      <c r="F553" s="3"/>
      <c r="G553" s="3"/>
      <c r="H553" s="3"/>
      <c r="I553" s="3"/>
      <c r="J553" s="3"/>
      <c r="K553" s="3"/>
      <c r="L553" s="4"/>
      <c r="M553" s="32"/>
      <c r="N553" s="32"/>
      <c r="O553" s="32"/>
      <c r="P553" s="32"/>
      <c r="Q553" s="32"/>
      <c r="R553" s="32"/>
      <c r="S553" s="32"/>
      <c r="T553" s="32"/>
      <c r="U553" s="32"/>
      <c r="V553" s="32"/>
      <c r="W553" s="32"/>
      <c r="X553" s="32"/>
      <c r="Y553" s="32"/>
      <c r="Z553" s="32"/>
    </row>
    <row r="554" spans="1:26" ht="17.25" customHeight="1">
      <c r="A554" s="3"/>
      <c r="B554" s="3"/>
      <c r="C554" s="3"/>
      <c r="D554" s="3"/>
      <c r="E554" s="3"/>
      <c r="F554" s="3"/>
      <c r="G554" s="3"/>
      <c r="H554" s="3"/>
      <c r="I554" s="3"/>
      <c r="J554" s="3"/>
      <c r="K554" s="3"/>
      <c r="L554" s="4"/>
      <c r="M554" s="32"/>
      <c r="N554" s="32"/>
      <c r="O554" s="32"/>
      <c r="P554" s="32"/>
      <c r="Q554" s="32"/>
      <c r="R554" s="32"/>
      <c r="S554" s="32"/>
      <c r="T554" s="32"/>
      <c r="U554" s="32"/>
      <c r="V554" s="32"/>
      <c r="W554" s="32"/>
      <c r="X554" s="32"/>
      <c r="Y554" s="32"/>
      <c r="Z554" s="32"/>
    </row>
    <row r="555" spans="1:26" ht="17.25" customHeight="1">
      <c r="A555" s="3"/>
      <c r="B555" s="3"/>
      <c r="C555" s="3"/>
      <c r="D555" s="3"/>
      <c r="E555" s="3"/>
      <c r="F555" s="3"/>
      <c r="G555" s="3"/>
      <c r="H555" s="3"/>
      <c r="I555" s="3"/>
      <c r="J555" s="3"/>
      <c r="K555" s="3"/>
      <c r="L555" s="4"/>
      <c r="M555" s="32"/>
      <c r="N555" s="32"/>
      <c r="O555" s="32"/>
      <c r="P555" s="32"/>
      <c r="Q555" s="32"/>
      <c r="R555" s="32"/>
      <c r="S555" s="32"/>
      <c r="T555" s="32"/>
      <c r="U555" s="32"/>
      <c r="V555" s="32"/>
      <c r="W555" s="32"/>
      <c r="X555" s="32"/>
      <c r="Y555" s="32"/>
      <c r="Z555" s="32"/>
    </row>
    <row r="556" spans="1:26" ht="17.25" customHeight="1">
      <c r="A556" s="3"/>
      <c r="B556" s="3"/>
      <c r="C556" s="3"/>
      <c r="D556" s="3"/>
      <c r="E556" s="3"/>
      <c r="F556" s="3"/>
      <c r="G556" s="3"/>
      <c r="H556" s="3"/>
      <c r="I556" s="3"/>
      <c r="J556" s="3"/>
      <c r="K556" s="3"/>
      <c r="L556" s="4"/>
      <c r="M556" s="32"/>
      <c r="N556" s="32"/>
      <c r="O556" s="32"/>
      <c r="P556" s="32"/>
      <c r="Q556" s="32"/>
      <c r="R556" s="32"/>
      <c r="S556" s="32"/>
      <c r="T556" s="32"/>
      <c r="U556" s="32"/>
      <c r="V556" s="32"/>
      <c r="W556" s="32"/>
      <c r="X556" s="32"/>
      <c r="Y556" s="32"/>
      <c r="Z556" s="32"/>
    </row>
    <row r="557" spans="1:26" ht="17.25" customHeight="1">
      <c r="A557" s="3"/>
      <c r="B557" s="3"/>
      <c r="C557" s="3"/>
      <c r="D557" s="3"/>
      <c r="E557" s="3"/>
      <c r="F557" s="3"/>
      <c r="G557" s="3"/>
      <c r="H557" s="3"/>
      <c r="I557" s="3"/>
      <c r="J557" s="3"/>
      <c r="K557" s="3"/>
      <c r="L557" s="4"/>
      <c r="M557" s="32"/>
      <c r="N557" s="32"/>
      <c r="O557" s="32"/>
      <c r="P557" s="32"/>
      <c r="Q557" s="32"/>
      <c r="R557" s="32"/>
      <c r="S557" s="32"/>
      <c r="T557" s="32"/>
      <c r="U557" s="32"/>
      <c r="V557" s="32"/>
      <c r="W557" s="32"/>
      <c r="X557" s="32"/>
      <c r="Y557" s="32"/>
      <c r="Z557" s="32"/>
    </row>
    <row r="558" spans="1:26" ht="17.25" customHeight="1">
      <c r="A558" s="3"/>
      <c r="B558" s="3"/>
      <c r="C558" s="3"/>
      <c r="D558" s="3"/>
      <c r="E558" s="3"/>
      <c r="F558" s="3"/>
      <c r="G558" s="3"/>
      <c r="H558" s="3"/>
      <c r="I558" s="3"/>
      <c r="J558" s="3"/>
      <c r="K558" s="3"/>
      <c r="L558" s="4"/>
      <c r="M558" s="32"/>
      <c r="N558" s="32"/>
      <c r="O558" s="32"/>
      <c r="P558" s="32"/>
      <c r="Q558" s="32"/>
      <c r="R558" s="32"/>
      <c r="S558" s="32"/>
      <c r="T558" s="32"/>
      <c r="U558" s="32"/>
      <c r="V558" s="32"/>
      <c r="W558" s="32"/>
      <c r="X558" s="32"/>
      <c r="Y558" s="32"/>
      <c r="Z558" s="32"/>
    </row>
    <row r="559" spans="1:26" ht="17.25" customHeight="1">
      <c r="A559" s="3"/>
      <c r="B559" s="3"/>
      <c r="C559" s="3"/>
      <c r="D559" s="3"/>
      <c r="E559" s="3"/>
      <c r="F559" s="3"/>
      <c r="G559" s="3"/>
      <c r="H559" s="3"/>
      <c r="I559" s="3"/>
      <c r="J559" s="3"/>
      <c r="K559" s="3"/>
      <c r="L559" s="4"/>
      <c r="M559" s="32"/>
      <c r="N559" s="32"/>
      <c r="O559" s="32"/>
      <c r="P559" s="32"/>
      <c r="Q559" s="32"/>
      <c r="R559" s="32"/>
      <c r="S559" s="32"/>
      <c r="T559" s="32"/>
      <c r="U559" s="32"/>
      <c r="V559" s="32"/>
      <c r="W559" s="32"/>
      <c r="X559" s="32"/>
      <c r="Y559" s="32"/>
      <c r="Z559" s="32"/>
    </row>
    <row r="560" spans="1:26" ht="17.25" customHeight="1">
      <c r="A560" s="3"/>
      <c r="B560" s="3"/>
      <c r="C560" s="3"/>
      <c r="D560" s="3"/>
      <c r="E560" s="3"/>
      <c r="F560" s="3"/>
      <c r="G560" s="3"/>
      <c r="H560" s="3"/>
      <c r="I560" s="3"/>
      <c r="J560" s="3"/>
      <c r="K560" s="3"/>
      <c r="L560" s="4"/>
      <c r="M560" s="32"/>
      <c r="N560" s="32"/>
      <c r="O560" s="32"/>
      <c r="P560" s="32"/>
      <c r="Q560" s="32"/>
      <c r="R560" s="32"/>
      <c r="S560" s="32"/>
      <c r="T560" s="32"/>
      <c r="U560" s="32"/>
      <c r="V560" s="32"/>
      <c r="W560" s="32"/>
      <c r="X560" s="32"/>
      <c r="Y560" s="32"/>
      <c r="Z560" s="32"/>
    </row>
    <row r="561" spans="1:26" ht="17.25" customHeight="1">
      <c r="A561" s="3"/>
      <c r="B561" s="3"/>
      <c r="C561" s="3"/>
      <c r="D561" s="3"/>
      <c r="E561" s="3"/>
      <c r="F561" s="3"/>
      <c r="G561" s="3"/>
      <c r="H561" s="3"/>
      <c r="I561" s="3"/>
      <c r="J561" s="3"/>
      <c r="K561" s="3"/>
      <c r="L561" s="4"/>
      <c r="M561" s="32"/>
      <c r="N561" s="32"/>
      <c r="O561" s="32"/>
      <c r="P561" s="32"/>
      <c r="Q561" s="32"/>
      <c r="R561" s="32"/>
      <c r="S561" s="32"/>
      <c r="T561" s="32"/>
      <c r="U561" s="32"/>
      <c r="V561" s="32"/>
      <c r="W561" s="32"/>
      <c r="X561" s="32"/>
      <c r="Y561" s="32"/>
      <c r="Z561" s="32"/>
    </row>
    <row r="562" spans="1:26" ht="17.25" customHeight="1">
      <c r="A562" s="3"/>
      <c r="B562" s="3"/>
      <c r="C562" s="3"/>
      <c r="D562" s="3"/>
      <c r="E562" s="3"/>
      <c r="F562" s="3"/>
      <c r="G562" s="3"/>
      <c r="H562" s="3"/>
      <c r="I562" s="3"/>
      <c r="J562" s="3"/>
      <c r="K562" s="3"/>
      <c r="L562" s="4"/>
      <c r="M562" s="32"/>
      <c r="N562" s="32"/>
      <c r="O562" s="32"/>
      <c r="P562" s="32"/>
      <c r="Q562" s="32"/>
      <c r="R562" s="32"/>
      <c r="S562" s="32"/>
      <c r="T562" s="32"/>
      <c r="U562" s="32"/>
      <c r="V562" s="32"/>
      <c r="W562" s="32"/>
      <c r="X562" s="32"/>
      <c r="Y562" s="32"/>
      <c r="Z562" s="32"/>
    </row>
    <row r="563" spans="1:26" ht="17.25" customHeight="1">
      <c r="A563" s="3"/>
      <c r="B563" s="3"/>
      <c r="C563" s="3"/>
      <c r="D563" s="3"/>
      <c r="E563" s="3"/>
      <c r="F563" s="3"/>
      <c r="G563" s="3"/>
      <c r="H563" s="3"/>
      <c r="I563" s="3"/>
      <c r="J563" s="3"/>
      <c r="K563" s="3"/>
      <c r="L563" s="4"/>
      <c r="M563" s="32"/>
      <c r="N563" s="32"/>
      <c r="O563" s="32"/>
      <c r="P563" s="32"/>
      <c r="Q563" s="32"/>
      <c r="R563" s="32"/>
      <c r="S563" s="32"/>
      <c r="T563" s="32"/>
      <c r="U563" s="32"/>
      <c r="V563" s="32"/>
      <c r="W563" s="32"/>
      <c r="X563" s="32"/>
      <c r="Y563" s="32"/>
      <c r="Z563" s="32"/>
    </row>
    <row r="564" spans="1:26" ht="17.25" customHeight="1">
      <c r="A564" s="3"/>
      <c r="B564" s="3"/>
      <c r="C564" s="3"/>
      <c r="D564" s="3"/>
      <c r="E564" s="3"/>
      <c r="F564" s="3"/>
      <c r="G564" s="3"/>
      <c r="H564" s="3"/>
      <c r="I564" s="3"/>
      <c r="J564" s="3"/>
      <c r="K564" s="3"/>
      <c r="L564" s="4"/>
      <c r="M564" s="32"/>
      <c r="N564" s="32"/>
      <c r="O564" s="32"/>
      <c r="P564" s="32"/>
      <c r="Q564" s="32"/>
      <c r="R564" s="32"/>
      <c r="S564" s="32"/>
      <c r="T564" s="32"/>
      <c r="U564" s="32"/>
      <c r="V564" s="32"/>
      <c r="W564" s="32"/>
      <c r="X564" s="32"/>
      <c r="Y564" s="32"/>
      <c r="Z564" s="32"/>
    </row>
    <row r="565" spans="1:26" ht="17.25" customHeight="1">
      <c r="A565" s="3"/>
      <c r="B565" s="3"/>
      <c r="C565" s="3"/>
      <c r="D565" s="3"/>
      <c r="E565" s="3"/>
      <c r="F565" s="3"/>
      <c r="G565" s="3"/>
      <c r="H565" s="3"/>
      <c r="I565" s="3"/>
      <c r="J565" s="3"/>
      <c r="K565" s="3"/>
      <c r="L565" s="4"/>
      <c r="M565" s="32"/>
      <c r="N565" s="32"/>
      <c r="O565" s="32"/>
      <c r="P565" s="32"/>
      <c r="Q565" s="32"/>
      <c r="R565" s="32"/>
      <c r="S565" s="32"/>
      <c r="T565" s="32"/>
      <c r="U565" s="32"/>
      <c r="V565" s="32"/>
      <c r="W565" s="32"/>
      <c r="X565" s="32"/>
      <c r="Y565" s="32"/>
      <c r="Z565" s="32"/>
    </row>
    <row r="566" spans="1:26" ht="17.25" customHeight="1">
      <c r="A566" s="3"/>
      <c r="B566" s="3"/>
      <c r="C566" s="3"/>
      <c r="D566" s="3"/>
      <c r="E566" s="3"/>
      <c r="F566" s="3"/>
      <c r="G566" s="3"/>
      <c r="H566" s="3"/>
      <c r="I566" s="3"/>
      <c r="J566" s="3"/>
      <c r="K566" s="3"/>
      <c r="L566" s="4"/>
      <c r="M566" s="32"/>
      <c r="N566" s="32"/>
      <c r="O566" s="32"/>
      <c r="P566" s="32"/>
      <c r="Q566" s="32"/>
      <c r="R566" s="32"/>
      <c r="S566" s="32"/>
      <c r="T566" s="32"/>
      <c r="U566" s="32"/>
      <c r="V566" s="32"/>
      <c r="W566" s="32"/>
      <c r="X566" s="32"/>
      <c r="Y566" s="32"/>
      <c r="Z566" s="32"/>
    </row>
    <row r="567" spans="1:26" ht="17.25" customHeight="1">
      <c r="A567" s="3"/>
      <c r="B567" s="3"/>
      <c r="C567" s="3"/>
      <c r="D567" s="3"/>
      <c r="E567" s="3"/>
      <c r="F567" s="3"/>
      <c r="G567" s="3"/>
      <c r="H567" s="3"/>
      <c r="I567" s="3"/>
      <c r="J567" s="3"/>
      <c r="K567" s="3"/>
      <c r="L567" s="4"/>
      <c r="M567" s="32"/>
      <c r="N567" s="32"/>
      <c r="O567" s="32"/>
      <c r="P567" s="32"/>
      <c r="Q567" s="32"/>
      <c r="R567" s="32"/>
      <c r="S567" s="32"/>
      <c r="T567" s="32"/>
      <c r="U567" s="32"/>
      <c r="V567" s="32"/>
      <c r="W567" s="32"/>
      <c r="X567" s="32"/>
      <c r="Y567" s="32"/>
      <c r="Z567" s="32"/>
    </row>
    <row r="568" spans="1:26" ht="17.25" customHeight="1">
      <c r="A568" s="3"/>
      <c r="B568" s="3"/>
      <c r="C568" s="3"/>
      <c r="D568" s="3"/>
      <c r="E568" s="3"/>
      <c r="F568" s="3"/>
      <c r="G568" s="3"/>
      <c r="H568" s="3"/>
      <c r="I568" s="3"/>
      <c r="J568" s="3"/>
      <c r="K568" s="3"/>
      <c r="L568" s="4"/>
      <c r="M568" s="32"/>
      <c r="N568" s="32"/>
      <c r="O568" s="32"/>
      <c r="P568" s="32"/>
      <c r="Q568" s="32"/>
      <c r="R568" s="32"/>
      <c r="S568" s="32"/>
      <c r="T568" s="32"/>
      <c r="U568" s="32"/>
      <c r="V568" s="32"/>
      <c r="W568" s="32"/>
      <c r="X568" s="32"/>
      <c r="Y568" s="32"/>
      <c r="Z568" s="32"/>
    </row>
    <row r="569" spans="1:26" ht="17.25" customHeight="1">
      <c r="A569" s="3"/>
      <c r="B569" s="3"/>
      <c r="C569" s="3"/>
      <c r="D569" s="3"/>
      <c r="E569" s="3"/>
      <c r="F569" s="3"/>
      <c r="G569" s="3"/>
      <c r="H569" s="3"/>
      <c r="I569" s="3"/>
      <c r="J569" s="3"/>
      <c r="K569" s="3"/>
      <c r="L569" s="4"/>
      <c r="M569" s="32"/>
      <c r="N569" s="32"/>
      <c r="O569" s="32"/>
      <c r="P569" s="32"/>
      <c r="Q569" s="32"/>
      <c r="R569" s="32"/>
      <c r="S569" s="32"/>
      <c r="T569" s="32"/>
      <c r="U569" s="32"/>
      <c r="V569" s="32"/>
      <c r="W569" s="32"/>
      <c r="X569" s="32"/>
      <c r="Y569" s="32"/>
      <c r="Z569" s="32"/>
    </row>
    <row r="570" spans="1:26" ht="17.25" customHeight="1">
      <c r="A570" s="3"/>
      <c r="B570" s="3"/>
      <c r="C570" s="3"/>
      <c r="D570" s="3"/>
      <c r="E570" s="3"/>
      <c r="F570" s="3"/>
      <c r="G570" s="3"/>
      <c r="H570" s="3"/>
      <c r="I570" s="3"/>
      <c r="J570" s="3"/>
      <c r="K570" s="3"/>
      <c r="L570" s="4"/>
      <c r="M570" s="32"/>
      <c r="N570" s="32"/>
      <c r="O570" s="32"/>
      <c r="P570" s="32"/>
      <c r="Q570" s="32"/>
      <c r="R570" s="32"/>
      <c r="S570" s="32"/>
      <c r="T570" s="32"/>
      <c r="U570" s="32"/>
      <c r="V570" s="32"/>
      <c r="W570" s="32"/>
      <c r="X570" s="32"/>
      <c r="Y570" s="32"/>
      <c r="Z570" s="32"/>
    </row>
    <row r="571" spans="1:26" ht="17.25" customHeight="1">
      <c r="A571" s="3"/>
      <c r="B571" s="3"/>
      <c r="C571" s="3"/>
      <c r="D571" s="3"/>
      <c r="E571" s="3"/>
      <c r="F571" s="3"/>
      <c r="G571" s="3"/>
      <c r="H571" s="3"/>
      <c r="I571" s="3"/>
      <c r="J571" s="3"/>
      <c r="K571" s="3"/>
      <c r="L571" s="4"/>
      <c r="M571" s="32"/>
      <c r="N571" s="32"/>
      <c r="O571" s="32"/>
      <c r="P571" s="32"/>
      <c r="Q571" s="32"/>
      <c r="R571" s="32"/>
      <c r="S571" s="32"/>
      <c r="T571" s="32"/>
      <c r="U571" s="32"/>
      <c r="V571" s="32"/>
      <c r="W571" s="32"/>
      <c r="X571" s="32"/>
      <c r="Y571" s="32"/>
      <c r="Z571" s="32"/>
    </row>
    <row r="572" spans="1:26" ht="17.25" customHeight="1">
      <c r="A572" s="3"/>
      <c r="B572" s="3"/>
      <c r="C572" s="3"/>
      <c r="D572" s="3"/>
      <c r="E572" s="3"/>
      <c r="F572" s="3"/>
      <c r="G572" s="3"/>
      <c r="H572" s="3"/>
      <c r="I572" s="3"/>
      <c r="J572" s="3"/>
      <c r="K572" s="3"/>
      <c r="L572" s="4"/>
      <c r="M572" s="32"/>
      <c r="N572" s="32"/>
      <c r="O572" s="32"/>
      <c r="P572" s="32"/>
      <c r="Q572" s="32"/>
      <c r="R572" s="32"/>
      <c r="S572" s="32"/>
      <c r="T572" s="32"/>
      <c r="U572" s="32"/>
      <c r="V572" s="32"/>
      <c r="W572" s="32"/>
      <c r="X572" s="32"/>
      <c r="Y572" s="32"/>
      <c r="Z572" s="32"/>
    </row>
    <row r="573" spans="1:26" ht="17.25" customHeight="1">
      <c r="A573" s="3"/>
      <c r="B573" s="3"/>
      <c r="C573" s="3"/>
      <c r="D573" s="3"/>
      <c r="E573" s="3"/>
      <c r="F573" s="3"/>
      <c r="G573" s="3"/>
      <c r="H573" s="3"/>
      <c r="I573" s="3"/>
      <c r="J573" s="3"/>
      <c r="K573" s="3"/>
      <c r="L573" s="4"/>
      <c r="M573" s="32"/>
      <c r="N573" s="32"/>
      <c r="O573" s="32"/>
      <c r="P573" s="32"/>
      <c r="Q573" s="32"/>
      <c r="R573" s="32"/>
      <c r="S573" s="32"/>
      <c r="T573" s="32"/>
      <c r="U573" s="32"/>
      <c r="V573" s="32"/>
      <c r="W573" s="32"/>
      <c r="X573" s="32"/>
      <c r="Y573" s="32"/>
      <c r="Z573" s="32"/>
    </row>
    <row r="574" spans="1:26" ht="17.25" customHeight="1">
      <c r="A574" s="3"/>
      <c r="B574" s="3"/>
      <c r="C574" s="3"/>
      <c r="D574" s="3"/>
      <c r="E574" s="3"/>
      <c r="F574" s="3"/>
      <c r="G574" s="3"/>
      <c r="H574" s="3"/>
      <c r="I574" s="3"/>
      <c r="J574" s="3"/>
      <c r="K574" s="3"/>
      <c r="L574" s="4"/>
      <c r="M574" s="32"/>
      <c r="N574" s="32"/>
      <c r="O574" s="32"/>
      <c r="P574" s="32"/>
      <c r="Q574" s="32"/>
      <c r="R574" s="32"/>
      <c r="S574" s="32"/>
      <c r="T574" s="32"/>
      <c r="U574" s="32"/>
      <c r="V574" s="32"/>
      <c r="W574" s="32"/>
      <c r="X574" s="32"/>
      <c r="Y574" s="32"/>
      <c r="Z574" s="32"/>
    </row>
    <row r="575" spans="1:26" ht="17.25" customHeight="1">
      <c r="A575" s="3"/>
      <c r="B575" s="3"/>
      <c r="C575" s="3"/>
      <c r="D575" s="3"/>
      <c r="E575" s="3"/>
      <c r="F575" s="3"/>
      <c r="G575" s="3"/>
      <c r="H575" s="3"/>
      <c r="I575" s="3"/>
      <c r="J575" s="3"/>
      <c r="K575" s="3"/>
      <c r="L575" s="4"/>
      <c r="M575" s="32"/>
      <c r="N575" s="32"/>
      <c r="O575" s="32"/>
      <c r="P575" s="32"/>
      <c r="Q575" s="32"/>
      <c r="R575" s="32"/>
      <c r="S575" s="32"/>
      <c r="T575" s="32"/>
      <c r="U575" s="32"/>
      <c r="V575" s="32"/>
      <c r="W575" s="32"/>
      <c r="X575" s="32"/>
      <c r="Y575" s="32"/>
      <c r="Z575" s="32"/>
    </row>
    <row r="576" spans="1:26" ht="17.25" customHeight="1">
      <c r="A576" s="3"/>
      <c r="B576" s="3"/>
      <c r="C576" s="3"/>
      <c r="D576" s="3"/>
      <c r="E576" s="3"/>
      <c r="F576" s="3"/>
      <c r="G576" s="3"/>
      <c r="H576" s="3"/>
      <c r="I576" s="3"/>
      <c r="J576" s="3"/>
      <c r="K576" s="3"/>
      <c r="L576" s="4"/>
      <c r="M576" s="32"/>
      <c r="N576" s="32"/>
      <c r="O576" s="32"/>
      <c r="P576" s="32"/>
      <c r="Q576" s="32"/>
      <c r="R576" s="32"/>
      <c r="S576" s="32"/>
      <c r="T576" s="32"/>
      <c r="U576" s="32"/>
      <c r="V576" s="32"/>
      <c r="W576" s="32"/>
      <c r="X576" s="32"/>
      <c r="Y576" s="32"/>
      <c r="Z576" s="32"/>
    </row>
    <row r="577" spans="1:26" ht="17.25" customHeight="1">
      <c r="A577" s="3"/>
      <c r="B577" s="3"/>
      <c r="C577" s="3"/>
      <c r="D577" s="3"/>
      <c r="E577" s="3"/>
      <c r="F577" s="3"/>
      <c r="G577" s="3"/>
      <c r="H577" s="3"/>
      <c r="I577" s="3"/>
      <c r="J577" s="3"/>
      <c r="K577" s="3"/>
      <c r="L577" s="4"/>
      <c r="M577" s="32"/>
      <c r="N577" s="32"/>
      <c r="O577" s="32"/>
      <c r="P577" s="32"/>
      <c r="Q577" s="32"/>
      <c r="R577" s="32"/>
      <c r="S577" s="32"/>
      <c r="T577" s="32"/>
      <c r="U577" s="32"/>
      <c r="V577" s="32"/>
      <c r="W577" s="32"/>
      <c r="X577" s="32"/>
      <c r="Y577" s="32"/>
      <c r="Z577" s="32"/>
    </row>
    <row r="578" spans="1:26" ht="17.25" customHeight="1">
      <c r="A578" s="3"/>
      <c r="B578" s="3"/>
      <c r="C578" s="3"/>
      <c r="D578" s="3"/>
      <c r="E578" s="3"/>
      <c r="F578" s="3"/>
      <c r="G578" s="3"/>
      <c r="H578" s="3"/>
      <c r="I578" s="3"/>
      <c r="J578" s="3"/>
      <c r="K578" s="3"/>
      <c r="L578" s="4"/>
      <c r="M578" s="32"/>
      <c r="N578" s="32"/>
      <c r="O578" s="32"/>
      <c r="P578" s="32"/>
      <c r="Q578" s="32"/>
      <c r="R578" s="32"/>
      <c r="S578" s="32"/>
      <c r="T578" s="32"/>
      <c r="U578" s="32"/>
      <c r="V578" s="32"/>
      <c r="W578" s="32"/>
      <c r="X578" s="32"/>
      <c r="Y578" s="32"/>
      <c r="Z578" s="32"/>
    </row>
    <row r="579" spans="1:26" ht="17.25" customHeight="1">
      <c r="A579" s="3"/>
      <c r="B579" s="3"/>
      <c r="C579" s="3"/>
      <c r="D579" s="3"/>
      <c r="E579" s="3"/>
      <c r="F579" s="3"/>
      <c r="G579" s="3"/>
      <c r="H579" s="3"/>
      <c r="I579" s="3"/>
      <c r="J579" s="3"/>
      <c r="K579" s="3"/>
      <c r="L579" s="4"/>
      <c r="M579" s="32"/>
      <c r="N579" s="32"/>
      <c r="O579" s="32"/>
      <c r="P579" s="32"/>
      <c r="Q579" s="32"/>
      <c r="R579" s="32"/>
      <c r="S579" s="32"/>
      <c r="T579" s="32"/>
      <c r="U579" s="32"/>
      <c r="V579" s="32"/>
      <c r="W579" s="32"/>
      <c r="X579" s="32"/>
      <c r="Y579" s="32"/>
      <c r="Z579" s="32"/>
    </row>
    <row r="580" spans="1:26" ht="17.25" customHeight="1">
      <c r="A580" s="3"/>
      <c r="B580" s="3"/>
      <c r="C580" s="3"/>
      <c r="D580" s="3"/>
      <c r="E580" s="3"/>
      <c r="F580" s="3"/>
      <c r="G580" s="3"/>
      <c r="H580" s="3"/>
      <c r="I580" s="3"/>
      <c r="J580" s="3"/>
      <c r="K580" s="3"/>
      <c r="L580" s="4"/>
      <c r="M580" s="32"/>
      <c r="N580" s="32"/>
      <c r="O580" s="32"/>
      <c r="P580" s="32"/>
      <c r="Q580" s="32"/>
      <c r="R580" s="32"/>
      <c r="S580" s="32"/>
      <c r="T580" s="32"/>
      <c r="U580" s="32"/>
      <c r="V580" s="32"/>
      <c r="W580" s="32"/>
      <c r="X580" s="32"/>
      <c r="Y580" s="32"/>
      <c r="Z580" s="32"/>
    </row>
    <row r="581" spans="1:26" ht="17.25" customHeight="1">
      <c r="A581" s="3"/>
      <c r="B581" s="3"/>
      <c r="C581" s="3"/>
      <c r="D581" s="3"/>
      <c r="E581" s="3"/>
      <c r="F581" s="3"/>
      <c r="G581" s="3"/>
      <c r="H581" s="3"/>
      <c r="I581" s="3"/>
      <c r="J581" s="3"/>
      <c r="K581" s="3"/>
      <c r="L581" s="4"/>
      <c r="M581" s="32"/>
      <c r="N581" s="32"/>
      <c r="O581" s="32"/>
      <c r="P581" s="32"/>
      <c r="Q581" s="32"/>
      <c r="R581" s="32"/>
      <c r="S581" s="32"/>
      <c r="T581" s="32"/>
      <c r="U581" s="32"/>
      <c r="V581" s="32"/>
      <c r="W581" s="32"/>
      <c r="X581" s="32"/>
      <c r="Y581" s="32"/>
      <c r="Z581" s="32"/>
    </row>
    <row r="582" spans="1:26" ht="17.25" customHeight="1">
      <c r="A582" s="3"/>
      <c r="B582" s="3"/>
      <c r="C582" s="3"/>
      <c r="D582" s="3"/>
      <c r="E582" s="3"/>
      <c r="F582" s="3"/>
      <c r="G582" s="3"/>
      <c r="H582" s="3"/>
      <c r="I582" s="3"/>
      <c r="J582" s="3"/>
      <c r="K582" s="3"/>
      <c r="L582" s="4"/>
      <c r="M582" s="32"/>
      <c r="N582" s="32"/>
      <c r="O582" s="32"/>
      <c r="P582" s="32"/>
      <c r="Q582" s="32"/>
      <c r="R582" s="32"/>
      <c r="S582" s="32"/>
      <c r="T582" s="32"/>
      <c r="U582" s="32"/>
      <c r="V582" s="32"/>
      <c r="W582" s="32"/>
      <c r="X582" s="32"/>
      <c r="Y582" s="32"/>
      <c r="Z582" s="32"/>
    </row>
    <row r="583" spans="1:26" ht="17.25" customHeight="1">
      <c r="A583" s="3"/>
      <c r="B583" s="3"/>
      <c r="C583" s="3"/>
      <c r="D583" s="3"/>
      <c r="E583" s="3"/>
      <c r="F583" s="3"/>
      <c r="G583" s="3"/>
      <c r="H583" s="3"/>
      <c r="I583" s="3"/>
      <c r="J583" s="3"/>
      <c r="K583" s="3"/>
      <c r="L583" s="4"/>
      <c r="M583" s="32"/>
      <c r="N583" s="32"/>
      <c r="O583" s="32"/>
      <c r="P583" s="32"/>
      <c r="Q583" s="32"/>
      <c r="R583" s="32"/>
      <c r="S583" s="32"/>
      <c r="T583" s="32"/>
      <c r="U583" s="32"/>
      <c r="V583" s="32"/>
      <c r="W583" s="32"/>
      <c r="X583" s="32"/>
      <c r="Y583" s="32"/>
      <c r="Z583" s="32"/>
    </row>
    <row r="584" spans="1:26" ht="17.25" customHeight="1">
      <c r="A584" s="3"/>
      <c r="B584" s="3"/>
      <c r="C584" s="3"/>
      <c r="D584" s="3"/>
      <c r="E584" s="3"/>
      <c r="F584" s="3"/>
      <c r="G584" s="3"/>
      <c r="H584" s="3"/>
      <c r="I584" s="3"/>
      <c r="J584" s="3"/>
      <c r="K584" s="3"/>
      <c r="L584" s="4"/>
      <c r="M584" s="32"/>
      <c r="N584" s="32"/>
      <c r="O584" s="32"/>
      <c r="P584" s="32"/>
      <c r="Q584" s="32"/>
      <c r="R584" s="32"/>
      <c r="S584" s="32"/>
      <c r="T584" s="32"/>
      <c r="U584" s="32"/>
      <c r="V584" s="32"/>
      <c r="W584" s="32"/>
      <c r="X584" s="32"/>
      <c r="Y584" s="32"/>
      <c r="Z584" s="32"/>
    </row>
    <row r="585" spans="1:26" ht="17.25" customHeight="1">
      <c r="A585" s="3"/>
      <c r="B585" s="3"/>
      <c r="C585" s="3"/>
      <c r="D585" s="3"/>
      <c r="E585" s="3"/>
      <c r="F585" s="3"/>
      <c r="G585" s="3"/>
      <c r="H585" s="3"/>
      <c r="I585" s="3"/>
      <c r="J585" s="3"/>
      <c r="K585" s="3"/>
      <c r="L585" s="4"/>
      <c r="M585" s="32"/>
      <c r="N585" s="32"/>
      <c r="O585" s="32"/>
      <c r="P585" s="32"/>
      <c r="Q585" s="32"/>
      <c r="R585" s="32"/>
      <c r="S585" s="32"/>
      <c r="T585" s="32"/>
      <c r="U585" s="32"/>
      <c r="V585" s="32"/>
      <c r="W585" s="32"/>
      <c r="X585" s="32"/>
      <c r="Y585" s="32"/>
      <c r="Z585" s="32"/>
    </row>
    <row r="586" spans="1:26" ht="17.25" customHeight="1">
      <c r="A586" s="3"/>
      <c r="B586" s="3"/>
      <c r="C586" s="3"/>
      <c r="D586" s="3"/>
      <c r="E586" s="3"/>
      <c r="F586" s="3"/>
      <c r="G586" s="3"/>
      <c r="H586" s="3"/>
      <c r="I586" s="3"/>
      <c r="J586" s="3"/>
      <c r="K586" s="3"/>
      <c r="L586" s="4"/>
      <c r="M586" s="32"/>
      <c r="N586" s="32"/>
      <c r="O586" s="32"/>
      <c r="P586" s="32"/>
      <c r="Q586" s="32"/>
      <c r="R586" s="32"/>
      <c r="S586" s="32"/>
      <c r="T586" s="32"/>
      <c r="U586" s="32"/>
      <c r="V586" s="32"/>
      <c r="W586" s="32"/>
      <c r="X586" s="32"/>
      <c r="Y586" s="32"/>
      <c r="Z586" s="32"/>
    </row>
    <row r="587" spans="1:26" ht="17.25" customHeight="1">
      <c r="A587" s="3"/>
      <c r="B587" s="3"/>
      <c r="C587" s="3"/>
      <c r="D587" s="3"/>
      <c r="E587" s="3"/>
      <c r="F587" s="3"/>
      <c r="G587" s="3"/>
      <c r="H587" s="3"/>
      <c r="I587" s="3"/>
      <c r="J587" s="3"/>
      <c r="K587" s="3"/>
      <c r="L587" s="4"/>
      <c r="M587" s="32"/>
      <c r="N587" s="32"/>
      <c r="O587" s="32"/>
      <c r="P587" s="32"/>
      <c r="Q587" s="32"/>
      <c r="R587" s="32"/>
      <c r="S587" s="32"/>
      <c r="T587" s="32"/>
      <c r="U587" s="32"/>
      <c r="V587" s="32"/>
      <c r="W587" s="32"/>
      <c r="X587" s="32"/>
      <c r="Y587" s="32"/>
      <c r="Z587" s="32"/>
    </row>
    <row r="588" spans="1:26" ht="17.25" customHeight="1">
      <c r="A588" s="3"/>
      <c r="B588" s="3"/>
      <c r="C588" s="3"/>
      <c r="D588" s="3"/>
      <c r="E588" s="3"/>
      <c r="F588" s="3"/>
      <c r="G588" s="3"/>
      <c r="H588" s="3"/>
      <c r="I588" s="3"/>
      <c r="J588" s="3"/>
      <c r="K588" s="3"/>
      <c r="L588" s="4"/>
      <c r="M588" s="32"/>
      <c r="N588" s="32"/>
      <c r="O588" s="32"/>
      <c r="P588" s="32"/>
      <c r="Q588" s="32"/>
      <c r="R588" s="32"/>
      <c r="S588" s="32"/>
      <c r="T588" s="32"/>
      <c r="U588" s="32"/>
      <c r="V588" s="32"/>
      <c r="W588" s="32"/>
      <c r="X588" s="32"/>
      <c r="Y588" s="32"/>
      <c r="Z588" s="32"/>
    </row>
    <row r="589" spans="1:26" ht="17.25" customHeight="1">
      <c r="A589" s="3"/>
      <c r="B589" s="3"/>
      <c r="C589" s="3"/>
      <c r="D589" s="3"/>
      <c r="E589" s="3"/>
      <c r="F589" s="3"/>
      <c r="G589" s="3"/>
      <c r="H589" s="3"/>
      <c r="I589" s="3"/>
      <c r="J589" s="3"/>
      <c r="K589" s="3"/>
      <c r="L589" s="4"/>
      <c r="M589" s="32"/>
      <c r="N589" s="32"/>
      <c r="O589" s="32"/>
      <c r="P589" s="32"/>
      <c r="Q589" s="32"/>
      <c r="R589" s="32"/>
      <c r="S589" s="32"/>
      <c r="T589" s="32"/>
      <c r="U589" s="32"/>
      <c r="V589" s="32"/>
      <c r="W589" s="32"/>
      <c r="X589" s="32"/>
      <c r="Y589" s="32"/>
      <c r="Z589" s="32"/>
    </row>
    <row r="590" spans="1:26" ht="17.25" customHeight="1">
      <c r="A590" s="3"/>
      <c r="B590" s="3"/>
      <c r="C590" s="3"/>
      <c r="D590" s="3"/>
      <c r="E590" s="3"/>
      <c r="F590" s="3"/>
      <c r="G590" s="3"/>
      <c r="H590" s="3"/>
      <c r="I590" s="3"/>
      <c r="J590" s="3"/>
      <c r="K590" s="3"/>
      <c r="L590" s="4"/>
      <c r="M590" s="32"/>
      <c r="N590" s="32"/>
      <c r="O590" s="32"/>
      <c r="P590" s="32"/>
      <c r="Q590" s="32"/>
      <c r="R590" s="32"/>
      <c r="S590" s="32"/>
      <c r="T590" s="32"/>
      <c r="U590" s="32"/>
      <c r="V590" s="32"/>
      <c r="W590" s="32"/>
      <c r="X590" s="32"/>
      <c r="Y590" s="32"/>
      <c r="Z590" s="32"/>
    </row>
    <row r="591" spans="1:26" ht="17.25" customHeight="1">
      <c r="A591" s="3"/>
      <c r="B591" s="3"/>
      <c r="C591" s="3"/>
      <c r="D591" s="3"/>
      <c r="E591" s="3"/>
      <c r="F591" s="3"/>
      <c r="G591" s="3"/>
      <c r="H591" s="3"/>
      <c r="I591" s="3"/>
      <c r="J591" s="3"/>
      <c r="K591" s="3"/>
      <c r="L591" s="4"/>
      <c r="M591" s="32"/>
      <c r="N591" s="32"/>
      <c r="O591" s="32"/>
      <c r="P591" s="32"/>
      <c r="Q591" s="32"/>
      <c r="R591" s="32"/>
      <c r="S591" s="32"/>
      <c r="T591" s="32"/>
      <c r="U591" s="32"/>
      <c r="V591" s="32"/>
      <c r="W591" s="32"/>
      <c r="X591" s="32"/>
      <c r="Y591" s="32"/>
      <c r="Z591" s="32"/>
    </row>
    <row r="592" spans="1:26" ht="17.25" customHeight="1">
      <c r="A592" s="3"/>
      <c r="B592" s="3"/>
      <c r="C592" s="3"/>
      <c r="D592" s="3"/>
      <c r="E592" s="3"/>
      <c r="F592" s="3"/>
      <c r="G592" s="3"/>
      <c r="H592" s="3"/>
      <c r="I592" s="3"/>
      <c r="J592" s="3"/>
      <c r="K592" s="3"/>
      <c r="L592" s="4"/>
      <c r="M592" s="32"/>
      <c r="N592" s="32"/>
      <c r="O592" s="32"/>
      <c r="P592" s="32"/>
      <c r="Q592" s="32"/>
      <c r="R592" s="32"/>
      <c r="S592" s="32"/>
      <c r="T592" s="32"/>
      <c r="U592" s="32"/>
      <c r="V592" s="32"/>
      <c r="W592" s="32"/>
      <c r="X592" s="32"/>
      <c r="Y592" s="32"/>
      <c r="Z592" s="32"/>
    </row>
    <row r="593" spans="1:26" ht="17.25" customHeight="1">
      <c r="A593" s="3"/>
      <c r="B593" s="3"/>
      <c r="C593" s="3"/>
      <c r="D593" s="3"/>
      <c r="E593" s="3"/>
      <c r="F593" s="3"/>
      <c r="G593" s="3"/>
      <c r="H593" s="3"/>
      <c r="I593" s="3"/>
      <c r="J593" s="3"/>
      <c r="K593" s="3"/>
      <c r="L593" s="4"/>
      <c r="M593" s="32"/>
      <c r="N593" s="32"/>
      <c r="O593" s="32"/>
      <c r="P593" s="32"/>
      <c r="Q593" s="32"/>
      <c r="R593" s="32"/>
      <c r="S593" s="32"/>
      <c r="T593" s="32"/>
      <c r="U593" s="32"/>
      <c r="V593" s="32"/>
      <c r="W593" s="32"/>
      <c r="X593" s="32"/>
      <c r="Y593" s="32"/>
      <c r="Z593" s="32"/>
    </row>
    <row r="594" spans="1:26" ht="17.25" customHeight="1">
      <c r="A594" s="3"/>
      <c r="B594" s="3"/>
      <c r="C594" s="3"/>
      <c r="D594" s="3"/>
      <c r="E594" s="3"/>
      <c r="F594" s="3"/>
      <c r="G594" s="3"/>
      <c r="H594" s="3"/>
      <c r="I594" s="3"/>
      <c r="J594" s="3"/>
      <c r="K594" s="3"/>
      <c r="L594" s="4"/>
      <c r="M594" s="32"/>
      <c r="N594" s="32"/>
      <c r="O594" s="32"/>
      <c r="P594" s="32"/>
      <c r="Q594" s="32"/>
      <c r="R594" s="32"/>
      <c r="S594" s="32"/>
      <c r="T594" s="32"/>
      <c r="U594" s="32"/>
      <c r="V594" s="32"/>
      <c r="W594" s="32"/>
      <c r="X594" s="32"/>
      <c r="Y594" s="32"/>
      <c r="Z594" s="32"/>
    </row>
    <row r="595" spans="1:26" ht="17.25" customHeight="1">
      <c r="A595" s="3"/>
      <c r="B595" s="3"/>
      <c r="C595" s="3"/>
      <c r="D595" s="3"/>
      <c r="E595" s="3"/>
      <c r="F595" s="3"/>
      <c r="G595" s="3"/>
      <c r="H595" s="3"/>
      <c r="I595" s="3"/>
      <c r="J595" s="3"/>
      <c r="K595" s="3"/>
      <c r="L595" s="4"/>
      <c r="M595" s="32"/>
      <c r="N595" s="32"/>
      <c r="O595" s="32"/>
      <c r="P595" s="32"/>
      <c r="Q595" s="32"/>
      <c r="R595" s="32"/>
      <c r="S595" s="32"/>
      <c r="T595" s="32"/>
      <c r="U595" s="32"/>
      <c r="V595" s="32"/>
      <c r="W595" s="32"/>
      <c r="X595" s="32"/>
      <c r="Y595" s="32"/>
      <c r="Z595" s="32"/>
    </row>
    <row r="596" spans="1:26" ht="17.25" customHeight="1">
      <c r="A596" s="3"/>
      <c r="B596" s="3"/>
      <c r="C596" s="3"/>
      <c r="D596" s="3"/>
      <c r="E596" s="3"/>
      <c r="F596" s="3"/>
      <c r="G596" s="3"/>
      <c r="H596" s="3"/>
      <c r="I596" s="3"/>
      <c r="J596" s="3"/>
      <c r="K596" s="3"/>
      <c r="L596" s="4"/>
      <c r="M596" s="32"/>
      <c r="N596" s="32"/>
      <c r="O596" s="32"/>
      <c r="P596" s="32"/>
      <c r="Q596" s="32"/>
      <c r="R596" s="32"/>
      <c r="S596" s="32"/>
      <c r="T596" s="32"/>
      <c r="U596" s="32"/>
      <c r="V596" s="32"/>
      <c r="W596" s="32"/>
      <c r="X596" s="32"/>
      <c r="Y596" s="32"/>
      <c r="Z596" s="32"/>
    </row>
    <row r="597" spans="1:26" ht="17.25" customHeight="1">
      <c r="A597" s="3"/>
      <c r="B597" s="3"/>
      <c r="C597" s="3"/>
      <c r="D597" s="3"/>
      <c r="E597" s="3"/>
      <c r="F597" s="3"/>
      <c r="G597" s="3"/>
      <c r="H597" s="3"/>
      <c r="I597" s="3"/>
      <c r="J597" s="3"/>
      <c r="K597" s="3"/>
      <c r="L597" s="4"/>
      <c r="M597" s="32"/>
      <c r="N597" s="32"/>
      <c r="O597" s="32"/>
      <c r="P597" s="32"/>
      <c r="Q597" s="32"/>
      <c r="R597" s="32"/>
      <c r="S597" s="32"/>
      <c r="T597" s="32"/>
      <c r="U597" s="32"/>
      <c r="V597" s="32"/>
      <c r="W597" s="32"/>
      <c r="X597" s="32"/>
      <c r="Y597" s="32"/>
      <c r="Z597" s="32"/>
    </row>
    <row r="598" spans="1:26" ht="17.25" customHeight="1">
      <c r="A598" s="3"/>
      <c r="B598" s="3"/>
      <c r="C598" s="3"/>
      <c r="D598" s="3"/>
      <c r="E598" s="3"/>
      <c r="F598" s="3"/>
      <c r="G598" s="3"/>
      <c r="H598" s="3"/>
      <c r="I598" s="3"/>
      <c r="J598" s="3"/>
      <c r="K598" s="3"/>
      <c r="L598" s="4"/>
      <c r="M598" s="32"/>
      <c r="N598" s="32"/>
      <c r="O598" s="32"/>
      <c r="P598" s="32"/>
      <c r="Q598" s="32"/>
      <c r="R598" s="32"/>
      <c r="S598" s="32"/>
      <c r="T598" s="32"/>
      <c r="U598" s="32"/>
      <c r="V598" s="32"/>
      <c r="W598" s="32"/>
      <c r="X598" s="32"/>
      <c r="Y598" s="32"/>
      <c r="Z598" s="32"/>
    </row>
    <row r="599" spans="1:26" ht="17.25" customHeight="1">
      <c r="A599" s="3"/>
      <c r="B599" s="3"/>
      <c r="C599" s="3"/>
      <c r="D599" s="3"/>
      <c r="E599" s="3"/>
      <c r="F599" s="3"/>
      <c r="G599" s="3"/>
      <c r="H599" s="3"/>
      <c r="I599" s="3"/>
      <c r="J599" s="3"/>
      <c r="K599" s="3"/>
      <c r="L599" s="4"/>
      <c r="M599" s="32"/>
      <c r="N599" s="32"/>
      <c r="O599" s="32"/>
      <c r="P599" s="32"/>
      <c r="Q599" s="32"/>
      <c r="R599" s="32"/>
      <c r="S599" s="32"/>
      <c r="T599" s="32"/>
      <c r="U599" s="32"/>
      <c r="V599" s="32"/>
      <c r="W599" s="32"/>
      <c r="X599" s="32"/>
      <c r="Y599" s="32"/>
      <c r="Z599" s="32"/>
    </row>
    <row r="600" spans="1:26" ht="17.25" customHeight="1">
      <c r="A600" s="3"/>
      <c r="B600" s="3"/>
      <c r="C600" s="3"/>
      <c r="D600" s="3"/>
      <c r="E600" s="3"/>
      <c r="F600" s="3"/>
      <c r="G600" s="3"/>
      <c r="H600" s="3"/>
      <c r="I600" s="3"/>
      <c r="J600" s="3"/>
      <c r="K600" s="3"/>
      <c r="L600" s="4"/>
      <c r="M600" s="32"/>
      <c r="N600" s="32"/>
      <c r="O600" s="32"/>
      <c r="P600" s="32"/>
      <c r="Q600" s="32"/>
      <c r="R600" s="32"/>
      <c r="S600" s="32"/>
      <c r="T600" s="32"/>
      <c r="U600" s="32"/>
      <c r="V600" s="32"/>
      <c r="W600" s="32"/>
      <c r="X600" s="32"/>
      <c r="Y600" s="32"/>
      <c r="Z600" s="32"/>
    </row>
    <row r="601" spans="1:26" ht="17.25" customHeight="1">
      <c r="A601" s="3"/>
      <c r="B601" s="3"/>
      <c r="C601" s="3"/>
      <c r="D601" s="3"/>
      <c r="E601" s="3"/>
      <c r="F601" s="3"/>
      <c r="G601" s="3"/>
      <c r="H601" s="3"/>
      <c r="I601" s="3"/>
      <c r="J601" s="3"/>
      <c r="K601" s="3"/>
      <c r="L601" s="4"/>
      <c r="M601" s="32"/>
      <c r="N601" s="32"/>
      <c r="O601" s="32"/>
      <c r="P601" s="32"/>
      <c r="Q601" s="32"/>
      <c r="R601" s="32"/>
      <c r="S601" s="32"/>
      <c r="T601" s="32"/>
      <c r="U601" s="32"/>
      <c r="V601" s="32"/>
      <c r="W601" s="32"/>
      <c r="X601" s="32"/>
      <c r="Y601" s="32"/>
      <c r="Z601" s="32"/>
    </row>
    <row r="602" spans="1:26" ht="17.25" customHeight="1">
      <c r="A602" s="3"/>
      <c r="B602" s="3"/>
      <c r="C602" s="3"/>
      <c r="D602" s="3"/>
      <c r="E602" s="3"/>
      <c r="F602" s="3"/>
      <c r="G602" s="3"/>
      <c r="H602" s="3"/>
      <c r="I602" s="3"/>
      <c r="J602" s="3"/>
      <c r="K602" s="3"/>
      <c r="L602" s="4"/>
      <c r="M602" s="32"/>
      <c r="N602" s="32"/>
      <c r="O602" s="32"/>
      <c r="P602" s="32"/>
      <c r="Q602" s="32"/>
      <c r="R602" s="32"/>
      <c r="S602" s="32"/>
      <c r="T602" s="32"/>
      <c r="U602" s="32"/>
      <c r="V602" s="32"/>
      <c r="W602" s="32"/>
      <c r="X602" s="32"/>
      <c r="Y602" s="32"/>
      <c r="Z602" s="32"/>
    </row>
    <row r="603" spans="1:26" ht="17.25" customHeight="1">
      <c r="A603" s="3"/>
      <c r="B603" s="3"/>
      <c r="C603" s="3"/>
      <c r="D603" s="3"/>
      <c r="E603" s="3"/>
      <c r="F603" s="3"/>
      <c r="G603" s="3"/>
      <c r="H603" s="3"/>
      <c r="I603" s="3"/>
      <c r="J603" s="3"/>
      <c r="K603" s="3"/>
      <c r="L603" s="4"/>
      <c r="M603" s="32"/>
      <c r="N603" s="32"/>
      <c r="O603" s="32"/>
      <c r="P603" s="32"/>
      <c r="Q603" s="32"/>
      <c r="R603" s="32"/>
      <c r="S603" s="32"/>
      <c r="T603" s="32"/>
      <c r="U603" s="32"/>
      <c r="V603" s="32"/>
      <c r="W603" s="32"/>
      <c r="X603" s="32"/>
      <c r="Y603" s="32"/>
      <c r="Z603" s="32"/>
    </row>
    <row r="604" spans="1:26" ht="17.25" customHeight="1">
      <c r="A604" s="3"/>
      <c r="B604" s="3"/>
      <c r="C604" s="3"/>
      <c r="D604" s="3"/>
      <c r="E604" s="3"/>
      <c r="F604" s="3"/>
      <c r="G604" s="3"/>
      <c r="H604" s="3"/>
      <c r="I604" s="3"/>
      <c r="J604" s="3"/>
      <c r="K604" s="3"/>
      <c r="L604" s="4"/>
      <c r="M604" s="32"/>
      <c r="N604" s="32"/>
      <c r="O604" s="32"/>
      <c r="P604" s="32"/>
      <c r="Q604" s="32"/>
      <c r="R604" s="32"/>
      <c r="S604" s="32"/>
      <c r="T604" s="32"/>
      <c r="U604" s="32"/>
      <c r="V604" s="32"/>
      <c r="W604" s="32"/>
      <c r="X604" s="32"/>
      <c r="Y604" s="32"/>
      <c r="Z604" s="32"/>
    </row>
    <row r="605" spans="1:26" ht="17.25" customHeight="1">
      <c r="A605" s="3"/>
      <c r="B605" s="3"/>
      <c r="C605" s="3"/>
      <c r="D605" s="3"/>
      <c r="E605" s="3"/>
      <c r="F605" s="3"/>
      <c r="G605" s="3"/>
      <c r="H605" s="3"/>
      <c r="I605" s="3"/>
      <c r="J605" s="3"/>
      <c r="K605" s="3"/>
      <c r="L605" s="4"/>
      <c r="M605" s="32"/>
      <c r="N605" s="32"/>
      <c r="O605" s="32"/>
      <c r="P605" s="32"/>
      <c r="Q605" s="32"/>
      <c r="R605" s="32"/>
      <c r="S605" s="32"/>
      <c r="T605" s="32"/>
      <c r="U605" s="32"/>
      <c r="V605" s="32"/>
      <c r="W605" s="32"/>
      <c r="X605" s="32"/>
      <c r="Y605" s="32"/>
      <c r="Z605" s="32"/>
    </row>
    <row r="606" spans="1:26" ht="17.25" customHeight="1">
      <c r="A606" s="3"/>
      <c r="B606" s="3"/>
      <c r="C606" s="3"/>
      <c r="D606" s="3"/>
      <c r="E606" s="3"/>
      <c r="F606" s="3"/>
      <c r="G606" s="3"/>
      <c r="H606" s="3"/>
      <c r="I606" s="3"/>
      <c r="J606" s="3"/>
      <c r="K606" s="3"/>
      <c r="L606" s="4"/>
      <c r="M606" s="32"/>
      <c r="N606" s="32"/>
      <c r="O606" s="32"/>
      <c r="P606" s="32"/>
      <c r="Q606" s="32"/>
      <c r="R606" s="32"/>
      <c r="S606" s="32"/>
      <c r="T606" s="32"/>
      <c r="U606" s="32"/>
      <c r="V606" s="32"/>
      <c r="W606" s="32"/>
      <c r="X606" s="32"/>
      <c r="Y606" s="32"/>
      <c r="Z606" s="32"/>
    </row>
    <row r="607" spans="1:26" ht="17.25" customHeight="1">
      <c r="A607" s="3"/>
      <c r="B607" s="3"/>
      <c r="C607" s="3"/>
      <c r="D607" s="3"/>
      <c r="E607" s="3"/>
      <c r="F607" s="3"/>
      <c r="G607" s="3"/>
      <c r="H607" s="3"/>
      <c r="I607" s="3"/>
      <c r="J607" s="3"/>
      <c r="K607" s="3"/>
      <c r="L607" s="4"/>
      <c r="M607" s="32"/>
      <c r="N607" s="32"/>
      <c r="O607" s="32"/>
      <c r="P607" s="32"/>
      <c r="Q607" s="32"/>
      <c r="R607" s="32"/>
      <c r="S607" s="32"/>
      <c r="T607" s="32"/>
      <c r="U607" s="32"/>
      <c r="V607" s="32"/>
      <c r="W607" s="32"/>
      <c r="X607" s="32"/>
      <c r="Y607" s="32"/>
      <c r="Z607" s="32"/>
    </row>
    <row r="608" spans="1:26" ht="17.25" customHeight="1">
      <c r="A608" s="3"/>
      <c r="B608" s="3"/>
      <c r="C608" s="3"/>
      <c r="D608" s="3"/>
      <c r="E608" s="3"/>
      <c r="F608" s="3"/>
      <c r="G608" s="3"/>
      <c r="H608" s="3"/>
      <c r="I608" s="3"/>
      <c r="J608" s="3"/>
      <c r="K608" s="3"/>
      <c r="L608" s="4"/>
      <c r="M608" s="32"/>
      <c r="N608" s="32"/>
      <c r="O608" s="32"/>
      <c r="P608" s="32"/>
      <c r="Q608" s="32"/>
      <c r="R608" s="32"/>
      <c r="S608" s="32"/>
      <c r="T608" s="32"/>
      <c r="U608" s="32"/>
      <c r="V608" s="32"/>
      <c r="W608" s="32"/>
      <c r="X608" s="32"/>
      <c r="Y608" s="32"/>
      <c r="Z608" s="32"/>
    </row>
    <row r="609" spans="1:26" ht="17.25" customHeight="1">
      <c r="A609" s="3"/>
      <c r="B609" s="3"/>
      <c r="C609" s="3"/>
      <c r="D609" s="3"/>
      <c r="E609" s="3"/>
      <c r="F609" s="3"/>
      <c r="G609" s="3"/>
      <c r="H609" s="3"/>
      <c r="I609" s="3"/>
      <c r="J609" s="3"/>
      <c r="K609" s="3"/>
      <c r="L609" s="4"/>
      <c r="M609" s="32"/>
      <c r="N609" s="32"/>
      <c r="O609" s="32"/>
      <c r="P609" s="32"/>
      <c r="Q609" s="32"/>
      <c r="R609" s="32"/>
      <c r="S609" s="32"/>
      <c r="T609" s="32"/>
      <c r="U609" s="32"/>
      <c r="V609" s="32"/>
      <c r="W609" s="32"/>
      <c r="X609" s="32"/>
      <c r="Y609" s="32"/>
      <c r="Z609" s="32"/>
    </row>
    <row r="610" spans="1:26" ht="17.25" customHeight="1">
      <c r="A610" s="3"/>
      <c r="B610" s="3"/>
      <c r="C610" s="3"/>
      <c r="D610" s="3"/>
      <c r="E610" s="3"/>
      <c r="F610" s="3"/>
      <c r="G610" s="3"/>
      <c r="H610" s="3"/>
      <c r="I610" s="3"/>
      <c r="J610" s="3"/>
      <c r="K610" s="3"/>
      <c r="L610" s="4"/>
      <c r="M610" s="32"/>
      <c r="N610" s="32"/>
      <c r="O610" s="32"/>
      <c r="P610" s="32"/>
      <c r="Q610" s="32"/>
      <c r="R610" s="32"/>
      <c r="S610" s="32"/>
      <c r="T610" s="32"/>
      <c r="U610" s="32"/>
      <c r="V610" s="32"/>
      <c r="W610" s="32"/>
      <c r="X610" s="32"/>
      <c r="Y610" s="32"/>
      <c r="Z610" s="32"/>
    </row>
    <row r="611" spans="1:26" ht="17.25" customHeight="1">
      <c r="A611" s="3"/>
      <c r="B611" s="3"/>
      <c r="C611" s="3"/>
      <c r="D611" s="3"/>
      <c r="E611" s="3"/>
      <c r="F611" s="3"/>
      <c r="G611" s="3"/>
      <c r="H611" s="3"/>
      <c r="I611" s="3"/>
      <c r="J611" s="3"/>
      <c r="K611" s="3"/>
      <c r="L611" s="4"/>
      <c r="M611" s="32"/>
      <c r="N611" s="32"/>
      <c r="O611" s="32"/>
      <c r="P611" s="32"/>
      <c r="Q611" s="32"/>
      <c r="R611" s="32"/>
      <c r="S611" s="32"/>
      <c r="T611" s="32"/>
      <c r="U611" s="32"/>
      <c r="V611" s="32"/>
      <c r="W611" s="32"/>
      <c r="X611" s="32"/>
      <c r="Y611" s="32"/>
      <c r="Z611" s="32"/>
    </row>
    <row r="612" spans="1:26" ht="17.25" customHeight="1">
      <c r="A612" s="3"/>
      <c r="B612" s="3"/>
      <c r="C612" s="3"/>
      <c r="D612" s="3"/>
      <c r="E612" s="3"/>
      <c r="F612" s="3"/>
      <c r="G612" s="3"/>
      <c r="H612" s="3"/>
      <c r="I612" s="3"/>
      <c r="J612" s="3"/>
      <c r="K612" s="3"/>
      <c r="L612" s="4"/>
      <c r="M612" s="32"/>
      <c r="N612" s="32"/>
      <c r="O612" s="32"/>
      <c r="P612" s="32"/>
      <c r="Q612" s="32"/>
      <c r="R612" s="32"/>
      <c r="S612" s="32"/>
      <c r="T612" s="32"/>
      <c r="U612" s="32"/>
      <c r="V612" s="32"/>
      <c r="W612" s="32"/>
      <c r="X612" s="32"/>
      <c r="Y612" s="32"/>
      <c r="Z612" s="32"/>
    </row>
    <row r="613" spans="1:26" ht="17.25" customHeight="1">
      <c r="A613" s="3"/>
      <c r="B613" s="3"/>
      <c r="C613" s="3"/>
      <c r="D613" s="3"/>
      <c r="E613" s="3"/>
      <c r="F613" s="3"/>
      <c r="G613" s="3"/>
      <c r="H613" s="3"/>
      <c r="I613" s="3"/>
      <c r="J613" s="3"/>
      <c r="K613" s="3"/>
      <c r="L613" s="4"/>
      <c r="M613" s="32"/>
      <c r="N613" s="32"/>
      <c r="O613" s="32"/>
      <c r="P613" s="32"/>
      <c r="Q613" s="32"/>
      <c r="R613" s="32"/>
      <c r="S613" s="32"/>
      <c r="T613" s="32"/>
      <c r="U613" s="32"/>
      <c r="V613" s="32"/>
      <c r="W613" s="32"/>
      <c r="X613" s="32"/>
      <c r="Y613" s="32"/>
      <c r="Z613" s="32"/>
    </row>
    <row r="614" spans="1:26" ht="17.25" customHeight="1">
      <c r="A614" s="3"/>
      <c r="B614" s="3"/>
      <c r="C614" s="3"/>
      <c r="D614" s="3"/>
      <c r="E614" s="3"/>
      <c r="F614" s="3"/>
      <c r="G614" s="3"/>
      <c r="H614" s="3"/>
      <c r="I614" s="3"/>
      <c r="J614" s="3"/>
      <c r="K614" s="3"/>
      <c r="L614" s="4"/>
      <c r="M614" s="32"/>
      <c r="N614" s="32"/>
      <c r="O614" s="32"/>
      <c r="P614" s="32"/>
      <c r="Q614" s="32"/>
      <c r="R614" s="32"/>
      <c r="S614" s="32"/>
      <c r="T614" s="32"/>
      <c r="U614" s="32"/>
      <c r="V614" s="32"/>
      <c r="W614" s="32"/>
      <c r="X614" s="32"/>
      <c r="Y614" s="32"/>
      <c r="Z614" s="32"/>
    </row>
    <row r="615" spans="1:26" ht="17.25" customHeight="1">
      <c r="A615" s="3"/>
      <c r="B615" s="3"/>
      <c r="C615" s="3"/>
      <c r="D615" s="3"/>
      <c r="E615" s="3"/>
      <c r="F615" s="3"/>
      <c r="G615" s="3"/>
      <c r="H615" s="3"/>
      <c r="I615" s="3"/>
      <c r="J615" s="3"/>
      <c r="K615" s="3"/>
      <c r="L615" s="4"/>
      <c r="M615" s="32"/>
      <c r="N615" s="32"/>
      <c r="O615" s="32"/>
      <c r="P615" s="32"/>
      <c r="Q615" s="32"/>
      <c r="R615" s="32"/>
      <c r="S615" s="32"/>
      <c r="T615" s="32"/>
      <c r="U615" s="32"/>
      <c r="V615" s="32"/>
      <c r="W615" s="32"/>
      <c r="X615" s="32"/>
      <c r="Y615" s="32"/>
      <c r="Z615" s="32"/>
    </row>
    <row r="616" spans="1:26" ht="17.25" customHeight="1">
      <c r="A616" s="3"/>
      <c r="B616" s="3"/>
      <c r="C616" s="3"/>
      <c r="D616" s="3"/>
      <c r="E616" s="3"/>
      <c r="F616" s="3"/>
      <c r="G616" s="3"/>
      <c r="H616" s="3"/>
      <c r="I616" s="3"/>
      <c r="J616" s="3"/>
      <c r="K616" s="3"/>
      <c r="L616" s="4"/>
      <c r="M616" s="32"/>
      <c r="N616" s="32"/>
      <c r="O616" s="32"/>
      <c r="P616" s="32"/>
      <c r="Q616" s="32"/>
      <c r="R616" s="32"/>
      <c r="S616" s="32"/>
      <c r="T616" s="32"/>
      <c r="U616" s="32"/>
      <c r="V616" s="32"/>
      <c r="W616" s="32"/>
      <c r="X616" s="32"/>
      <c r="Y616" s="32"/>
      <c r="Z616" s="32"/>
    </row>
    <row r="617" spans="1:26" ht="17.25" customHeight="1">
      <c r="A617" s="3"/>
      <c r="B617" s="3"/>
      <c r="C617" s="3"/>
      <c r="D617" s="3"/>
      <c r="E617" s="3"/>
      <c r="F617" s="3"/>
      <c r="G617" s="3"/>
      <c r="H617" s="3"/>
      <c r="I617" s="3"/>
      <c r="J617" s="3"/>
      <c r="K617" s="3"/>
      <c r="L617" s="4"/>
      <c r="M617" s="32"/>
      <c r="N617" s="32"/>
      <c r="O617" s="32"/>
      <c r="P617" s="32"/>
      <c r="Q617" s="32"/>
      <c r="R617" s="32"/>
      <c r="S617" s="32"/>
      <c r="T617" s="32"/>
      <c r="U617" s="32"/>
      <c r="V617" s="32"/>
      <c r="W617" s="32"/>
      <c r="X617" s="32"/>
      <c r="Y617" s="32"/>
      <c r="Z617" s="32"/>
    </row>
    <row r="618" spans="1:26" ht="17.25" customHeight="1">
      <c r="A618" s="3"/>
      <c r="B618" s="3"/>
      <c r="C618" s="3"/>
      <c r="D618" s="3"/>
      <c r="E618" s="3"/>
      <c r="F618" s="3"/>
      <c r="G618" s="3"/>
      <c r="H618" s="3"/>
      <c r="I618" s="3"/>
      <c r="J618" s="3"/>
      <c r="K618" s="3"/>
      <c r="L618" s="4"/>
      <c r="M618" s="32"/>
      <c r="N618" s="32"/>
      <c r="O618" s="32"/>
      <c r="P618" s="32"/>
      <c r="Q618" s="32"/>
      <c r="R618" s="32"/>
      <c r="S618" s="32"/>
      <c r="T618" s="32"/>
      <c r="U618" s="32"/>
      <c r="V618" s="32"/>
      <c r="W618" s="32"/>
      <c r="X618" s="32"/>
      <c r="Y618" s="32"/>
      <c r="Z618" s="32"/>
    </row>
    <row r="619" spans="1:26" ht="17.25" customHeight="1">
      <c r="A619" s="3"/>
      <c r="B619" s="3"/>
      <c r="C619" s="3"/>
      <c r="D619" s="3"/>
      <c r="E619" s="3"/>
      <c r="F619" s="3"/>
      <c r="G619" s="3"/>
      <c r="H619" s="3"/>
      <c r="I619" s="3"/>
      <c r="J619" s="3"/>
      <c r="K619" s="3"/>
      <c r="L619" s="4"/>
      <c r="M619" s="32"/>
      <c r="N619" s="32"/>
      <c r="O619" s="32"/>
      <c r="P619" s="32"/>
      <c r="Q619" s="32"/>
      <c r="R619" s="32"/>
      <c r="S619" s="32"/>
      <c r="T619" s="32"/>
      <c r="U619" s="32"/>
      <c r="V619" s="32"/>
      <c r="W619" s="32"/>
      <c r="X619" s="32"/>
      <c r="Y619" s="32"/>
      <c r="Z619" s="32"/>
    </row>
    <row r="620" spans="1:26" ht="17.25" customHeight="1">
      <c r="A620" s="3"/>
      <c r="B620" s="3"/>
      <c r="C620" s="3"/>
      <c r="D620" s="3"/>
      <c r="E620" s="3"/>
      <c r="F620" s="3"/>
      <c r="G620" s="3"/>
      <c r="H620" s="3"/>
      <c r="I620" s="3"/>
      <c r="J620" s="3"/>
      <c r="K620" s="3"/>
      <c r="L620" s="4"/>
      <c r="M620" s="32"/>
      <c r="N620" s="32"/>
      <c r="O620" s="32"/>
      <c r="P620" s="32"/>
      <c r="Q620" s="32"/>
      <c r="R620" s="32"/>
      <c r="S620" s="32"/>
      <c r="T620" s="32"/>
      <c r="U620" s="32"/>
      <c r="V620" s="32"/>
      <c r="W620" s="32"/>
      <c r="X620" s="32"/>
      <c r="Y620" s="32"/>
      <c r="Z620" s="32"/>
    </row>
    <row r="621" spans="1:26" ht="17.25" customHeight="1">
      <c r="A621" s="3"/>
      <c r="B621" s="3"/>
      <c r="C621" s="3"/>
      <c r="D621" s="3"/>
      <c r="E621" s="3"/>
      <c r="F621" s="3"/>
      <c r="G621" s="3"/>
      <c r="H621" s="3"/>
      <c r="I621" s="3"/>
      <c r="J621" s="3"/>
      <c r="K621" s="3"/>
      <c r="L621" s="4"/>
      <c r="M621" s="32"/>
      <c r="N621" s="32"/>
      <c r="O621" s="32"/>
      <c r="P621" s="32"/>
      <c r="Q621" s="32"/>
      <c r="R621" s="32"/>
      <c r="S621" s="32"/>
      <c r="T621" s="32"/>
      <c r="U621" s="32"/>
      <c r="V621" s="32"/>
      <c r="W621" s="32"/>
      <c r="X621" s="32"/>
      <c r="Y621" s="32"/>
      <c r="Z621" s="32"/>
    </row>
    <row r="622" spans="1:26" ht="17.25" customHeight="1">
      <c r="A622" s="3"/>
      <c r="B622" s="3"/>
      <c r="C622" s="3"/>
      <c r="D622" s="3"/>
      <c r="E622" s="3"/>
      <c r="F622" s="3"/>
      <c r="G622" s="3"/>
      <c r="H622" s="3"/>
      <c r="I622" s="3"/>
      <c r="J622" s="3"/>
      <c r="K622" s="3"/>
      <c r="L622" s="4"/>
      <c r="M622" s="32"/>
      <c r="N622" s="32"/>
      <c r="O622" s="32"/>
      <c r="P622" s="32"/>
      <c r="Q622" s="32"/>
      <c r="R622" s="32"/>
      <c r="S622" s="32"/>
      <c r="T622" s="32"/>
      <c r="U622" s="32"/>
      <c r="V622" s="32"/>
      <c r="W622" s="32"/>
      <c r="X622" s="32"/>
      <c r="Y622" s="32"/>
      <c r="Z622" s="32"/>
    </row>
    <row r="623" spans="1:26" ht="17.25" customHeight="1">
      <c r="A623" s="3"/>
      <c r="B623" s="3"/>
      <c r="C623" s="3"/>
      <c r="D623" s="3"/>
      <c r="E623" s="3"/>
      <c r="F623" s="3"/>
      <c r="G623" s="3"/>
      <c r="H623" s="3"/>
      <c r="I623" s="3"/>
      <c r="J623" s="3"/>
      <c r="K623" s="3"/>
      <c r="L623" s="4"/>
      <c r="M623" s="32"/>
      <c r="N623" s="32"/>
      <c r="O623" s="32"/>
      <c r="P623" s="32"/>
      <c r="Q623" s="32"/>
      <c r="R623" s="32"/>
      <c r="S623" s="32"/>
      <c r="T623" s="32"/>
      <c r="U623" s="32"/>
      <c r="V623" s="32"/>
      <c r="W623" s="32"/>
      <c r="X623" s="32"/>
      <c r="Y623" s="32"/>
      <c r="Z623" s="32"/>
    </row>
    <row r="624" spans="1:26" ht="17.25" customHeight="1">
      <c r="A624" s="3"/>
      <c r="B624" s="3"/>
      <c r="C624" s="3"/>
      <c r="D624" s="3"/>
      <c r="E624" s="3"/>
      <c r="F624" s="3"/>
      <c r="G624" s="3"/>
      <c r="H624" s="3"/>
      <c r="I624" s="3"/>
      <c r="J624" s="3"/>
      <c r="K624" s="3"/>
      <c r="L624" s="4"/>
      <c r="M624" s="32"/>
      <c r="N624" s="32"/>
      <c r="O624" s="32"/>
      <c r="P624" s="32"/>
      <c r="Q624" s="32"/>
      <c r="R624" s="32"/>
      <c r="S624" s="32"/>
      <c r="T624" s="32"/>
      <c r="U624" s="32"/>
      <c r="V624" s="32"/>
      <c r="W624" s="32"/>
      <c r="X624" s="32"/>
      <c r="Y624" s="32"/>
      <c r="Z624" s="32"/>
    </row>
    <row r="625" spans="1:26" ht="17.25" customHeight="1">
      <c r="A625" s="3"/>
      <c r="B625" s="3"/>
      <c r="C625" s="3"/>
      <c r="D625" s="3"/>
      <c r="E625" s="3"/>
      <c r="F625" s="3"/>
      <c r="G625" s="3"/>
      <c r="H625" s="3"/>
      <c r="I625" s="3"/>
      <c r="J625" s="3"/>
      <c r="K625" s="3"/>
      <c r="L625" s="4"/>
      <c r="M625" s="32"/>
      <c r="N625" s="32"/>
      <c r="O625" s="32"/>
      <c r="P625" s="32"/>
      <c r="Q625" s="32"/>
      <c r="R625" s="32"/>
      <c r="S625" s="32"/>
      <c r="T625" s="32"/>
      <c r="U625" s="32"/>
      <c r="V625" s="32"/>
      <c r="W625" s="32"/>
      <c r="X625" s="32"/>
      <c r="Y625" s="32"/>
      <c r="Z625" s="32"/>
    </row>
    <row r="626" spans="1:26" ht="17.25" customHeight="1">
      <c r="A626" s="3"/>
      <c r="B626" s="3"/>
      <c r="C626" s="3"/>
      <c r="D626" s="3"/>
      <c r="E626" s="3"/>
      <c r="F626" s="3"/>
      <c r="G626" s="3"/>
      <c r="H626" s="3"/>
      <c r="I626" s="3"/>
      <c r="J626" s="3"/>
      <c r="K626" s="3"/>
      <c r="L626" s="4"/>
      <c r="M626" s="32"/>
      <c r="N626" s="32"/>
      <c r="O626" s="32"/>
      <c r="P626" s="32"/>
      <c r="Q626" s="32"/>
      <c r="R626" s="32"/>
      <c r="S626" s="32"/>
      <c r="T626" s="32"/>
      <c r="U626" s="32"/>
      <c r="V626" s="32"/>
      <c r="W626" s="32"/>
      <c r="X626" s="32"/>
      <c r="Y626" s="32"/>
      <c r="Z626" s="32"/>
    </row>
    <row r="627" spans="1:26" ht="17.25" customHeight="1">
      <c r="A627" s="3"/>
      <c r="B627" s="3"/>
      <c r="C627" s="3"/>
      <c r="D627" s="3"/>
      <c r="E627" s="3"/>
      <c r="F627" s="3"/>
      <c r="G627" s="3"/>
      <c r="H627" s="3"/>
      <c r="I627" s="3"/>
      <c r="J627" s="3"/>
      <c r="K627" s="3"/>
      <c r="L627" s="4"/>
      <c r="M627" s="32"/>
      <c r="N627" s="32"/>
      <c r="O627" s="32"/>
      <c r="P627" s="32"/>
      <c r="Q627" s="32"/>
      <c r="R627" s="32"/>
      <c r="S627" s="32"/>
      <c r="T627" s="32"/>
      <c r="U627" s="32"/>
      <c r="V627" s="32"/>
      <c r="W627" s="32"/>
      <c r="X627" s="32"/>
      <c r="Y627" s="32"/>
      <c r="Z627" s="32"/>
    </row>
    <row r="628" spans="1:26" ht="17.25" customHeight="1">
      <c r="A628" s="3"/>
      <c r="B628" s="3"/>
      <c r="C628" s="3"/>
      <c r="D628" s="3"/>
      <c r="E628" s="3"/>
      <c r="F628" s="3"/>
      <c r="G628" s="3"/>
      <c r="H628" s="3"/>
      <c r="I628" s="3"/>
      <c r="J628" s="3"/>
      <c r="K628" s="3"/>
      <c r="L628" s="4"/>
      <c r="M628" s="32"/>
      <c r="N628" s="32"/>
      <c r="O628" s="32"/>
      <c r="P628" s="32"/>
      <c r="Q628" s="32"/>
      <c r="R628" s="32"/>
      <c r="S628" s="32"/>
      <c r="T628" s="32"/>
      <c r="U628" s="32"/>
      <c r="V628" s="32"/>
      <c r="W628" s="32"/>
      <c r="X628" s="32"/>
      <c r="Y628" s="32"/>
      <c r="Z628" s="32"/>
    </row>
    <row r="629" spans="1:26" ht="17.25" customHeight="1">
      <c r="A629" s="3"/>
      <c r="B629" s="3"/>
      <c r="C629" s="3"/>
      <c r="D629" s="3"/>
      <c r="E629" s="3"/>
      <c r="F629" s="3"/>
      <c r="G629" s="3"/>
      <c r="H629" s="3"/>
      <c r="I629" s="3"/>
      <c r="J629" s="3"/>
      <c r="K629" s="3"/>
      <c r="L629" s="4"/>
      <c r="M629" s="32"/>
      <c r="N629" s="32"/>
      <c r="O629" s="32"/>
      <c r="P629" s="32"/>
      <c r="Q629" s="32"/>
      <c r="R629" s="32"/>
      <c r="S629" s="32"/>
      <c r="T629" s="32"/>
      <c r="U629" s="32"/>
      <c r="V629" s="32"/>
      <c r="W629" s="32"/>
      <c r="X629" s="32"/>
      <c r="Y629" s="32"/>
      <c r="Z629" s="32"/>
    </row>
    <row r="630" spans="1:26" ht="17.25" customHeight="1">
      <c r="A630" s="3"/>
      <c r="B630" s="3"/>
      <c r="C630" s="3"/>
      <c r="D630" s="3"/>
      <c r="E630" s="3"/>
      <c r="F630" s="3"/>
      <c r="G630" s="3"/>
      <c r="H630" s="3"/>
      <c r="I630" s="3"/>
      <c r="J630" s="3"/>
      <c r="K630" s="3"/>
      <c r="L630" s="4"/>
      <c r="M630" s="32"/>
      <c r="N630" s="32"/>
      <c r="O630" s="32"/>
      <c r="P630" s="32"/>
      <c r="Q630" s="32"/>
      <c r="R630" s="32"/>
      <c r="S630" s="32"/>
      <c r="T630" s="32"/>
      <c r="U630" s="32"/>
      <c r="V630" s="32"/>
      <c r="W630" s="32"/>
      <c r="X630" s="32"/>
      <c r="Y630" s="32"/>
      <c r="Z630" s="32"/>
    </row>
    <row r="631" spans="1:26" ht="17.25" customHeight="1">
      <c r="A631" s="3"/>
      <c r="B631" s="3"/>
      <c r="C631" s="3"/>
      <c r="D631" s="3"/>
      <c r="E631" s="3"/>
      <c r="F631" s="3"/>
      <c r="G631" s="3"/>
      <c r="H631" s="3"/>
      <c r="I631" s="3"/>
      <c r="J631" s="3"/>
      <c r="K631" s="3"/>
      <c r="L631" s="4"/>
      <c r="M631" s="32"/>
      <c r="N631" s="32"/>
      <c r="O631" s="32"/>
      <c r="P631" s="32"/>
      <c r="Q631" s="32"/>
      <c r="R631" s="32"/>
      <c r="S631" s="32"/>
      <c r="T631" s="32"/>
      <c r="U631" s="32"/>
      <c r="V631" s="32"/>
      <c r="W631" s="32"/>
      <c r="X631" s="32"/>
      <c r="Y631" s="32"/>
      <c r="Z631" s="32"/>
    </row>
    <row r="632" spans="1:26" ht="17.25" customHeight="1">
      <c r="A632" s="3"/>
      <c r="B632" s="3"/>
      <c r="C632" s="3"/>
      <c r="D632" s="3"/>
      <c r="E632" s="3"/>
      <c r="F632" s="3"/>
      <c r="G632" s="3"/>
      <c r="H632" s="3"/>
      <c r="I632" s="3"/>
      <c r="J632" s="3"/>
      <c r="K632" s="3"/>
      <c r="L632" s="4"/>
      <c r="M632" s="32"/>
      <c r="N632" s="32"/>
      <c r="O632" s="32"/>
      <c r="P632" s="32"/>
      <c r="Q632" s="32"/>
      <c r="R632" s="32"/>
      <c r="S632" s="32"/>
      <c r="T632" s="32"/>
      <c r="U632" s="32"/>
      <c r="V632" s="32"/>
      <c r="W632" s="32"/>
      <c r="X632" s="32"/>
      <c r="Y632" s="32"/>
      <c r="Z632" s="32"/>
    </row>
    <row r="633" spans="1:26" ht="17.25" customHeight="1">
      <c r="A633" s="3"/>
      <c r="B633" s="3"/>
      <c r="C633" s="3"/>
      <c r="D633" s="3"/>
      <c r="E633" s="3"/>
      <c r="F633" s="3"/>
      <c r="G633" s="3"/>
      <c r="H633" s="3"/>
      <c r="I633" s="3"/>
      <c r="J633" s="3"/>
      <c r="K633" s="3"/>
      <c r="L633" s="4"/>
      <c r="M633" s="32"/>
      <c r="N633" s="32"/>
      <c r="O633" s="32"/>
      <c r="P633" s="32"/>
      <c r="Q633" s="32"/>
      <c r="R633" s="32"/>
      <c r="S633" s="32"/>
      <c r="T633" s="32"/>
      <c r="U633" s="32"/>
      <c r="V633" s="32"/>
      <c r="W633" s="32"/>
      <c r="X633" s="32"/>
      <c r="Y633" s="32"/>
      <c r="Z633" s="32"/>
    </row>
    <row r="634" spans="1:26" ht="17.25" customHeight="1">
      <c r="A634" s="3"/>
      <c r="B634" s="3"/>
      <c r="C634" s="3"/>
      <c r="D634" s="3"/>
      <c r="E634" s="3"/>
      <c r="F634" s="3"/>
      <c r="G634" s="3"/>
      <c r="H634" s="3"/>
      <c r="I634" s="3"/>
      <c r="J634" s="3"/>
      <c r="K634" s="3"/>
      <c r="L634" s="4"/>
      <c r="M634" s="32"/>
      <c r="N634" s="32"/>
      <c r="O634" s="32"/>
      <c r="P634" s="32"/>
      <c r="Q634" s="32"/>
      <c r="R634" s="32"/>
      <c r="S634" s="32"/>
      <c r="T634" s="32"/>
      <c r="U634" s="32"/>
      <c r="V634" s="32"/>
      <c r="W634" s="32"/>
      <c r="X634" s="32"/>
      <c r="Y634" s="32"/>
      <c r="Z634" s="32"/>
    </row>
    <row r="635" spans="1:26" ht="17.25" customHeight="1">
      <c r="A635" s="3"/>
      <c r="B635" s="3"/>
      <c r="C635" s="3"/>
      <c r="D635" s="3"/>
      <c r="E635" s="3"/>
      <c r="F635" s="3"/>
      <c r="G635" s="3"/>
      <c r="H635" s="3"/>
      <c r="I635" s="3"/>
      <c r="J635" s="3"/>
      <c r="K635" s="3"/>
      <c r="L635" s="4"/>
      <c r="M635" s="32"/>
      <c r="N635" s="32"/>
      <c r="O635" s="32"/>
      <c r="P635" s="32"/>
      <c r="Q635" s="32"/>
      <c r="R635" s="32"/>
      <c r="S635" s="32"/>
      <c r="T635" s="32"/>
      <c r="U635" s="32"/>
      <c r="V635" s="32"/>
      <c r="W635" s="32"/>
      <c r="X635" s="32"/>
      <c r="Y635" s="32"/>
      <c r="Z635" s="32"/>
    </row>
    <row r="636" spans="1:26" ht="17.25" customHeight="1">
      <c r="A636" s="3"/>
      <c r="B636" s="3"/>
      <c r="C636" s="3"/>
      <c r="D636" s="3"/>
      <c r="E636" s="3"/>
      <c r="F636" s="3"/>
      <c r="G636" s="3"/>
      <c r="H636" s="3"/>
      <c r="I636" s="3"/>
      <c r="J636" s="3"/>
      <c r="K636" s="3"/>
      <c r="L636" s="4"/>
      <c r="M636" s="32"/>
      <c r="N636" s="32"/>
      <c r="O636" s="32"/>
      <c r="P636" s="32"/>
      <c r="Q636" s="32"/>
      <c r="R636" s="32"/>
      <c r="S636" s="32"/>
      <c r="T636" s="32"/>
      <c r="U636" s="32"/>
      <c r="V636" s="32"/>
      <c r="W636" s="32"/>
      <c r="X636" s="32"/>
      <c r="Y636" s="32"/>
      <c r="Z636" s="32"/>
    </row>
    <row r="637" spans="1:26" ht="17.25" customHeight="1">
      <c r="A637" s="3"/>
      <c r="B637" s="3"/>
      <c r="C637" s="3"/>
      <c r="D637" s="3"/>
      <c r="E637" s="3"/>
      <c r="F637" s="3"/>
      <c r="G637" s="3"/>
      <c r="H637" s="3"/>
      <c r="I637" s="3"/>
      <c r="J637" s="3"/>
      <c r="K637" s="3"/>
      <c r="L637" s="4"/>
      <c r="M637" s="32"/>
      <c r="N637" s="32"/>
      <c r="O637" s="32"/>
      <c r="P637" s="32"/>
      <c r="Q637" s="32"/>
      <c r="R637" s="32"/>
      <c r="S637" s="32"/>
      <c r="T637" s="32"/>
      <c r="U637" s="32"/>
      <c r="V637" s="32"/>
      <c r="W637" s="32"/>
      <c r="X637" s="32"/>
      <c r="Y637" s="32"/>
      <c r="Z637" s="32"/>
    </row>
    <row r="638" spans="1:26" ht="17.25" customHeight="1">
      <c r="A638" s="3"/>
      <c r="B638" s="3"/>
      <c r="C638" s="3"/>
      <c r="D638" s="3"/>
      <c r="E638" s="3"/>
      <c r="F638" s="3"/>
      <c r="G638" s="3"/>
      <c r="H638" s="3"/>
      <c r="I638" s="3"/>
      <c r="J638" s="3"/>
      <c r="K638" s="3"/>
      <c r="L638" s="4"/>
      <c r="M638" s="32"/>
      <c r="N638" s="32"/>
      <c r="O638" s="32"/>
      <c r="P638" s="32"/>
      <c r="Q638" s="32"/>
      <c r="R638" s="32"/>
      <c r="S638" s="32"/>
      <c r="T638" s="32"/>
      <c r="U638" s="32"/>
      <c r="V638" s="32"/>
      <c r="W638" s="32"/>
      <c r="X638" s="32"/>
      <c r="Y638" s="32"/>
      <c r="Z638" s="32"/>
    </row>
    <row r="639" spans="1:26" ht="17.25" customHeight="1">
      <c r="A639" s="3"/>
      <c r="B639" s="3"/>
      <c r="C639" s="3"/>
      <c r="D639" s="3"/>
      <c r="E639" s="3"/>
      <c r="F639" s="3"/>
      <c r="G639" s="3"/>
      <c r="H639" s="3"/>
      <c r="I639" s="3"/>
      <c r="J639" s="3"/>
      <c r="K639" s="3"/>
      <c r="L639" s="4"/>
      <c r="M639" s="32"/>
      <c r="N639" s="32"/>
      <c r="O639" s="32"/>
      <c r="P639" s="32"/>
      <c r="Q639" s="32"/>
      <c r="R639" s="32"/>
      <c r="S639" s="32"/>
      <c r="T639" s="32"/>
      <c r="U639" s="32"/>
      <c r="V639" s="32"/>
      <c r="W639" s="32"/>
      <c r="X639" s="32"/>
      <c r="Y639" s="32"/>
      <c r="Z639" s="32"/>
    </row>
    <row r="640" spans="1:26" ht="17.25" customHeight="1">
      <c r="A640" s="3"/>
      <c r="B640" s="3"/>
      <c r="C640" s="3"/>
      <c r="D640" s="3"/>
      <c r="E640" s="3"/>
      <c r="F640" s="3"/>
      <c r="G640" s="3"/>
      <c r="H640" s="3"/>
      <c r="I640" s="3"/>
      <c r="J640" s="3"/>
      <c r="K640" s="3"/>
      <c r="L640" s="4"/>
      <c r="M640" s="32"/>
      <c r="N640" s="32"/>
      <c r="O640" s="32"/>
      <c r="P640" s="32"/>
      <c r="Q640" s="32"/>
      <c r="R640" s="32"/>
      <c r="S640" s="32"/>
      <c r="T640" s="32"/>
      <c r="U640" s="32"/>
      <c r="V640" s="32"/>
      <c r="W640" s="32"/>
      <c r="X640" s="32"/>
      <c r="Y640" s="32"/>
      <c r="Z640" s="32"/>
    </row>
    <row r="641" spans="1:26" ht="17.25" customHeight="1">
      <c r="A641" s="3"/>
      <c r="B641" s="3"/>
      <c r="C641" s="3"/>
      <c r="D641" s="3"/>
      <c r="E641" s="3"/>
      <c r="F641" s="3"/>
      <c r="G641" s="3"/>
      <c r="H641" s="3"/>
      <c r="I641" s="3"/>
      <c r="J641" s="3"/>
      <c r="K641" s="3"/>
      <c r="L641" s="4"/>
      <c r="M641" s="32"/>
      <c r="N641" s="32"/>
      <c r="O641" s="32"/>
      <c r="P641" s="32"/>
      <c r="Q641" s="32"/>
      <c r="R641" s="32"/>
      <c r="S641" s="32"/>
      <c r="T641" s="32"/>
      <c r="U641" s="32"/>
      <c r="V641" s="32"/>
      <c r="W641" s="32"/>
      <c r="X641" s="32"/>
      <c r="Y641" s="32"/>
      <c r="Z641" s="32"/>
    </row>
    <row r="642" spans="1:26" ht="17.25" customHeight="1">
      <c r="A642" s="3"/>
      <c r="B642" s="3"/>
      <c r="C642" s="3"/>
      <c r="D642" s="3"/>
      <c r="E642" s="3"/>
      <c r="F642" s="3"/>
      <c r="G642" s="3"/>
      <c r="H642" s="3"/>
      <c r="I642" s="3"/>
      <c r="J642" s="3"/>
      <c r="K642" s="3"/>
      <c r="L642" s="4"/>
      <c r="M642" s="32"/>
      <c r="N642" s="32"/>
      <c r="O642" s="32"/>
      <c r="P642" s="32"/>
      <c r="Q642" s="32"/>
      <c r="R642" s="32"/>
      <c r="S642" s="32"/>
      <c r="T642" s="32"/>
      <c r="U642" s="32"/>
      <c r="V642" s="32"/>
      <c r="W642" s="32"/>
      <c r="X642" s="32"/>
      <c r="Y642" s="32"/>
      <c r="Z642" s="32"/>
    </row>
    <row r="643" spans="1:26" ht="17.25" customHeight="1">
      <c r="A643" s="3"/>
      <c r="B643" s="3"/>
      <c r="C643" s="3"/>
      <c r="D643" s="3"/>
      <c r="E643" s="3"/>
      <c r="F643" s="3"/>
      <c r="G643" s="3"/>
      <c r="H643" s="3"/>
      <c r="I643" s="3"/>
      <c r="J643" s="3"/>
      <c r="K643" s="3"/>
      <c r="L643" s="4"/>
      <c r="M643" s="32"/>
      <c r="N643" s="32"/>
      <c r="O643" s="32"/>
      <c r="P643" s="32"/>
      <c r="Q643" s="32"/>
      <c r="R643" s="32"/>
      <c r="S643" s="32"/>
      <c r="T643" s="32"/>
      <c r="U643" s="32"/>
      <c r="V643" s="32"/>
      <c r="W643" s="32"/>
      <c r="X643" s="32"/>
      <c r="Y643" s="32"/>
      <c r="Z643" s="32"/>
    </row>
    <row r="644" spans="1:26" ht="17.25" customHeight="1">
      <c r="A644" s="3"/>
      <c r="B644" s="3"/>
      <c r="C644" s="3"/>
      <c r="D644" s="3"/>
      <c r="E644" s="3"/>
      <c r="F644" s="3"/>
      <c r="G644" s="3"/>
      <c r="H644" s="3"/>
      <c r="I644" s="3"/>
      <c r="J644" s="3"/>
      <c r="K644" s="3"/>
      <c r="L644" s="4"/>
      <c r="M644" s="32"/>
      <c r="N644" s="32"/>
      <c r="O644" s="32"/>
      <c r="P644" s="32"/>
      <c r="Q644" s="32"/>
      <c r="R644" s="32"/>
      <c r="S644" s="32"/>
      <c r="T644" s="32"/>
      <c r="U644" s="32"/>
      <c r="V644" s="32"/>
      <c r="W644" s="32"/>
      <c r="X644" s="32"/>
      <c r="Y644" s="32"/>
      <c r="Z644" s="32"/>
    </row>
    <row r="645" spans="1:26" ht="17.25" customHeight="1">
      <c r="A645" s="3"/>
      <c r="B645" s="3"/>
      <c r="C645" s="3"/>
      <c r="D645" s="3"/>
      <c r="E645" s="3"/>
      <c r="F645" s="3"/>
      <c r="G645" s="3"/>
      <c r="H645" s="3"/>
      <c r="I645" s="3"/>
      <c r="J645" s="3"/>
      <c r="K645" s="3"/>
      <c r="L645" s="4"/>
      <c r="M645" s="32"/>
      <c r="N645" s="32"/>
      <c r="O645" s="32"/>
      <c r="P645" s="32"/>
      <c r="Q645" s="32"/>
      <c r="R645" s="32"/>
      <c r="S645" s="32"/>
      <c r="T645" s="32"/>
      <c r="U645" s="32"/>
      <c r="V645" s="32"/>
      <c r="W645" s="32"/>
      <c r="X645" s="32"/>
      <c r="Y645" s="32"/>
      <c r="Z645" s="32"/>
    </row>
    <row r="646" spans="1:26" ht="17.25" customHeight="1">
      <c r="A646" s="3"/>
      <c r="B646" s="3"/>
      <c r="C646" s="3"/>
      <c r="D646" s="3"/>
      <c r="E646" s="3"/>
      <c r="F646" s="3"/>
      <c r="G646" s="3"/>
      <c r="H646" s="3"/>
      <c r="I646" s="3"/>
      <c r="J646" s="3"/>
      <c r="K646" s="3"/>
      <c r="L646" s="4"/>
      <c r="M646" s="32"/>
      <c r="N646" s="32"/>
      <c r="O646" s="32"/>
      <c r="P646" s="32"/>
      <c r="Q646" s="32"/>
      <c r="R646" s="32"/>
      <c r="S646" s="32"/>
      <c r="T646" s="32"/>
      <c r="U646" s="32"/>
      <c r="V646" s="32"/>
      <c r="W646" s="32"/>
      <c r="X646" s="32"/>
      <c r="Y646" s="32"/>
      <c r="Z646" s="32"/>
    </row>
    <row r="647" spans="1:26" ht="17.25" customHeight="1">
      <c r="A647" s="3"/>
      <c r="B647" s="3"/>
      <c r="C647" s="3"/>
      <c r="D647" s="3"/>
      <c r="E647" s="3"/>
      <c r="F647" s="3"/>
      <c r="G647" s="3"/>
      <c r="H647" s="3"/>
      <c r="I647" s="3"/>
      <c r="J647" s="3"/>
      <c r="K647" s="3"/>
      <c r="L647" s="4"/>
      <c r="M647" s="32"/>
      <c r="N647" s="32"/>
      <c r="O647" s="32"/>
      <c r="P647" s="32"/>
      <c r="Q647" s="32"/>
      <c r="R647" s="32"/>
      <c r="S647" s="32"/>
      <c r="T647" s="32"/>
      <c r="U647" s="32"/>
      <c r="V647" s="32"/>
      <c r="W647" s="32"/>
      <c r="X647" s="32"/>
      <c r="Y647" s="32"/>
      <c r="Z647" s="32"/>
    </row>
    <row r="648" spans="1:26" ht="17.25" customHeight="1">
      <c r="A648" s="3"/>
      <c r="B648" s="3"/>
      <c r="C648" s="3"/>
      <c r="D648" s="3"/>
      <c r="E648" s="3"/>
      <c r="F648" s="3"/>
      <c r="G648" s="3"/>
      <c r="H648" s="3"/>
      <c r="I648" s="3"/>
      <c r="J648" s="3"/>
      <c r="K648" s="3"/>
      <c r="L648" s="4"/>
      <c r="M648" s="32"/>
      <c r="N648" s="32"/>
      <c r="O648" s="32"/>
      <c r="P648" s="32"/>
      <c r="Q648" s="32"/>
      <c r="R648" s="32"/>
      <c r="S648" s="32"/>
      <c r="T648" s="32"/>
      <c r="U648" s="32"/>
      <c r="V648" s="32"/>
      <c r="W648" s="32"/>
      <c r="X648" s="32"/>
      <c r="Y648" s="32"/>
      <c r="Z648" s="32"/>
    </row>
    <row r="649" spans="1:26" ht="17.25" customHeight="1">
      <c r="A649" s="3"/>
      <c r="B649" s="3"/>
      <c r="C649" s="3"/>
      <c r="D649" s="3"/>
      <c r="E649" s="3"/>
      <c r="F649" s="3"/>
      <c r="G649" s="3"/>
      <c r="H649" s="3"/>
      <c r="I649" s="3"/>
      <c r="J649" s="3"/>
      <c r="K649" s="3"/>
      <c r="L649" s="4"/>
      <c r="M649" s="32"/>
      <c r="N649" s="32"/>
      <c r="O649" s="32"/>
      <c r="P649" s="32"/>
      <c r="Q649" s="32"/>
      <c r="R649" s="32"/>
      <c r="S649" s="32"/>
      <c r="T649" s="32"/>
      <c r="U649" s="32"/>
      <c r="V649" s="32"/>
      <c r="W649" s="32"/>
      <c r="X649" s="32"/>
      <c r="Y649" s="32"/>
      <c r="Z649" s="32"/>
    </row>
    <row r="650" spans="1:26" ht="17.25" customHeight="1">
      <c r="A650" s="3"/>
      <c r="B650" s="3"/>
      <c r="C650" s="3"/>
      <c r="D650" s="3"/>
      <c r="E650" s="3"/>
      <c r="F650" s="3"/>
      <c r="G650" s="3"/>
      <c r="H650" s="3"/>
      <c r="I650" s="3"/>
      <c r="J650" s="3"/>
      <c r="K650" s="3"/>
      <c r="L650" s="4"/>
      <c r="M650" s="32"/>
      <c r="N650" s="32"/>
      <c r="O650" s="32"/>
      <c r="P650" s="32"/>
      <c r="Q650" s="32"/>
      <c r="R650" s="32"/>
      <c r="S650" s="32"/>
      <c r="T650" s="32"/>
      <c r="U650" s="32"/>
      <c r="V650" s="32"/>
      <c r="W650" s="32"/>
      <c r="X650" s="32"/>
      <c r="Y650" s="32"/>
      <c r="Z650" s="32"/>
    </row>
    <row r="651" spans="1:26" ht="17.25" customHeight="1">
      <c r="A651" s="3"/>
      <c r="B651" s="3"/>
      <c r="C651" s="3"/>
      <c r="D651" s="3"/>
      <c r="E651" s="3"/>
      <c r="F651" s="3"/>
      <c r="G651" s="3"/>
      <c r="H651" s="3"/>
      <c r="I651" s="3"/>
      <c r="J651" s="3"/>
      <c r="K651" s="3"/>
      <c r="L651" s="4"/>
      <c r="M651" s="32"/>
      <c r="N651" s="32"/>
      <c r="O651" s="32"/>
      <c r="P651" s="32"/>
      <c r="Q651" s="32"/>
      <c r="R651" s="32"/>
      <c r="S651" s="32"/>
      <c r="T651" s="32"/>
      <c r="U651" s="32"/>
      <c r="V651" s="32"/>
      <c r="W651" s="32"/>
      <c r="X651" s="32"/>
      <c r="Y651" s="32"/>
      <c r="Z651" s="32"/>
    </row>
    <row r="652" spans="1:26" ht="17.25" customHeight="1">
      <c r="A652" s="3"/>
      <c r="B652" s="3"/>
      <c r="C652" s="3"/>
      <c r="D652" s="3"/>
      <c r="E652" s="3"/>
      <c r="F652" s="3"/>
      <c r="G652" s="3"/>
      <c r="H652" s="3"/>
      <c r="I652" s="3"/>
      <c r="J652" s="3"/>
      <c r="K652" s="3"/>
      <c r="L652" s="4"/>
      <c r="M652" s="32"/>
      <c r="N652" s="32"/>
      <c r="O652" s="32"/>
      <c r="P652" s="32"/>
      <c r="Q652" s="32"/>
      <c r="R652" s="32"/>
      <c r="S652" s="32"/>
      <c r="T652" s="32"/>
      <c r="U652" s="32"/>
      <c r="V652" s="32"/>
      <c r="W652" s="32"/>
      <c r="X652" s="32"/>
      <c r="Y652" s="32"/>
      <c r="Z652" s="32"/>
    </row>
    <row r="653" spans="1:26" ht="17.25" customHeight="1">
      <c r="A653" s="3"/>
      <c r="B653" s="3"/>
      <c r="C653" s="3"/>
      <c r="D653" s="3"/>
      <c r="E653" s="3"/>
      <c r="F653" s="3"/>
      <c r="G653" s="3"/>
      <c r="H653" s="3"/>
      <c r="I653" s="3"/>
      <c r="J653" s="3"/>
      <c r="K653" s="3"/>
      <c r="L653" s="4"/>
      <c r="M653" s="32"/>
      <c r="N653" s="32"/>
      <c r="O653" s="32"/>
      <c r="P653" s="32"/>
      <c r="Q653" s="32"/>
      <c r="R653" s="32"/>
      <c r="S653" s="32"/>
      <c r="T653" s="32"/>
      <c r="U653" s="32"/>
      <c r="V653" s="32"/>
      <c r="W653" s="32"/>
      <c r="X653" s="32"/>
      <c r="Y653" s="32"/>
      <c r="Z653" s="32"/>
    </row>
    <row r="654" spans="1:26" ht="17.25" customHeight="1">
      <c r="A654" s="3"/>
      <c r="B654" s="3"/>
      <c r="C654" s="3"/>
      <c r="D654" s="3"/>
      <c r="E654" s="3"/>
      <c r="F654" s="3"/>
      <c r="G654" s="3"/>
      <c r="H654" s="3"/>
      <c r="I654" s="3"/>
      <c r="J654" s="3"/>
      <c r="K654" s="3"/>
      <c r="L654" s="4"/>
      <c r="M654" s="32"/>
      <c r="N654" s="32"/>
      <c r="O654" s="32"/>
      <c r="P654" s="32"/>
      <c r="Q654" s="32"/>
      <c r="R654" s="32"/>
      <c r="S654" s="32"/>
      <c r="T654" s="32"/>
      <c r="U654" s="32"/>
      <c r="V654" s="32"/>
      <c r="W654" s="32"/>
      <c r="X654" s="32"/>
      <c r="Y654" s="32"/>
      <c r="Z654" s="32"/>
    </row>
    <row r="655" spans="1:26" ht="17.25" customHeight="1">
      <c r="A655" s="3"/>
      <c r="B655" s="3"/>
      <c r="C655" s="3"/>
      <c r="D655" s="3"/>
      <c r="E655" s="3"/>
      <c r="F655" s="3"/>
      <c r="G655" s="3"/>
      <c r="H655" s="3"/>
      <c r="I655" s="3"/>
      <c r="J655" s="3"/>
      <c r="K655" s="3"/>
      <c r="L655" s="4"/>
      <c r="M655" s="32"/>
      <c r="N655" s="32"/>
      <c r="O655" s="32"/>
      <c r="P655" s="32"/>
      <c r="Q655" s="32"/>
      <c r="R655" s="32"/>
      <c r="S655" s="32"/>
      <c r="T655" s="32"/>
      <c r="U655" s="32"/>
      <c r="V655" s="32"/>
      <c r="W655" s="32"/>
      <c r="X655" s="32"/>
      <c r="Y655" s="32"/>
      <c r="Z655" s="32"/>
    </row>
    <row r="656" spans="1:26" ht="17.25" customHeight="1">
      <c r="A656" s="3"/>
      <c r="B656" s="3"/>
      <c r="C656" s="3"/>
      <c r="D656" s="3"/>
      <c r="E656" s="3"/>
      <c r="F656" s="3"/>
      <c r="G656" s="3"/>
      <c r="H656" s="3"/>
      <c r="I656" s="3"/>
      <c r="J656" s="3"/>
      <c r="K656" s="3"/>
      <c r="L656" s="4"/>
      <c r="M656" s="32"/>
      <c r="N656" s="32"/>
      <c r="O656" s="32"/>
      <c r="P656" s="32"/>
      <c r="Q656" s="32"/>
      <c r="R656" s="32"/>
      <c r="S656" s="32"/>
      <c r="T656" s="32"/>
      <c r="U656" s="32"/>
      <c r="V656" s="32"/>
      <c r="W656" s="32"/>
      <c r="X656" s="32"/>
      <c r="Y656" s="32"/>
      <c r="Z656" s="32"/>
    </row>
    <row r="657" spans="1:26" ht="17.25" customHeight="1">
      <c r="A657" s="3"/>
      <c r="B657" s="3"/>
      <c r="C657" s="3"/>
      <c r="D657" s="3"/>
      <c r="E657" s="3"/>
      <c r="F657" s="3"/>
      <c r="G657" s="3"/>
      <c r="H657" s="3"/>
      <c r="I657" s="3"/>
      <c r="J657" s="3"/>
      <c r="K657" s="3"/>
      <c r="L657" s="4"/>
      <c r="M657" s="32"/>
      <c r="N657" s="32"/>
      <c r="O657" s="32"/>
      <c r="P657" s="32"/>
      <c r="Q657" s="32"/>
      <c r="R657" s="32"/>
      <c r="S657" s="32"/>
      <c r="T657" s="32"/>
      <c r="U657" s="32"/>
      <c r="V657" s="32"/>
      <c r="W657" s="32"/>
      <c r="X657" s="32"/>
      <c r="Y657" s="32"/>
      <c r="Z657" s="32"/>
    </row>
    <row r="658" spans="1:26" ht="17.25" customHeight="1">
      <c r="A658" s="3"/>
      <c r="B658" s="3"/>
      <c r="C658" s="3"/>
      <c r="D658" s="3"/>
      <c r="E658" s="3"/>
      <c r="F658" s="3"/>
      <c r="G658" s="3"/>
      <c r="H658" s="3"/>
      <c r="I658" s="3"/>
      <c r="J658" s="3"/>
      <c r="K658" s="3"/>
      <c r="L658" s="4"/>
      <c r="M658" s="32"/>
      <c r="N658" s="32"/>
      <c r="O658" s="32"/>
      <c r="P658" s="32"/>
      <c r="Q658" s="32"/>
      <c r="R658" s="32"/>
      <c r="S658" s="32"/>
      <c r="T658" s="32"/>
      <c r="U658" s="32"/>
      <c r="V658" s="32"/>
      <c r="W658" s="32"/>
      <c r="X658" s="32"/>
      <c r="Y658" s="32"/>
      <c r="Z658" s="32"/>
    </row>
    <row r="659" spans="1:26" ht="17.25" customHeight="1">
      <c r="A659" s="3"/>
      <c r="B659" s="3"/>
      <c r="C659" s="3"/>
      <c r="D659" s="3"/>
      <c r="E659" s="3"/>
      <c r="F659" s="3"/>
      <c r="G659" s="3"/>
      <c r="H659" s="3"/>
      <c r="I659" s="3"/>
      <c r="J659" s="3"/>
      <c r="K659" s="3"/>
      <c r="L659" s="4"/>
      <c r="M659" s="32"/>
      <c r="N659" s="32"/>
      <c r="O659" s="32"/>
      <c r="P659" s="32"/>
      <c r="Q659" s="32"/>
      <c r="R659" s="32"/>
      <c r="S659" s="32"/>
      <c r="T659" s="32"/>
      <c r="U659" s="32"/>
      <c r="V659" s="32"/>
      <c r="W659" s="32"/>
      <c r="X659" s="32"/>
      <c r="Y659" s="32"/>
      <c r="Z659" s="32"/>
    </row>
    <row r="660" spans="1:26" ht="17.25" customHeight="1">
      <c r="A660" s="3"/>
      <c r="B660" s="3"/>
      <c r="C660" s="3"/>
      <c r="D660" s="3"/>
      <c r="E660" s="3"/>
      <c r="F660" s="3"/>
      <c r="G660" s="3"/>
      <c r="H660" s="3"/>
      <c r="I660" s="3"/>
      <c r="J660" s="3"/>
      <c r="K660" s="3"/>
      <c r="L660" s="4"/>
      <c r="M660" s="32"/>
      <c r="N660" s="32"/>
      <c r="O660" s="32"/>
      <c r="P660" s="32"/>
      <c r="Q660" s="32"/>
      <c r="R660" s="32"/>
      <c r="S660" s="32"/>
      <c r="T660" s="32"/>
      <c r="U660" s="32"/>
      <c r="V660" s="32"/>
      <c r="W660" s="32"/>
      <c r="X660" s="32"/>
      <c r="Y660" s="32"/>
      <c r="Z660" s="32"/>
    </row>
    <row r="661" spans="1:26" ht="17.25" customHeight="1">
      <c r="A661" s="3"/>
      <c r="B661" s="3"/>
      <c r="C661" s="3"/>
      <c r="D661" s="3"/>
      <c r="E661" s="3"/>
      <c r="F661" s="3"/>
      <c r="G661" s="3"/>
      <c r="H661" s="3"/>
      <c r="I661" s="3"/>
      <c r="J661" s="3"/>
      <c r="K661" s="3"/>
      <c r="L661" s="4"/>
      <c r="M661" s="32"/>
      <c r="N661" s="32"/>
      <c r="O661" s="32"/>
      <c r="P661" s="32"/>
      <c r="Q661" s="32"/>
      <c r="R661" s="32"/>
      <c r="S661" s="32"/>
      <c r="T661" s="32"/>
      <c r="U661" s="32"/>
      <c r="V661" s="32"/>
      <c r="W661" s="32"/>
      <c r="X661" s="32"/>
      <c r="Y661" s="32"/>
      <c r="Z661" s="32"/>
    </row>
    <row r="662" spans="1:26" ht="17.25" customHeight="1">
      <c r="A662" s="3"/>
      <c r="B662" s="3"/>
      <c r="C662" s="3"/>
      <c r="D662" s="3"/>
      <c r="E662" s="3"/>
      <c r="F662" s="3"/>
      <c r="G662" s="3"/>
      <c r="H662" s="3"/>
      <c r="I662" s="3"/>
      <c r="J662" s="3"/>
      <c r="K662" s="3"/>
      <c r="L662" s="4"/>
      <c r="M662" s="32"/>
      <c r="N662" s="32"/>
      <c r="O662" s="32"/>
      <c r="P662" s="32"/>
      <c r="Q662" s="32"/>
      <c r="R662" s="32"/>
      <c r="S662" s="32"/>
      <c r="T662" s="32"/>
      <c r="U662" s="32"/>
      <c r="V662" s="32"/>
      <c r="W662" s="32"/>
      <c r="X662" s="32"/>
      <c r="Y662" s="32"/>
      <c r="Z662" s="32"/>
    </row>
    <row r="663" spans="1:26" ht="17.25" customHeight="1">
      <c r="A663" s="3"/>
      <c r="B663" s="3"/>
      <c r="C663" s="3"/>
      <c r="D663" s="3"/>
      <c r="E663" s="3"/>
      <c r="F663" s="3"/>
      <c r="G663" s="3"/>
      <c r="H663" s="3"/>
      <c r="I663" s="3"/>
      <c r="J663" s="3"/>
      <c r="K663" s="3"/>
      <c r="L663" s="4"/>
      <c r="M663" s="32"/>
      <c r="N663" s="32"/>
      <c r="O663" s="32"/>
      <c r="P663" s="32"/>
      <c r="Q663" s="32"/>
      <c r="R663" s="32"/>
      <c r="S663" s="32"/>
      <c r="T663" s="32"/>
      <c r="U663" s="32"/>
      <c r="V663" s="32"/>
      <c r="W663" s="32"/>
      <c r="X663" s="32"/>
      <c r="Y663" s="32"/>
      <c r="Z663" s="32"/>
    </row>
    <row r="664" spans="1:26" ht="17.25" customHeight="1">
      <c r="A664" s="3"/>
      <c r="B664" s="3"/>
      <c r="C664" s="3"/>
      <c r="D664" s="3"/>
      <c r="E664" s="3"/>
      <c r="F664" s="3"/>
      <c r="G664" s="3"/>
      <c r="H664" s="3"/>
      <c r="I664" s="3"/>
      <c r="J664" s="3"/>
      <c r="K664" s="3"/>
      <c r="L664" s="4"/>
      <c r="M664" s="32"/>
      <c r="N664" s="32"/>
      <c r="O664" s="32"/>
      <c r="P664" s="32"/>
      <c r="Q664" s="32"/>
      <c r="R664" s="32"/>
      <c r="S664" s="32"/>
      <c r="T664" s="32"/>
      <c r="U664" s="32"/>
      <c r="V664" s="32"/>
      <c r="W664" s="32"/>
      <c r="X664" s="32"/>
      <c r="Y664" s="32"/>
      <c r="Z664" s="32"/>
    </row>
    <row r="665" spans="1:26" ht="17.25" customHeight="1">
      <c r="A665" s="3"/>
      <c r="B665" s="3"/>
      <c r="C665" s="3"/>
      <c r="D665" s="3"/>
      <c r="E665" s="3"/>
      <c r="F665" s="3"/>
      <c r="G665" s="3"/>
      <c r="H665" s="3"/>
      <c r="I665" s="3"/>
      <c r="J665" s="3"/>
      <c r="K665" s="3"/>
      <c r="L665" s="4"/>
      <c r="M665" s="32"/>
      <c r="N665" s="32"/>
      <c r="O665" s="32"/>
      <c r="P665" s="32"/>
      <c r="Q665" s="32"/>
      <c r="R665" s="32"/>
      <c r="S665" s="32"/>
      <c r="T665" s="32"/>
      <c r="U665" s="32"/>
      <c r="V665" s="32"/>
      <c r="W665" s="32"/>
      <c r="X665" s="32"/>
      <c r="Y665" s="32"/>
      <c r="Z665" s="32"/>
    </row>
    <row r="666" spans="1:26" ht="17.25" customHeight="1">
      <c r="A666" s="3"/>
      <c r="B666" s="3"/>
      <c r="C666" s="3"/>
      <c r="D666" s="3"/>
      <c r="E666" s="3"/>
      <c r="F666" s="3"/>
      <c r="G666" s="3"/>
      <c r="H666" s="3"/>
      <c r="I666" s="3"/>
      <c r="J666" s="3"/>
      <c r="K666" s="3"/>
      <c r="L666" s="4"/>
      <c r="M666" s="32"/>
      <c r="N666" s="32"/>
      <c r="O666" s="32"/>
      <c r="P666" s="32"/>
      <c r="Q666" s="32"/>
      <c r="R666" s="32"/>
      <c r="S666" s="32"/>
      <c r="T666" s="32"/>
      <c r="U666" s="32"/>
      <c r="V666" s="32"/>
      <c r="W666" s="32"/>
      <c r="X666" s="32"/>
      <c r="Y666" s="32"/>
      <c r="Z666" s="32"/>
    </row>
    <row r="667" spans="1:26" ht="17.25" customHeight="1">
      <c r="A667" s="3"/>
      <c r="B667" s="3"/>
      <c r="C667" s="3"/>
      <c r="D667" s="3"/>
      <c r="E667" s="3"/>
      <c r="F667" s="3"/>
      <c r="G667" s="3"/>
      <c r="H667" s="3"/>
      <c r="I667" s="3"/>
      <c r="J667" s="3"/>
      <c r="K667" s="3"/>
      <c r="L667" s="4"/>
      <c r="M667" s="32"/>
      <c r="N667" s="32"/>
      <c r="O667" s="32"/>
      <c r="P667" s="32"/>
      <c r="Q667" s="32"/>
      <c r="R667" s="32"/>
      <c r="S667" s="32"/>
      <c r="T667" s="32"/>
      <c r="U667" s="32"/>
      <c r="V667" s="32"/>
      <c r="W667" s="32"/>
      <c r="X667" s="32"/>
      <c r="Y667" s="32"/>
      <c r="Z667" s="32"/>
    </row>
    <row r="668" spans="1:26" ht="17.25" customHeight="1">
      <c r="A668" s="3"/>
      <c r="B668" s="3"/>
      <c r="C668" s="3"/>
      <c r="D668" s="3"/>
      <c r="E668" s="3"/>
      <c r="F668" s="3"/>
      <c r="G668" s="3"/>
      <c r="H668" s="3"/>
      <c r="I668" s="3"/>
      <c r="J668" s="3"/>
      <c r="K668" s="3"/>
      <c r="L668" s="4"/>
      <c r="M668" s="32"/>
      <c r="N668" s="32"/>
      <c r="O668" s="32"/>
      <c r="P668" s="32"/>
      <c r="Q668" s="32"/>
      <c r="R668" s="32"/>
      <c r="S668" s="32"/>
      <c r="T668" s="32"/>
      <c r="U668" s="32"/>
      <c r="V668" s="32"/>
      <c r="W668" s="32"/>
      <c r="X668" s="32"/>
      <c r="Y668" s="32"/>
      <c r="Z668" s="32"/>
    </row>
    <row r="669" spans="1:26" ht="17.25" customHeight="1">
      <c r="A669" s="3"/>
      <c r="B669" s="3"/>
      <c r="C669" s="3"/>
      <c r="D669" s="3"/>
      <c r="E669" s="3"/>
      <c r="F669" s="3"/>
      <c r="G669" s="3"/>
      <c r="H669" s="3"/>
      <c r="I669" s="3"/>
      <c r="J669" s="3"/>
      <c r="K669" s="3"/>
      <c r="L669" s="4"/>
      <c r="M669" s="32"/>
      <c r="N669" s="32"/>
      <c r="O669" s="32"/>
      <c r="P669" s="32"/>
      <c r="Q669" s="32"/>
      <c r="R669" s="32"/>
      <c r="S669" s="32"/>
      <c r="T669" s="32"/>
      <c r="U669" s="32"/>
      <c r="V669" s="32"/>
      <c r="W669" s="32"/>
      <c r="X669" s="32"/>
      <c r="Y669" s="32"/>
      <c r="Z669" s="32"/>
    </row>
    <row r="670" spans="1:26" ht="17.25" customHeight="1">
      <c r="A670" s="3"/>
      <c r="B670" s="3"/>
      <c r="C670" s="3"/>
      <c r="D670" s="3"/>
      <c r="E670" s="3"/>
      <c r="F670" s="3"/>
      <c r="G670" s="3"/>
      <c r="H670" s="3"/>
      <c r="I670" s="3"/>
      <c r="J670" s="3"/>
      <c r="K670" s="3"/>
      <c r="L670" s="4"/>
      <c r="M670" s="32"/>
      <c r="N670" s="32"/>
      <c r="O670" s="32"/>
      <c r="P670" s="32"/>
      <c r="Q670" s="32"/>
      <c r="R670" s="32"/>
      <c r="S670" s="32"/>
      <c r="T670" s="32"/>
      <c r="U670" s="32"/>
      <c r="V670" s="32"/>
      <c r="W670" s="32"/>
      <c r="X670" s="32"/>
      <c r="Y670" s="32"/>
      <c r="Z670" s="32"/>
    </row>
    <row r="671" spans="1:26" ht="17.25" customHeight="1">
      <c r="A671" s="3"/>
      <c r="B671" s="3"/>
      <c r="C671" s="3"/>
      <c r="D671" s="3"/>
      <c r="E671" s="3"/>
      <c r="F671" s="3"/>
      <c r="G671" s="3"/>
      <c r="H671" s="3"/>
      <c r="I671" s="3"/>
      <c r="J671" s="3"/>
      <c r="K671" s="3"/>
      <c r="L671" s="4"/>
      <c r="M671" s="32"/>
      <c r="N671" s="32"/>
      <c r="O671" s="32"/>
      <c r="P671" s="32"/>
      <c r="Q671" s="32"/>
      <c r="R671" s="32"/>
      <c r="S671" s="32"/>
      <c r="T671" s="32"/>
      <c r="U671" s="32"/>
      <c r="V671" s="32"/>
      <c r="W671" s="32"/>
      <c r="X671" s="32"/>
      <c r="Y671" s="32"/>
      <c r="Z671" s="32"/>
    </row>
    <row r="672" spans="1:26" ht="17.25" customHeight="1">
      <c r="A672" s="3"/>
      <c r="B672" s="3"/>
      <c r="C672" s="3"/>
      <c r="D672" s="3"/>
      <c r="E672" s="3"/>
      <c r="F672" s="3"/>
      <c r="G672" s="3"/>
      <c r="H672" s="3"/>
      <c r="I672" s="3"/>
      <c r="J672" s="3"/>
      <c r="K672" s="3"/>
      <c r="L672" s="4"/>
      <c r="M672" s="32"/>
      <c r="N672" s="32"/>
      <c r="O672" s="32"/>
      <c r="P672" s="32"/>
      <c r="Q672" s="32"/>
      <c r="R672" s="32"/>
      <c r="S672" s="32"/>
      <c r="T672" s="32"/>
      <c r="U672" s="32"/>
      <c r="V672" s="32"/>
      <c r="W672" s="32"/>
      <c r="X672" s="32"/>
      <c r="Y672" s="32"/>
      <c r="Z672" s="32"/>
    </row>
    <row r="673" spans="1:26" ht="17.25" customHeight="1">
      <c r="A673" s="3"/>
      <c r="B673" s="3"/>
      <c r="C673" s="3"/>
      <c r="D673" s="3"/>
      <c r="E673" s="3"/>
      <c r="F673" s="3"/>
      <c r="G673" s="3"/>
      <c r="H673" s="3"/>
      <c r="I673" s="3"/>
      <c r="J673" s="3"/>
      <c r="K673" s="3"/>
      <c r="L673" s="4"/>
      <c r="M673" s="32"/>
      <c r="N673" s="32"/>
      <c r="O673" s="32"/>
      <c r="P673" s="32"/>
      <c r="Q673" s="32"/>
      <c r="R673" s="32"/>
      <c r="S673" s="32"/>
      <c r="T673" s="32"/>
      <c r="U673" s="32"/>
      <c r="V673" s="32"/>
      <c r="W673" s="32"/>
      <c r="X673" s="32"/>
      <c r="Y673" s="32"/>
      <c r="Z673" s="32"/>
    </row>
    <row r="674" spans="1:26" ht="17.25" customHeight="1">
      <c r="A674" s="3"/>
      <c r="B674" s="3"/>
      <c r="C674" s="3"/>
      <c r="D674" s="3"/>
      <c r="E674" s="3"/>
      <c r="F674" s="3"/>
      <c r="G674" s="3"/>
      <c r="H674" s="3"/>
      <c r="I674" s="3"/>
      <c r="J674" s="3"/>
      <c r="K674" s="3"/>
      <c r="L674" s="4"/>
      <c r="M674" s="32"/>
      <c r="N674" s="32"/>
      <c r="O674" s="32"/>
      <c r="P674" s="32"/>
      <c r="Q674" s="32"/>
      <c r="R674" s="32"/>
      <c r="S674" s="32"/>
      <c r="T674" s="32"/>
      <c r="U674" s="32"/>
      <c r="V674" s="32"/>
      <c r="W674" s="32"/>
      <c r="X674" s="32"/>
      <c r="Y674" s="32"/>
      <c r="Z674" s="32"/>
    </row>
    <row r="675" spans="1:26" ht="17.25" customHeight="1">
      <c r="A675" s="3"/>
      <c r="B675" s="3"/>
      <c r="C675" s="3"/>
      <c r="D675" s="3"/>
      <c r="E675" s="3"/>
      <c r="F675" s="3"/>
      <c r="G675" s="3"/>
      <c r="H675" s="3"/>
      <c r="I675" s="3"/>
      <c r="J675" s="3"/>
      <c r="K675" s="3"/>
      <c r="L675" s="4"/>
      <c r="M675" s="32"/>
      <c r="N675" s="32"/>
      <c r="O675" s="32"/>
      <c r="P675" s="32"/>
      <c r="Q675" s="32"/>
      <c r="R675" s="32"/>
      <c r="S675" s="32"/>
      <c r="T675" s="32"/>
      <c r="U675" s="32"/>
      <c r="V675" s="32"/>
      <c r="W675" s="32"/>
      <c r="X675" s="32"/>
      <c r="Y675" s="32"/>
      <c r="Z675" s="32"/>
    </row>
    <row r="676" spans="1:26" ht="17.25" customHeight="1">
      <c r="A676" s="3"/>
      <c r="B676" s="3"/>
      <c r="C676" s="3"/>
      <c r="D676" s="3"/>
      <c r="E676" s="3"/>
      <c r="F676" s="3"/>
      <c r="G676" s="3"/>
      <c r="H676" s="3"/>
      <c r="I676" s="3"/>
      <c r="J676" s="3"/>
      <c r="K676" s="3"/>
      <c r="L676" s="4"/>
      <c r="M676" s="32"/>
      <c r="N676" s="32"/>
      <c r="O676" s="32"/>
      <c r="P676" s="32"/>
      <c r="Q676" s="32"/>
      <c r="R676" s="32"/>
      <c r="S676" s="32"/>
      <c r="T676" s="32"/>
      <c r="U676" s="32"/>
      <c r="V676" s="32"/>
      <c r="W676" s="32"/>
      <c r="X676" s="32"/>
      <c r="Y676" s="32"/>
      <c r="Z676" s="32"/>
    </row>
    <row r="677" spans="1:26" ht="17.25" customHeight="1">
      <c r="A677" s="3"/>
      <c r="B677" s="3"/>
      <c r="C677" s="3"/>
      <c r="D677" s="3"/>
      <c r="E677" s="3"/>
      <c r="F677" s="3"/>
      <c r="G677" s="3"/>
      <c r="H677" s="3"/>
      <c r="I677" s="3"/>
      <c r="J677" s="3"/>
      <c r="K677" s="3"/>
      <c r="L677" s="4"/>
      <c r="M677" s="32"/>
      <c r="N677" s="32"/>
      <c r="O677" s="32"/>
      <c r="P677" s="32"/>
      <c r="Q677" s="32"/>
      <c r="R677" s="32"/>
      <c r="S677" s="32"/>
      <c r="T677" s="32"/>
      <c r="U677" s="32"/>
      <c r="V677" s="32"/>
      <c r="W677" s="32"/>
      <c r="X677" s="32"/>
      <c r="Y677" s="32"/>
      <c r="Z677" s="32"/>
    </row>
    <row r="678" spans="1:26" ht="17.25" customHeight="1">
      <c r="A678" s="3"/>
      <c r="B678" s="3"/>
      <c r="C678" s="3"/>
      <c r="D678" s="3"/>
      <c r="E678" s="3"/>
      <c r="F678" s="3"/>
      <c r="G678" s="3"/>
      <c r="H678" s="3"/>
      <c r="I678" s="3"/>
      <c r="J678" s="3"/>
      <c r="K678" s="3"/>
      <c r="L678" s="4"/>
      <c r="M678" s="32"/>
      <c r="N678" s="32"/>
      <c r="O678" s="32"/>
      <c r="P678" s="32"/>
      <c r="Q678" s="32"/>
      <c r="R678" s="32"/>
      <c r="S678" s="32"/>
      <c r="T678" s="32"/>
      <c r="U678" s="32"/>
      <c r="V678" s="32"/>
      <c r="W678" s="32"/>
      <c r="X678" s="32"/>
      <c r="Y678" s="32"/>
      <c r="Z678" s="32"/>
    </row>
    <row r="679" spans="1:26" ht="17.25" customHeight="1">
      <c r="A679" s="3"/>
      <c r="B679" s="3"/>
      <c r="C679" s="3"/>
      <c r="D679" s="3"/>
      <c r="E679" s="3"/>
      <c r="F679" s="3"/>
      <c r="G679" s="3"/>
      <c r="H679" s="3"/>
      <c r="I679" s="3"/>
      <c r="J679" s="3"/>
      <c r="K679" s="3"/>
      <c r="L679" s="4"/>
      <c r="M679" s="32"/>
      <c r="N679" s="32"/>
      <c r="O679" s="32"/>
      <c r="P679" s="32"/>
      <c r="Q679" s="32"/>
      <c r="R679" s="32"/>
      <c r="S679" s="32"/>
      <c r="T679" s="32"/>
      <c r="U679" s="32"/>
      <c r="V679" s="32"/>
      <c r="W679" s="32"/>
      <c r="X679" s="32"/>
      <c r="Y679" s="32"/>
      <c r="Z679" s="32"/>
    </row>
    <row r="680" spans="1:26" ht="17.25" customHeight="1">
      <c r="A680" s="3"/>
      <c r="B680" s="3"/>
      <c r="C680" s="3"/>
      <c r="D680" s="3"/>
      <c r="E680" s="3"/>
      <c r="F680" s="3"/>
      <c r="G680" s="3"/>
      <c r="H680" s="3"/>
      <c r="I680" s="3"/>
      <c r="J680" s="3"/>
      <c r="K680" s="3"/>
      <c r="L680" s="4"/>
      <c r="M680" s="32"/>
      <c r="N680" s="32"/>
      <c r="O680" s="32"/>
      <c r="P680" s="32"/>
      <c r="Q680" s="32"/>
      <c r="R680" s="32"/>
      <c r="S680" s="32"/>
      <c r="T680" s="32"/>
      <c r="U680" s="32"/>
      <c r="V680" s="32"/>
      <c r="W680" s="32"/>
      <c r="X680" s="32"/>
      <c r="Y680" s="32"/>
      <c r="Z680" s="32"/>
    </row>
    <row r="681" spans="1:26" ht="17.25" customHeight="1">
      <c r="A681" s="3"/>
      <c r="B681" s="3"/>
      <c r="C681" s="3"/>
      <c r="D681" s="3"/>
      <c r="E681" s="3"/>
      <c r="F681" s="3"/>
      <c r="G681" s="3"/>
      <c r="H681" s="3"/>
      <c r="I681" s="3"/>
      <c r="J681" s="3"/>
      <c r="K681" s="3"/>
      <c r="L681" s="4"/>
      <c r="M681" s="32"/>
      <c r="N681" s="32"/>
      <c r="O681" s="32"/>
      <c r="P681" s="32"/>
      <c r="Q681" s="32"/>
      <c r="R681" s="32"/>
      <c r="S681" s="32"/>
      <c r="T681" s="32"/>
      <c r="U681" s="32"/>
      <c r="V681" s="32"/>
      <c r="W681" s="32"/>
      <c r="X681" s="32"/>
      <c r="Y681" s="32"/>
      <c r="Z681" s="32"/>
    </row>
    <row r="682" spans="1:26" ht="17.25" customHeight="1">
      <c r="A682" s="3"/>
      <c r="B682" s="3"/>
      <c r="C682" s="3"/>
      <c r="D682" s="3"/>
      <c r="E682" s="3"/>
      <c r="F682" s="3"/>
      <c r="G682" s="3"/>
      <c r="H682" s="3"/>
      <c r="I682" s="3"/>
      <c r="J682" s="3"/>
      <c r="K682" s="3"/>
      <c r="L682" s="4"/>
      <c r="M682" s="32"/>
      <c r="N682" s="32"/>
      <c r="O682" s="32"/>
      <c r="P682" s="32"/>
      <c r="Q682" s="32"/>
      <c r="R682" s="32"/>
      <c r="S682" s="32"/>
      <c r="T682" s="32"/>
      <c r="U682" s="32"/>
      <c r="V682" s="32"/>
      <c r="W682" s="32"/>
      <c r="X682" s="32"/>
      <c r="Y682" s="32"/>
      <c r="Z682" s="32"/>
    </row>
    <row r="683" spans="1:26" ht="17.25" customHeight="1">
      <c r="A683" s="3"/>
      <c r="B683" s="3"/>
      <c r="C683" s="3"/>
      <c r="D683" s="3"/>
      <c r="E683" s="3"/>
      <c r="F683" s="3"/>
      <c r="G683" s="3"/>
      <c r="H683" s="3"/>
      <c r="I683" s="3"/>
      <c r="J683" s="3"/>
      <c r="K683" s="3"/>
      <c r="L683" s="4"/>
      <c r="M683" s="32"/>
      <c r="N683" s="32"/>
      <c r="O683" s="32"/>
      <c r="P683" s="32"/>
      <c r="Q683" s="32"/>
      <c r="R683" s="32"/>
      <c r="S683" s="32"/>
      <c r="T683" s="32"/>
      <c r="U683" s="32"/>
      <c r="V683" s="32"/>
      <c r="W683" s="32"/>
      <c r="X683" s="32"/>
      <c r="Y683" s="32"/>
      <c r="Z683" s="32"/>
    </row>
    <row r="684" spans="1:26" ht="17.25" customHeight="1">
      <c r="A684" s="3"/>
      <c r="B684" s="3"/>
      <c r="C684" s="3"/>
      <c r="D684" s="3"/>
      <c r="E684" s="3"/>
      <c r="F684" s="3"/>
      <c r="G684" s="3"/>
      <c r="H684" s="3"/>
      <c r="I684" s="3"/>
      <c r="J684" s="3"/>
      <c r="K684" s="3"/>
      <c r="L684" s="4"/>
      <c r="M684" s="32"/>
      <c r="N684" s="32"/>
      <c r="O684" s="32"/>
      <c r="P684" s="32"/>
      <c r="Q684" s="32"/>
      <c r="R684" s="32"/>
      <c r="S684" s="32"/>
      <c r="T684" s="32"/>
      <c r="U684" s="32"/>
      <c r="V684" s="32"/>
      <c r="W684" s="32"/>
      <c r="X684" s="32"/>
      <c r="Y684" s="32"/>
      <c r="Z684" s="32"/>
    </row>
    <row r="685" spans="1:26" ht="17.25" customHeight="1">
      <c r="A685" s="3"/>
      <c r="B685" s="3"/>
      <c r="C685" s="3"/>
      <c r="D685" s="3"/>
      <c r="E685" s="3"/>
      <c r="F685" s="3"/>
      <c r="G685" s="3"/>
      <c r="H685" s="3"/>
      <c r="I685" s="3"/>
      <c r="J685" s="3"/>
      <c r="K685" s="3"/>
      <c r="L685" s="4"/>
      <c r="M685" s="32"/>
      <c r="N685" s="32"/>
      <c r="O685" s="32"/>
      <c r="P685" s="32"/>
      <c r="Q685" s="32"/>
      <c r="R685" s="32"/>
      <c r="S685" s="32"/>
      <c r="T685" s="32"/>
      <c r="U685" s="32"/>
      <c r="V685" s="32"/>
      <c r="W685" s="32"/>
      <c r="X685" s="32"/>
      <c r="Y685" s="32"/>
      <c r="Z685" s="32"/>
    </row>
    <row r="686" spans="1:26" ht="17.25" customHeight="1">
      <c r="A686" s="3"/>
      <c r="B686" s="3"/>
      <c r="C686" s="3"/>
      <c r="D686" s="3"/>
      <c r="E686" s="3"/>
      <c r="F686" s="3"/>
      <c r="G686" s="3"/>
      <c r="H686" s="3"/>
      <c r="I686" s="3"/>
      <c r="J686" s="3"/>
      <c r="K686" s="3"/>
      <c r="L686" s="4"/>
      <c r="M686" s="32"/>
      <c r="N686" s="32"/>
      <c r="O686" s="32"/>
      <c r="P686" s="32"/>
      <c r="Q686" s="32"/>
      <c r="R686" s="32"/>
      <c r="S686" s="32"/>
      <c r="T686" s="32"/>
      <c r="U686" s="32"/>
      <c r="V686" s="32"/>
      <c r="W686" s="32"/>
      <c r="X686" s="32"/>
      <c r="Y686" s="32"/>
      <c r="Z686" s="32"/>
    </row>
    <row r="687" spans="1:26" ht="17.25" customHeight="1">
      <c r="A687" s="3"/>
      <c r="B687" s="3"/>
      <c r="C687" s="3"/>
      <c r="D687" s="3"/>
      <c r="E687" s="3"/>
      <c r="F687" s="3"/>
      <c r="G687" s="3"/>
      <c r="H687" s="3"/>
      <c r="I687" s="3"/>
      <c r="J687" s="3"/>
      <c r="K687" s="3"/>
      <c r="L687" s="4"/>
      <c r="M687" s="32"/>
      <c r="N687" s="32"/>
      <c r="O687" s="32"/>
      <c r="P687" s="32"/>
      <c r="Q687" s="32"/>
      <c r="R687" s="32"/>
      <c r="S687" s="32"/>
      <c r="T687" s="32"/>
      <c r="U687" s="32"/>
      <c r="V687" s="32"/>
      <c r="W687" s="32"/>
      <c r="X687" s="32"/>
      <c r="Y687" s="32"/>
      <c r="Z687" s="32"/>
    </row>
    <row r="688" spans="1:26" ht="17.25" customHeight="1">
      <c r="A688" s="3"/>
      <c r="B688" s="3"/>
      <c r="C688" s="3"/>
      <c r="D688" s="3"/>
      <c r="E688" s="3"/>
      <c r="F688" s="3"/>
      <c r="G688" s="3"/>
      <c r="H688" s="3"/>
      <c r="I688" s="3"/>
      <c r="J688" s="3"/>
      <c r="K688" s="3"/>
      <c r="L688" s="4"/>
      <c r="M688" s="32"/>
      <c r="N688" s="32"/>
      <c r="O688" s="32"/>
      <c r="P688" s="32"/>
      <c r="Q688" s="32"/>
      <c r="R688" s="32"/>
      <c r="S688" s="32"/>
      <c r="T688" s="32"/>
      <c r="U688" s="32"/>
      <c r="V688" s="32"/>
      <c r="W688" s="32"/>
      <c r="X688" s="32"/>
      <c r="Y688" s="32"/>
      <c r="Z688" s="32"/>
    </row>
    <row r="689" spans="1:26" ht="17.25" customHeight="1">
      <c r="A689" s="3"/>
      <c r="B689" s="3"/>
      <c r="C689" s="3"/>
      <c r="D689" s="3"/>
      <c r="E689" s="3"/>
      <c r="F689" s="3"/>
      <c r="G689" s="3"/>
      <c r="H689" s="3"/>
      <c r="I689" s="3"/>
      <c r="J689" s="3"/>
      <c r="K689" s="3"/>
      <c r="L689" s="4"/>
      <c r="M689" s="32"/>
      <c r="N689" s="32"/>
      <c r="O689" s="32"/>
      <c r="P689" s="32"/>
      <c r="Q689" s="32"/>
      <c r="R689" s="32"/>
      <c r="S689" s="32"/>
      <c r="T689" s="32"/>
      <c r="U689" s="32"/>
      <c r="V689" s="32"/>
      <c r="W689" s="32"/>
      <c r="X689" s="32"/>
      <c r="Y689" s="32"/>
      <c r="Z689" s="32"/>
    </row>
    <row r="690" spans="1:26" ht="17.25" customHeight="1">
      <c r="A690" s="3"/>
      <c r="B690" s="3"/>
      <c r="C690" s="3"/>
      <c r="D690" s="3"/>
      <c r="E690" s="3"/>
      <c r="F690" s="3"/>
      <c r="G690" s="3"/>
      <c r="H690" s="3"/>
      <c r="I690" s="3"/>
      <c r="J690" s="3"/>
      <c r="K690" s="3"/>
      <c r="L690" s="4"/>
      <c r="M690" s="32"/>
      <c r="N690" s="32"/>
      <c r="O690" s="32"/>
      <c r="P690" s="32"/>
      <c r="Q690" s="32"/>
      <c r="R690" s="32"/>
      <c r="S690" s="32"/>
      <c r="T690" s="32"/>
      <c r="U690" s="32"/>
      <c r="V690" s="32"/>
      <c r="W690" s="32"/>
      <c r="X690" s="32"/>
      <c r="Y690" s="32"/>
      <c r="Z690" s="32"/>
    </row>
    <row r="691" spans="1:26" ht="17.25" customHeight="1">
      <c r="A691" s="3"/>
      <c r="B691" s="3"/>
      <c r="C691" s="3"/>
      <c r="D691" s="3"/>
      <c r="E691" s="3"/>
      <c r="F691" s="3"/>
      <c r="G691" s="3"/>
      <c r="H691" s="3"/>
      <c r="I691" s="3"/>
      <c r="J691" s="3"/>
      <c r="K691" s="3"/>
      <c r="L691" s="4"/>
      <c r="M691" s="32"/>
      <c r="N691" s="32"/>
      <c r="O691" s="32"/>
      <c r="P691" s="32"/>
      <c r="Q691" s="32"/>
      <c r="R691" s="32"/>
      <c r="S691" s="32"/>
      <c r="T691" s="32"/>
      <c r="U691" s="32"/>
      <c r="V691" s="32"/>
      <c r="W691" s="32"/>
      <c r="X691" s="32"/>
      <c r="Y691" s="32"/>
      <c r="Z691" s="32"/>
    </row>
    <row r="692" spans="1:26" ht="17.25" customHeight="1">
      <c r="A692" s="3"/>
      <c r="B692" s="3"/>
      <c r="C692" s="3"/>
      <c r="D692" s="3"/>
      <c r="E692" s="3"/>
      <c r="F692" s="3"/>
      <c r="G692" s="3"/>
      <c r="H692" s="3"/>
      <c r="I692" s="3"/>
      <c r="J692" s="3"/>
      <c r="K692" s="3"/>
      <c r="L692" s="4"/>
      <c r="M692" s="32"/>
      <c r="N692" s="32"/>
      <c r="O692" s="32"/>
      <c r="P692" s="32"/>
      <c r="Q692" s="32"/>
      <c r="R692" s="32"/>
      <c r="S692" s="32"/>
      <c r="T692" s="32"/>
      <c r="U692" s="32"/>
      <c r="V692" s="32"/>
      <c r="W692" s="32"/>
      <c r="X692" s="32"/>
      <c r="Y692" s="32"/>
      <c r="Z692" s="32"/>
    </row>
    <row r="693" spans="1:26" ht="17.25" customHeight="1">
      <c r="A693" s="3"/>
      <c r="B693" s="3"/>
      <c r="C693" s="3"/>
      <c r="D693" s="3"/>
      <c r="E693" s="3"/>
      <c r="F693" s="3"/>
      <c r="G693" s="3"/>
      <c r="H693" s="3"/>
      <c r="I693" s="3"/>
      <c r="J693" s="3"/>
      <c r="K693" s="3"/>
      <c r="L693" s="4"/>
      <c r="M693" s="32"/>
      <c r="N693" s="32"/>
      <c r="O693" s="32"/>
      <c r="P693" s="32"/>
      <c r="Q693" s="32"/>
      <c r="R693" s="32"/>
      <c r="S693" s="32"/>
      <c r="T693" s="32"/>
      <c r="U693" s="32"/>
      <c r="V693" s="32"/>
      <c r="W693" s="32"/>
      <c r="X693" s="32"/>
      <c r="Y693" s="32"/>
      <c r="Z693" s="32"/>
    </row>
    <row r="694" spans="1:26" ht="17.25" customHeight="1">
      <c r="A694" s="3"/>
      <c r="B694" s="3"/>
      <c r="C694" s="3"/>
      <c r="D694" s="3"/>
      <c r="E694" s="3"/>
      <c r="F694" s="3"/>
      <c r="G694" s="3"/>
      <c r="H694" s="3"/>
      <c r="I694" s="3"/>
      <c r="J694" s="3"/>
      <c r="K694" s="3"/>
      <c r="L694" s="4"/>
      <c r="M694" s="32"/>
      <c r="N694" s="32"/>
      <c r="O694" s="32"/>
      <c r="P694" s="32"/>
      <c r="Q694" s="32"/>
      <c r="R694" s="32"/>
      <c r="S694" s="32"/>
      <c r="T694" s="32"/>
      <c r="U694" s="32"/>
      <c r="V694" s="32"/>
      <c r="W694" s="32"/>
      <c r="X694" s="32"/>
      <c r="Y694" s="32"/>
      <c r="Z694" s="32"/>
    </row>
    <row r="695" spans="1:26" ht="17.25" customHeight="1">
      <c r="A695" s="3"/>
      <c r="B695" s="3"/>
      <c r="C695" s="3"/>
      <c r="D695" s="3"/>
      <c r="E695" s="3"/>
      <c r="F695" s="3"/>
      <c r="G695" s="3"/>
      <c r="H695" s="3"/>
      <c r="I695" s="3"/>
      <c r="J695" s="3"/>
      <c r="K695" s="3"/>
      <c r="L695" s="4"/>
      <c r="M695" s="32"/>
      <c r="N695" s="32"/>
      <c r="O695" s="32"/>
      <c r="P695" s="32"/>
      <c r="Q695" s="32"/>
      <c r="R695" s="32"/>
      <c r="S695" s="32"/>
      <c r="T695" s="32"/>
      <c r="U695" s="32"/>
      <c r="V695" s="32"/>
      <c r="W695" s="32"/>
      <c r="X695" s="32"/>
      <c r="Y695" s="32"/>
      <c r="Z695" s="32"/>
    </row>
    <row r="696" spans="1:26" ht="17.25" customHeight="1">
      <c r="A696" s="3"/>
      <c r="B696" s="3"/>
      <c r="C696" s="3"/>
      <c r="D696" s="3"/>
      <c r="E696" s="3"/>
      <c r="F696" s="3"/>
      <c r="G696" s="3"/>
      <c r="H696" s="3"/>
      <c r="I696" s="3"/>
      <c r="J696" s="3"/>
      <c r="K696" s="3"/>
      <c r="L696" s="4"/>
      <c r="M696" s="32"/>
      <c r="N696" s="32"/>
      <c r="O696" s="32"/>
      <c r="P696" s="32"/>
      <c r="Q696" s="32"/>
      <c r="R696" s="32"/>
      <c r="S696" s="32"/>
      <c r="T696" s="32"/>
      <c r="U696" s="32"/>
      <c r="V696" s="32"/>
      <c r="W696" s="32"/>
      <c r="X696" s="32"/>
      <c r="Y696" s="32"/>
      <c r="Z696" s="32"/>
    </row>
    <row r="697" spans="1:26" ht="17.25" customHeight="1">
      <c r="A697" s="3"/>
      <c r="B697" s="3"/>
      <c r="C697" s="3"/>
      <c r="D697" s="3"/>
      <c r="E697" s="3"/>
      <c r="F697" s="3"/>
      <c r="G697" s="3"/>
      <c r="H697" s="3"/>
      <c r="I697" s="3"/>
      <c r="J697" s="3"/>
      <c r="K697" s="3"/>
      <c r="L697" s="4"/>
      <c r="M697" s="32"/>
      <c r="N697" s="32"/>
      <c r="O697" s="32"/>
      <c r="P697" s="32"/>
      <c r="Q697" s="32"/>
      <c r="R697" s="32"/>
      <c r="S697" s="32"/>
      <c r="T697" s="32"/>
      <c r="U697" s="32"/>
      <c r="V697" s="32"/>
      <c r="W697" s="32"/>
      <c r="X697" s="32"/>
      <c r="Y697" s="32"/>
      <c r="Z697" s="32"/>
    </row>
    <row r="698" spans="1:26" ht="17.25" customHeight="1">
      <c r="A698" s="3"/>
      <c r="B698" s="3"/>
      <c r="C698" s="3"/>
      <c r="D698" s="3"/>
      <c r="E698" s="3"/>
      <c r="F698" s="3"/>
      <c r="G698" s="3"/>
      <c r="H698" s="3"/>
      <c r="I698" s="3"/>
      <c r="J698" s="3"/>
      <c r="K698" s="3"/>
      <c r="L698" s="4"/>
      <c r="M698" s="32"/>
      <c r="N698" s="32"/>
      <c r="O698" s="32"/>
      <c r="P698" s="32"/>
      <c r="Q698" s="32"/>
      <c r="R698" s="32"/>
      <c r="S698" s="32"/>
      <c r="T698" s="32"/>
      <c r="U698" s="32"/>
      <c r="V698" s="32"/>
      <c r="W698" s="32"/>
      <c r="X698" s="32"/>
      <c r="Y698" s="32"/>
      <c r="Z698" s="32"/>
    </row>
    <row r="699" spans="1:26" ht="17.25" customHeight="1">
      <c r="A699" s="3"/>
      <c r="B699" s="3"/>
      <c r="C699" s="3"/>
      <c r="D699" s="3"/>
      <c r="E699" s="3"/>
      <c r="F699" s="3"/>
      <c r="G699" s="3"/>
      <c r="H699" s="3"/>
      <c r="I699" s="3"/>
      <c r="J699" s="3"/>
      <c r="K699" s="3"/>
      <c r="L699" s="4"/>
      <c r="M699" s="32"/>
      <c r="N699" s="32"/>
      <c r="O699" s="32"/>
      <c r="P699" s="32"/>
      <c r="Q699" s="32"/>
      <c r="R699" s="32"/>
      <c r="S699" s="32"/>
      <c r="T699" s="32"/>
      <c r="U699" s="32"/>
      <c r="V699" s="32"/>
      <c r="W699" s="32"/>
      <c r="X699" s="32"/>
      <c r="Y699" s="32"/>
      <c r="Z699" s="32"/>
    </row>
    <row r="700" spans="1:26" ht="17.25" customHeight="1">
      <c r="A700" s="3"/>
      <c r="B700" s="3"/>
      <c r="C700" s="3"/>
      <c r="D700" s="3"/>
      <c r="E700" s="3"/>
      <c r="F700" s="3"/>
      <c r="G700" s="3"/>
      <c r="H700" s="3"/>
      <c r="I700" s="3"/>
      <c r="J700" s="3"/>
      <c r="K700" s="3"/>
      <c r="L700" s="4"/>
      <c r="M700" s="32"/>
      <c r="N700" s="32"/>
      <c r="O700" s="32"/>
      <c r="P700" s="32"/>
      <c r="Q700" s="32"/>
      <c r="R700" s="32"/>
      <c r="S700" s="32"/>
      <c r="T700" s="32"/>
      <c r="U700" s="32"/>
      <c r="V700" s="32"/>
      <c r="W700" s="32"/>
      <c r="X700" s="32"/>
      <c r="Y700" s="32"/>
      <c r="Z700" s="32"/>
    </row>
    <row r="701" spans="1:26" ht="17.25" customHeight="1">
      <c r="A701" s="3"/>
      <c r="B701" s="3"/>
      <c r="C701" s="3"/>
      <c r="D701" s="3"/>
      <c r="E701" s="3"/>
      <c r="F701" s="3"/>
      <c r="G701" s="3"/>
      <c r="H701" s="3"/>
      <c r="I701" s="3"/>
      <c r="J701" s="3"/>
      <c r="K701" s="3"/>
      <c r="L701" s="4"/>
      <c r="M701" s="32"/>
      <c r="N701" s="32"/>
      <c r="O701" s="32"/>
      <c r="P701" s="32"/>
      <c r="Q701" s="32"/>
      <c r="R701" s="32"/>
      <c r="S701" s="32"/>
      <c r="T701" s="32"/>
      <c r="U701" s="32"/>
      <c r="V701" s="32"/>
      <c r="W701" s="32"/>
      <c r="X701" s="32"/>
      <c r="Y701" s="32"/>
      <c r="Z701" s="32"/>
    </row>
    <row r="702" spans="1:26" ht="17.25" customHeight="1">
      <c r="A702" s="3"/>
      <c r="B702" s="3"/>
      <c r="C702" s="3"/>
      <c r="D702" s="3"/>
      <c r="E702" s="3"/>
      <c r="F702" s="3"/>
      <c r="G702" s="3"/>
      <c r="H702" s="3"/>
      <c r="I702" s="3"/>
      <c r="J702" s="3"/>
      <c r="K702" s="3"/>
      <c r="L702" s="4"/>
      <c r="M702" s="32"/>
      <c r="N702" s="32"/>
      <c r="O702" s="32"/>
      <c r="P702" s="32"/>
      <c r="Q702" s="32"/>
      <c r="R702" s="32"/>
      <c r="S702" s="32"/>
      <c r="T702" s="32"/>
      <c r="U702" s="32"/>
      <c r="V702" s="32"/>
      <c r="W702" s="32"/>
      <c r="X702" s="32"/>
      <c r="Y702" s="32"/>
      <c r="Z702" s="32"/>
    </row>
    <row r="703" spans="1:26" ht="17.25" customHeight="1">
      <c r="A703" s="3"/>
      <c r="B703" s="3"/>
      <c r="C703" s="3"/>
      <c r="D703" s="3"/>
      <c r="E703" s="3"/>
      <c r="F703" s="3"/>
      <c r="G703" s="3"/>
      <c r="H703" s="3"/>
      <c r="I703" s="3"/>
      <c r="J703" s="3"/>
      <c r="K703" s="3"/>
      <c r="L703" s="4"/>
      <c r="M703" s="32"/>
      <c r="N703" s="32"/>
      <c r="O703" s="32"/>
      <c r="P703" s="32"/>
      <c r="Q703" s="32"/>
      <c r="R703" s="32"/>
      <c r="S703" s="32"/>
      <c r="T703" s="32"/>
      <c r="U703" s="32"/>
      <c r="V703" s="32"/>
      <c r="W703" s="32"/>
      <c r="X703" s="32"/>
      <c r="Y703" s="32"/>
      <c r="Z703" s="32"/>
    </row>
    <row r="704" spans="1:26" ht="17.25" customHeight="1">
      <c r="A704" s="3"/>
      <c r="B704" s="3"/>
      <c r="C704" s="3"/>
      <c r="D704" s="3"/>
      <c r="E704" s="3"/>
      <c r="F704" s="3"/>
      <c r="G704" s="3"/>
      <c r="H704" s="3"/>
      <c r="I704" s="3"/>
      <c r="J704" s="3"/>
      <c r="K704" s="3"/>
      <c r="L704" s="4"/>
      <c r="M704" s="32"/>
      <c r="N704" s="32"/>
      <c r="O704" s="32"/>
      <c r="P704" s="32"/>
      <c r="Q704" s="32"/>
      <c r="R704" s="32"/>
      <c r="S704" s="32"/>
      <c r="T704" s="32"/>
      <c r="U704" s="32"/>
      <c r="V704" s="32"/>
      <c r="W704" s="32"/>
      <c r="X704" s="32"/>
      <c r="Y704" s="32"/>
      <c r="Z704" s="32"/>
    </row>
    <row r="705" spans="1:26" ht="17.25" customHeight="1">
      <c r="A705" s="3"/>
      <c r="B705" s="3"/>
      <c r="C705" s="3"/>
      <c r="D705" s="3"/>
      <c r="E705" s="3"/>
      <c r="F705" s="3"/>
      <c r="G705" s="3"/>
      <c r="H705" s="3"/>
      <c r="I705" s="3"/>
      <c r="J705" s="3"/>
      <c r="K705" s="3"/>
      <c r="L705" s="4"/>
      <c r="M705" s="32"/>
      <c r="N705" s="32"/>
      <c r="O705" s="32"/>
      <c r="P705" s="32"/>
      <c r="Q705" s="32"/>
      <c r="R705" s="32"/>
      <c r="S705" s="32"/>
      <c r="T705" s="32"/>
      <c r="U705" s="32"/>
      <c r="V705" s="32"/>
      <c r="W705" s="32"/>
      <c r="X705" s="32"/>
      <c r="Y705" s="32"/>
      <c r="Z705" s="32"/>
    </row>
    <row r="706" spans="1:26" ht="17.25" customHeight="1">
      <c r="A706" s="3"/>
      <c r="B706" s="3"/>
      <c r="C706" s="3"/>
      <c r="D706" s="3"/>
      <c r="E706" s="3"/>
      <c r="F706" s="3"/>
      <c r="G706" s="3"/>
      <c r="H706" s="3"/>
      <c r="I706" s="3"/>
      <c r="J706" s="3"/>
      <c r="K706" s="3"/>
      <c r="L706" s="4"/>
      <c r="M706" s="32"/>
      <c r="N706" s="32"/>
      <c r="O706" s="32"/>
      <c r="P706" s="32"/>
      <c r="Q706" s="32"/>
      <c r="R706" s="32"/>
      <c r="S706" s="32"/>
      <c r="T706" s="32"/>
      <c r="U706" s="32"/>
      <c r="V706" s="32"/>
      <c r="W706" s="32"/>
      <c r="X706" s="32"/>
      <c r="Y706" s="32"/>
      <c r="Z706" s="32"/>
    </row>
    <row r="707" spans="1:26" ht="17.25" customHeight="1">
      <c r="A707" s="3"/>
      <c r="B707" s="3"/>
      <c r="C707" s="3"/>
      <c r="D707" s="3"/>
      <c r="E707" s="3"/>
      <c r="F707" s="3"/>
      <c r="G707" s="3"/>
      <c r="H707" s="3"/>
      <c r="I707" s="3"/>
      <c r="J707" s="3"/>
      <c r="K707" s="3"/>
      <c r="L707" s="4"/>
      <c r="M707" s="32"/>
      <c r="N707" s="32"/>
      <c r="O707" s="32"/>
      <c r="P707" s="32"/>
      <c r="Q707" s="32"/>
      <c r="R707" s="32"/>
      <c r="S707" s="32"/>
      <c r="T707" s="32"/>
      <c r="U707" s="32"/>
      <c r="V707" s="32"/>
      <c r="W707" s="32"/>
      <c r="X707" s="32"/>
      <c r="Y707" s="32"/>
      <c r="Z707" s="32"/>
    </row>
    <row r="708" spans="1:26" ht="17.25" customHeight="1">
      <c r="A708" s="3"/>
      <c r="B708" s="3"/>
      <c r="C708" s="3"/>
      <c r="D708" s="3"/>
      <c r="E708" s="3"/>
      <c r="F708" s="3"/>
      <c r="G708" s="3"/>
      <c r="H708" s="3"/>
      <c r="I708" s="3"/>
      <c r="J708" s="3"/>
      <c r="K708" s="3"/>
      <c r="L708" s="4"/>
      <c r="M708" s="32"/>
      <c r="N708" s="32"/>
      <c r="O708" s="32"/>
      <c r="P708" s="32"/>
      <c r="Q708" s="32"/>
      <c r="R708" s="32"/>
      <c r="S708" s="32"/>
      <c r="T708" s="32"/>
      <c r="U708" s="32"/>
      <c r="V708" s="32"/>
      <c r="W708" s="32"/>
      <c r="X708" s="32"/>
      <c r="Y708" s="32"/>
      <c r="Z708" s="32"/>
    </row>
    <row r="709" spans="1:26" ht="17.25" customHeight="1">
      <c r="A709" s="3"/>
      <c r="B709" s="3"/>
      <c r="C709" s="3"/>
      <c r="D709" s="3"/>
      <c r="E709" s="3"/>
      <c r="F709" s="3"/>
      <c r="G709" s="3"/>
      <c r="H709" s="3"/>
      <c r="I709" s="3"/>
      <c r="J709" s="3"/>
      <c r="K709" s="3"/>
      <c r="L709" s="4"/>
      <c r="M709" s="32"/>
      <c r="N709" s="32"/>
      <c r="O709" s="32"/>
      <c r="P709" s="32"/>
      <c r="Q709" s="32"/>
      <c r="R709" s="32"/>
      <c r="S709" s="32"/>
      <c r="T709" s="32"/>
      <c r="U709" s="32"/>
      <c r="V709" s="32"/>
      <c r="W709" s="32"/>
      <c r="X709" s="32"/>
      <c r="Y709" s="32"/>
      <c r="Z709" s="32"/>
    </row>
    <row r="710" spans="1:26" ht="17.25" customHeight="1">
      <c r="A710" s="3"/>
      <c r="B710" s="3"/>
      <c r="C710" s="3"/>
      <c r="D710" s="3"/>
      <c r="E710" s="3"/>
      <c r="F710" s="3"/>
      <c r="G710" s="3"/>
      <c r="H710" s="3"/>
      <c r="I710" s="3"/>
      <c r="J710" s="3"/>
      <c r="K710" s="3"/>
      <c r="L710" s="4"/>
      <c r="M710" s="32"/>
      <c r="N710" s="32"/>
      <c r="O710" s="32"/>
      <c r="P710" s="32"/>
      <c r="Q710" s="32"/>
      <c r="R710" s="32"/>
      <c r="S710" s="32"/>
      <c r="T710" s="32"/>
      <c r="U710" s="32"/>
      <c r="V710" s="32"/>
      <c r="W710" s="32"/>
      <c r="X710" s="32"/>
      <c r="Y710" s="32"/>
      <c r="Z710" s="32"/>
    </row>
    <row r="711" spans="1:26" ht="17.25" customHeight="1">
      <c r="A711" s="3"/>
      <c r="B711" s="3"/>
      <c r="C711" s="3"/>
      <c r="D711" s="3"/>
      <c r="E711" s="3"/>
      <c r="F711" s="3"/>
      <c r="G711" s="3"/>
      <c r="H711" s="3"/>
      <c r="I711" s="3"/>
      <c r="J711" s="3"/>
      <c r="K711" s="3"/>
      <c r="L711" s="4"/>
      <c r="M711" s="32"/>
      <c r="N711" s="32"/>
      <c r="O711" s="32"/>
      <c r="P711" s="32"/>
      <c r="Q711" s="32"/>
      <c r="R711" s="32"/>
      <c r="S711" s="32"/>
      <c r="T711" s="32"/>
      <c r="U711" s="32"/>
      <c r="V711" s="32"/>
      <c r="W711" s="32"/>
      <c r="X711" s="32"/>
      <c r="Y711" s="32"/>
      <c r="Z711" s="32"/>
    </row>
    <row r="712" spans="1:26" ht="17.25" customHeight="1">
      <c r="A712" s="3"/>
      <c r="B712" s="3"/>
      <c r="C712" s="3"/>
      <c r="D712" s="3"/>
      <c r="E712" s="3"/>
      <c r="F712" s="3"/>
      <c r="G712" s="3"/>
      <c r="H712" s="3"/>
      <c r="I712" s="3"/>
      <c r="J712" s="3"/>
      <c r="K712" s="3"/>
      <c r="L712" s="4"/>
      <c r="M712" s="32"/>
      <c r="N712" s="32"/>
      <c r="O712" s="32"/>
      <c r="P712" s="32"/>
      <c r="Q712" s="32"/>
      <c r="R712" s="32"/>
      <c r="S712" s="32"/>
      <c r="T712" s="32"/>
      <c r="U712" s="32"/>
      <c r="V712" s="32"/>
      <c r="W712" s="32"/>
      <c r="X712" s="32"/>
      <c r="Y712" s="32"/>
      <c r="Z712" s="32"/>
    </row>
    <row r="713" spans="1:26" ht="17.25" customHeight="1">
      <c r="A713" s="3"/>
      <c r="B713" s="3"/>
      <c r="C713" s="3"/>
      <c r="D713" s="3"/>
      <c r="E713" s="3"/>
      <c r="F713" s="3"/>
      <c r="G713" s="3"/>
      <c r="H713" s="3"/>
      <c r="I713" s="3"/>
      <c r="J713" s="3"/>
      <c r="K713" s="3"/>
      <c r="L713" s="4"/>
      <c r="M713" s="32"/>
      <c r="N713" s="32"/>
      <c r="O713" s="32"/>
      <c r="P713" s="32"/>
      <c r="Q713" s="32"/>
      <c r="R713" s="32"/>
      <c r="S713" s="32"/>
      <c r="T713" s="32"/>
      <c r="U713" s="32"/>
      <c r="V713" s="32"/>
      <c r="W713" s="32"/>
      <c r="X713" s="32"/>
      <c r="Y713" s="32"/>
      <c r="Z713" s="32"/>
    </row>
    <row r="714" spans="1:26" ht="17.25" customHeight="1">
      <c r="A714" s="3"/>
      <c r="B714" s="3"/>
      <c r="C714" s="3"/>
      <c r="D714" s="3"/>
      <c r="E714" s="3"/>
      <c r="F714" s="3"/>
      <c r="G714" s="3"/>
      <c r="H714" s="3"/>
      <c r="I714" s="3"/>
      <c r="J714" s="3"/>
      <c r="K714" s="3"/>
      <c r="L714" s="4"/>
      <c r="M714" s="32"/>
      <c r="N714" s="32"/>
      <c r="O714" s="32"/>
      <c r="P714" s="32"/>
      <c r="Q714" s="32"/>
      <c r="R714" s="32"/>
      <c r="S714" s="32"/>
      <c r="T714" s="32"/>
      <c r="U714" s="32"/>
      <c r="V714" s="32"/>
      <c r="W714" s="32"/>
      <c r="X714" s="32"/>
      <c r="Y714" s="32"/>
      <c r="Z714" s="32"/>
    </row>
    <row r="715" spans="1:26" ht="17.25" customHeight="1">
      <c r="A715" s="3"/>
      <c r="B715" s="3"/>
      <c r="C715" s="3"/>
      <c r="D715" s="3"/>
      <c r="E715" s="3"/>
      <c r="F715" s="3"/>
      <c r="G715" s="3"/>
      <c r="H715" s="3"/>
      <c r="I715" s="3"/>
      <c r="J715" s="3"/>
      <c r="K715" s="3"/>
      <c r="L715" s="4"/>
      <c r="M715" s="32"/>
      <c r="N715" s="32"/>
      <c r="O715" s="32"/>
      <c r="P715" s="32"/>
      <c r="Q715" s="32"/>
      <c r="R715" s="32"/>
      <c r="S715" s="32"/>
      <c r="T715" s="32"/>
      <c r="U715" s="32"/>
      <c r="V715" s="32"/>
      <c r="W715" s="32"/>
      <c r="X715" s="32"/>
      <c r="Y715" s="32"/>
      <c r="Z715" s="32"/>
    </row>
    <row r="716" spans="1:26" ht="17.25" customHeight="1">
      <c r="A716" s="3"/>
      <c r="B716" s="3"/>
      <c r="C716" s="3"/>
      <c r="D716" s="3"/>
      <c r="E716" s="3"/>
      <c r="F716" s="3"/>
      <c r="G716" s="3"/>
      <c r="H716" s="3"/>
      <c r="I716" s="3"/>
      <c r="J716" s="3"/>
      <c r="K716" s="3"/>
      <c r="L716" s="4"/>
      <c r="M716" s="32"/>
      <c r="N716" s="32"/>
      <c r="O716" s="32"/>
      <c r="P716" s="32"/>
      <c r="Q716" s="32"/>
      <c r="R716" s="32"/>
      <c r="S716" s="32"/>
      <c r="T716" s="32"/>
      <c r="U716" s="32"/>
      <c r="V716" s="32"/>
      <c r="W716" s="32"/>
      <c r="X716" s="32"/>
      <c r="Y716" s="32"/>
      <c r="Z716" s="32"/>
    </row>
    <row r="717" spans="1:26" ht="17.25" customHeight="1">
      <c r="A717" s="3"/>
      <c r="B717" s="3"/>
      <c r="C717" s="3"/>
      <c r="D717" s="3"/>
      <c r="E717" s="3"/>
      <c r="F717" s="3"/>
      <c r="G717" s="3"/>
      <c r="H717" s="3"/>
      <c r="I717" s="3"/>
      <c r="J717" s="3"/>
      <c r="K717" s="3"/>
      <c r="L717" s="4"/>
      <c r="M717" s="32"/>
      <c r="N717" s="32"/>
      <c r="O717" s="32"/>
      <c r="P717" s="32"/>
      <c r="Q717" s="32"/>
      <c r="R717" s="32"/>
      <c r="S717" s="32"/>
      <c r="T717" s="32"/>
      <c r="U717" s="32"/>
      <c r="V717" s="32"/>
      <c r="W717" s="32"/>
      <c r="X717" s="32"/>
      <c r="Y717" s="32"/>
      <c r="Z717" s="32"/>
    </row>
    <row r="718" spans="1:26" ht="17.25" customHeight="1">
      <c r="A718" s="3"/>
      <c r="B718" s="3"/>
      <c r="C718" s="3"/>
      <c r="D718" s="3"/>
      <c r="E718" s="3"/>
      <c r="F718" s="3"/>
      <c r="G718" s="3"/>
      <c r="H718" s="3"/>
      <c r="I718" s="3"/>
      <c r="J718" s="3"/>
      <c r="K718" s="3"/>
      <c r="L718" s="4"/>
      <c r="M718" s="32"/>
      <c r="N718" s="32"/>
      <c r="O718" s="32"/>
      <c r="P718" s="32"/>
      <c r="Q718" s="32"/>
      <c r="R718" s="32"/>
      <c r="S718" s="32"/>
      <c r="T718" s="32"/>
      <c r="U718" s="32"/>
      <c r="V718" s="32"/>
      <c r="W718" s="32"/>
      <c r="X718" s="32"/>
      <c r="Y718" s="32"/>
      <c r="Z718" s="32"/>
    </row>
    <row r="719" spans="1:26" ht="17.25" customHeight="1">
      <c r="A719" s="3"/>
      <c r="B719" s="3"/>
      <c r="C719" s="3"/>
      <c r="D719" s="3"/>
      <c r="E719" s="3"/>
      <c r="F719" s="3"/>
      <c r="G719" s="3"/>
      <c r="H719" s="3"/>
      <c r="I719" s="3"/>
      <c r="J719" s="3"/>
      <c r="K719" s="3"/>
      <c r="L719" s="4"/>
      <c r="M719" s="32"/>
      <c r="N719" s="32"/>
      <c r="O719" s="32"/>
      <c r="P719" s="32"/>
      <c r="Q719" s="32"/>
      <c r="R719" s="32"/>
      <c r="S719" s="32"/>
      <c r="T719" s="32"/>
      <c r="U719" s="32"/>
      <c r="V719" s="32"/>
      <c r="W719" s="32"/>
      <c r="X719" s="32"/>
      <c r="Y719" s="32"/>
      <c r="Z719" s="32"/>
    </row>
    <row r="720" spans="1:26" ht="17.25" customHeight="1">
      <c r="A720" s="3"/>
      <c r="B720" s="3"/>
      <c r="C720" s="3"/>
      <c r="D720" s="3"/>
      <c r="E720" s="3"/>
      <c r="F720" s="3"/>
      <c r="G720" s="3"/>
      <c r="H720" s="3"/>
      <c r="I720" s="3"/>
      <c r="J720" s="3"/>
      <c r="K720" s="3"/>
      <c r="L720" s="4"/>
      <c r="M720" s="32"/>
      <c r="N720" s="32"/>
      <c r="O720" s="32"/>
      <c r="P720" s="32"/>
      <c r="Q720" s="32"/>
      <c r="R720" s="32"/>
      <c r="S720" s="32"/>
      <c r="T720" s="32"/>
      <c r="U720" s="32"/>
      <c r="V720" s="32"/>
      <c r="W720" s="32"/>
      <c r="X720" s="32"/>
      <c r="Y720" s="32"/>
      <c r="Z720" s="32"/>
    </row>
    <row r="721" spans="1:26" ht="17.25" customHeight="1">
      <c r="A721" s="3"/>
      <c r="B721" s="3"/>
      <c r="C721" s="3"/>
      <c r="D721" s="3"/>
      <c r="E721" s="3"/>
      <c r="F721" s="3"/>
      <c r="G721" s="3"/>
      <c r="H721" s="3"/>
      <c r="I721" s="3"/>
      <c r="J721" s="3"/>
      <c r="K721" s="3"/>
      <c r="L721" s="4"/>
      <c r="M721" s="32"/>
      <c r="N721" s="32"/>
      <c r="O721" s="32"/>
      <c r="P721" s="32"/>
      <c r="Q721" s="32"/>
      <c r="R721" s="32"/>
      <c r="S721" s="32"/>
      <c r="T721" s="32"/>
      <c r="U721" s="32"/>
      <c r="V721" s="32"/>
      <c r="W721" s="32"/>
      <c r="X721" s="32"/>
      <c r="Y721" s="32"/>
      <c r="Z721" s="32"/>
    </row>
    <row r="722" spans="1:26" ht="17.25" customHeight="1">
      <c r="A722" s="3"/>
      <c r="B722" s="3"/>
      <c r="C722" s="3"/>
      <c r="D722" s="3"/>
      <c r="E722" s="3"/>
      <c r="F722" s="3"/>
      <c r="G722" s="3"/>
      <c r="H722" s="3"/>
      <c r="I722" s="3"/>
      <c r="J722" s="3"/>
      <c r="K722" s="3"/>
      <c r="L722" s="4"/>
      <c r="M722" s="32"/>
      <c r="N722" s="32"/>
      <c r="O722" s="32"/>
      <c r="P722" s="32"/>
      <c r="Q722" s="32"/>
      <c r="R722" s="32"/>
      <c r="S722" s="32"/>
      <c r="T722" s="32"/>
      <c r="U722" s="32"/>
      <c r="V722" s="32"/>
      <c r="W722" s="32"/>
      <c r="X722" s="32"/>
      <c r="Y722" s="32"/>
      <c r="Z722" s="32"/>
    </row>
    <row r="723" spans="1:26" ht="17.25" customHeight="1">
      <c r="A723" s="3"/>
      <c r="B723" s="3"/>
      <c r="C723" s="3"/>
      <c r="D723" s="3"/>
      <c r="E723" s="3"/>
      <c r="F723" s="3"/>
      <c r="G723" s="3"/>
      <c r="H723" s="3"/>
      <c r="I723" s="3"/>
      <c r="J723" s="3"/>
      <c r="K723" s="3"/>
      <c r="L723" s="4"/>
      <c r="M723" s="32"/>
      <c r="N723" s="32"/>
      <c r="O723" s="32"/>
      <c r="P723" s="32"/>
      <c r="Q723" s="32"/>
      <c r="R723" s="32"/>
      <c r="S723" s="32"/>
      <c r="T723" s="32"/>
      <c r="U723" s="32"/>
      <c r="V723" s="32"/>
      <c r="W723" s="32"/>
      <c r="X723" s="32"/>
      <c r="Y723" s="32"/>
      <c r="Z723" s="32"/>
    </row>
    <row r="724" spans="1:26" ht="17.25" customHeight="1">
      <c r="A724" s="3"/>
      <c r="B724" s="3"/>
      <c r="C724" s="3"/>
      <c r="D724" s="3"/>
      <c r="E724" s="3"/>
      <c r="F724" s="3"/>
      <c r="G724" s="3"/>
      <c r="H724" s="3"/>
      <c r="I724" s="3"/>
      <c r="J724" s="3"/>
      <c r="K724" s="3"/>
      <c r="L724" s="4"/>
      <c r="M724" s="32"/>
      <c r="N724" s="32"/>
      <c r="O724" s="32"/>
      <c r="P724" s="32"/>
      <c r="Q724" s="32"/>
      <c r="R724" s="32"/>
      <c r="S724" s="32"/>
      <c r="T724" s="32"/>
      <c r="U724" s="32"/>
      <c r="V724" s="32"/>
      <c r="W724" s="32"/>
      <c r="X724" s="32"/>
      <c r="Y724" s="32"/>
      <c r="Z724" s="32"/>
    </row>
    <row r="725" spans="1:26" ht="17.25" customHeight="1">
      <c r="A725" s="3"/>
      <c r="B725" s="3"/>
      <c r="C725" s="3"/>
      <c r="D725" s="3"/>
      <c r="E725" s="3"/>
      <c r="F725" s="3"/>
      <c r="G725" s="3"/>
      <c r="H725" s="3"/>
      <c r="I725" s="3"/>
      <c r="J725" s="3"/>
      <c r="K725" s="3"/>
      <c r="L725" s="4"/>
      <c r="M725" s="32"/>
      <c r="N725" s="32"/>
      <c r="O725" s="32"/>
      <c r="P725" s="32"/>
      <c r="Q725" s="32"/>
      <c r="R725" s="32"/>
      <c r="S725" s="32"/>
      <c r="T725" s="32"/>
      <c r="U725" s="32"/>
      <c r="V725" s="32"/>
      <c r="W725" s="32"/>
      <c r="X725" s="32"/>
      <c r="Y725" s="32"/>
      <c r="Z725" s="32"/>
    </row>
    <row r="726" spans="1:26" ht="17.25" customHeight="1">
      <c r="A726" s="3"/>
      <c r="B726" s="3"/>
      <c r="C726" s="3"/>
      <c r="D726" s="3"/>
      <c r="E726" s="3"/>
      <c r="F726" s="3"/>
      <c r="G726" s="3"/>
      <c r="H726" s="3"/>
      <c r="I726" s="3"/>
      <c r="J726" s="3"/>
      <c r="K726" s="3"/>
      <c r="L726" s="4"/>
      <c r="M726" s="32"/>
      <c r="N726" s="32"/>
      <c r="O726" s="32"/>
      <c r="P726" s="32"/>
      <c r="Q726" s="32"/>
      <c r="R726" s="32"/>
      <c r="S726" s="32"/>
      <c r="T726" s="32"/>
      <c r="U726" s="32"/>
      <c r="V726" s="32"/>
      <c r="W726" s="32"/>
      <c r="X726" s="32"/>
      <c r="Y726" s="32"/>
      <c r="Z726" s="32"/>
    </row>
    <row r="727" spans="1:26" ht="17.25" customHeight="1">
      <c r="A727" s="3"/>
      <c r="B727" s="3"/>
      <c r="C727" s="3"/>
      <c r="D727" s="3"/>
      <c r="E727" s="3"/>
      <c r="F727" s="3"/>
      <c r="G727" s="3"/>
      <c r="H727" s="3"/>
      <c r="I727" s="3"/>
      <c r="J727" s="3"/>
      <c r="K727" s="3"/>
      <c r="L727" s="4"/>
      <c r="M727" s="32"/>
      <c r="N727" s="32"/>
      <c r="O727" s="32"/>
      <c r="P727" s="32"/>
      <c r="Q727" s="32"/>
      <c r="R727" s="32"/>
      <c r="S727" s="32"/>
      <c r="T727" s="32"/>
      <c r="U727" s="32"/>
      <c r="V727" s="32"/>
      <c r="W727" s="32"/>
      <c r="X727" s="32"/>
      <c r="Y727" s="32"/>
      <c r="Z727" s="32"/>
    </row>
    <row r="728" spans="1:26" ht="17.25" customHeight="1">
      <c r="A728" s="3"/>
      <c r="B728" s="3"/>
      <c r="C728" s="3"/>
      <c r="D728" s="3"/>
      <c r="E728" s="3"/>
      <c r="F728" s="3"/>
      <c r="G728" s="3"/>
      <c r="H728" s="3"/>
      <c r="I728" s="3"/>
      <c r="J728" s="3"/>
      <c r="K728" s="3"/>
      <c r="L728" s="4"/>
      <c r="M728" s="32"/>
      <c r="N728" s="32"/>
      <c r="O728" s="32"/>
      <c r="P728" s="32"/>
      <c r="Q728" s="32"/>
      <c r="R728" s="32"/>
      <c r="S728" s="32"/>
      <c r="T728" s="32"/>
      <c r="U728" s="32"/>
      <c r="V728" s="32"/>
      <c r="W728" s="32"/>
      <c r="X728" s="32"/>
      <c r="Y728" s="32"/>
      <c r="Z728" s="32"/>
    </row>
    <row r="729" spans="1:26" ht="17.25" customHeight="1">
      <c r="A729" s="3"/>
      <c r="B729" s="3"/>
      <c r="C729" s="3"/>
      <c r="D729" s="3"/>
      <c r="E729" s="3"/>
      <c r="F729" s="3"/>
      <c r="G729" s="3"/>
      <c r="H729" s="3"/>
      <c r="I729" s="3"/>
      <c r="J729" s="3"/>
      <c r="K729" s="3"/>
      <c r="L729" s="4"/>
      <c r="M729" s="32"/>
      <c r="N729" s="32"/>
      <c r="O729" s="32"/>
      <c r="P729" s="32"/>
      <c r="Q729" s="32"/>
      <c r="R729" s="32"/>
      <c r="S729" s="32"/>
      <c r="T729" s="32"/>
      <c r="U729" s="32"/>
      <c r="V729" s="32"/>
      <c r="W729" s="32"/>
      <c r="X729" s="32"/>
      <c r="Y729" s="32"/>
      <c r="Z729" s="32"/>
    </row>
    <row r="730" spans="1:26" ht="17.25" customHeight="1">
      <c r="A730" s="3"/>
      <c r="B730" s="3"/>
      <c r="C730" s="3"/>
      <c r="D730" s="3"/>
      <c r="E730" s="3"/>
      <c r="F730" s="3"/>
      <c r="G730" s="3"/>
      <c r="H730" s="3"/>
      <c r="I730" s="3"/>
      <c r="J730" s="3"/>
      <c r="K730" s="3"/>
      <c r="L730" s="4"/>
      <c r="M730" s="32"/>
      <c r="N730" s="32"/>
      <c r="O730" s="32"/>
      <c r="P730" s="32"/>
      <c r="Q730" s="32"/>
      <c r="R730" s="32"/>
      <c r="S730" s="32"/>
      <c r="T730" s="32"/>
      <c r="U730" s="32"/>
      <c r="V730" s="32"/>
      <c r="W730" s="32"/>
      <c r="X730" s="32"/>
      <c r="Y730" s="32"/>
      <c r="Z730" s="32"/>
    </row>
    <row r="731" spans="1:26" ht="17.25" customHeight="1">
      <c r="A731" s="3"/>
      <c r="B731" s="3"/>
      <c r="C731" s="3"/>
      <c r="D731" s="3"/>
      <c r="E731" s="3"/>
      <c r="F731" s="3"/>
      <c r="G731" s="3"/>
      <c r="H731" s="3"/>
      <c r="I731" s="3"/>
      <c r="J731" s="3"/>
      <c r="K731" s="3"/>
      <c r="L731" s="4"/>
      <c r="M731" s="32"/>
      <c r="N731" s="32"/>
      <c r="O731" s="32"/>
      <c r="P731" s="32"/>
      <c r="Q731" s="32"/>
      <c r="R731" s="32"/>
      <c r="S731" s="32"/>
      <c r="T731" s="32"/>
      <c r="U731" s="32"/>
      <c r="V731" s="32"/>
      <c r="W731" s="32"/>
      <c r="X731" s="32"/>
      <c r="Y731" s="32"/>
      <c r="Z731" s="32"/>
    </row>
    <row r="732" spans="1:26" ht="17.25" customHeight="1">
      <c r="A732" s="3"/>
      <c r="B732" s="3"/>
      <c r="C732" s="3"/>
      <c r="D732" s="3"/>
      <c r="E732" s="3"/>
      <c r="F732" s="3"/>
      <c r="G732" s="3"/>
      <c r="H732" s="3"/>
      <c r="I732" s="3"/>
      <c r="J732" s="3"/>
      <c r="K732" s="3"/>
      <c r="L732" s="4"/>
      <c r="M732" s="32"/>
      <c r="N732" s="32"/>
      <c r="O732" s="32"/>
      <c r="P732" s="32"/>
      <c r="Q732" s="32"/>
      <c r="R732" s="32"/>
      <c r="S732" s="32"/>
      <c r="T732" s="32"/>
      <c r="U732" s="32"/>
      <c r="V732" s="32"/>
      <c r="W732" s="32"/>
      <c r="X732" s="32"/>
      <c r="Y732" s="32"/>
      <c r="Z732" s="32"/>
    </row>
    <row r="733" spans="1:26" ht="17.25" customHeight="1">
      <c r="A733" s="3"/>
      <c r="B733" s="3"/>
      <c r="C733" s="3"/>
      <c r="D733" s="3"/>
      <c r="E733" s="3"/>
      <c r="F733" s="3"/>
      <c r="G733" s="3"/>
      <c r="H733" s="3"/>
      <c r="I733" s="3"/>
      <c r="J733" s="3"/>
      <c r="K733" s="3"/>
      <c r="L733" s="4"/>
      <c r="M733" s="32"/>
      <c r="N733" s="32"/>
      <c r="O733" s="32"/>
      <c r="P733" s="32"/>
      <c r="Q733" s="32"/>
      <c r="R733" s="32"/>
      <c r="S733" s="32"/>
      <c r="T733" s="32"/>
      <c r="U733" s="32"/>
      <c r="V733" s="32"/>
      <c r="W733" s="32"/>
      <c r="X733" s="32"/>
      <c r="Y733" s="32"/>
      <c r="Z733" s="32"/>
    </row>
    <row r="734" spans="1:26" ht="17.25" customHeight="1">
      <c r="A734" s="3"/>
      <c r="B734" s="3"/>
      <c r="C734" s="3"/>
      <c r="D734" s="3"/>
      <c r="E734" s="3"/>
      <c r="F734" s="3"/>
      <c r="G734" s="3"/>
      <c r="H734" s="3"/>
      <c r="I734" s="3"/>
      <c r="J734" s="3"/>
      <c r="K734" s="3"/>
      <c r="L734" s="4"/>
      <c r="M734" s="32"/>
      <c r="N734" s="32"/>
      <c r="O734" s="32"/>
      <c r="P734" s="32"/>
      <c r="Q734" s="32"/>
      <c r="R734" s="32"/>
      <c r="S734" s="32"/>
      <c r="T734" s="32"/>
      <c r="U734" s="32"/>
      <c r="V734" s="32"/>
      <c r="W734" s="32"/>
      <c r="X734" s="32"/>
      <c r="Y734" s="32"/>
      <c r="Z734" s="32"/>
    </row>
    <row r="735" spans="1:26" ht="17.25" customHeight="1">
      <c r="A735" s="3"/>
      <c r="B735" s="3"/>
      <c r="C735" s="3"/>
      <c r="D735" s="3"/>
      <c r="E735" s="3"/>
      <c r="F735" s="3"/>
      <c r="G735" s="3"/>
      <c r="H735" s="3"/>
      <c r="I735" s="3"/>
      <c r="J735" s="3"/>
      <c r="K735" s="3"/>
      <c r="L735" s="4"/>
      <c r="M735" s="32"/>
      <c r="N735" s="32"/>
      <c r="O735" s="32"/>
      <c r="P735" s="32"/>
      <c r="Q735" s="32"/>
      <c r="R735" s="32"/>
      <c r="S735" s="32"/>
      <c r="T735" s="32"/>
      <c r="U735" s="32"/>
      <c r="V735" s="32"/>
      <c r="W735" s="32"/>
      <c r="X735" s="32"/>
      <c r="Y735" s="32"/>
      <c r="Z735" s="32"/>
    </row>
    <row r="736" spans="1:26" ht="17.25" customHeight="1">
      <c r="A736" s="3"/>
      <c r="B736" s="3"/>
      <c r="C736" s="3"/>
      <c r="D736" s="3"/>
      <c r="E736" s="3"/>
      <c r="F736" s="3"/>
      <c r="G736" s="3"/>
      <c r="H736" s="3"/>
      <c r="I736" s="3"/>
      <c r="J736" s="3"/>
      <c r="K736" s="3"/>
      <c r="L736" s="4"/>
      <c r="M736" s="32"/>
      <c r="N736" s="32"/>
      <c r="O736" s="32"/>
      <c r="P736" s="32"/>
      <c r="Q736" s="32"/>
      <c r="R736" s="32"/>
      <c r="S736" s="32"/>
      <c r="T736" s="32"/>
      <c r="U736" s="32"/>
      <c r="V736" s="32"/>
      <c r="W736" s="32"/>
      <c r="X736" s="32"/>
      <c r="Y736" s="32"/>
      <c r="Z736" s="32"/>
    </row>
    <row r="737" spans="1:26" ht="17.25" customHeight="1">
      <c r="A737" s="3"/>
      <c r="B737" s="3"/>
      <c r="C737" s="3"/>
      <c r="D737" s="3"/>
      <c r="E737" s="3"/>
      <c r="F737" s="3"/>
      <c r="G737" s="3"/>
      <c r="H737" s="3"/>
      <c r="I737" s="3"/>
      <c r="J737" s="3"/>
      <c r="K737" s="3"/>
      <c r="L737" s="4"/>
      <c r="M737" s="32"/>
      <c r="N737" s="32"/>
      <c r="O737" s="32"/>
      <c r="P737" s="32"/>
      <c r="Q737" s="32"/>
      <c r="R737" s="32"/>
      <c r="S737" s="32"/>
      <c r="T737" s="32"/>
      <c r="U737" s="32"/>
      <c r="V737" s="32"/>
      <c r="W737" s="32"/>
      <c r="X737" s="32"/>
      <c r="Y737" s="32"/>
      <c r="Z737" s="32"/>
    </row>
    <row r="738" spans="1:26" ht="17.25" customHeight="1">
      <c r="A738" s="3"/>
      <c r="B738" s="3"/>
      <c r="C738" s="3"/>
      <c r="D738" s="3"/>
      <c r="E738" s="3"/>
      <c r="F738" s="3"/>
      <c r="G738" s="3"/>
      <c r="H738" s="3"/>
      <c r="I738" s="3"/>
      <c r="J738" s="3"/>
      <c r="K738" s="3"/>
      <c r="L738" s="4"/>
      <c r="M738" s="32"/>
      <c r="N738" s="32"/>
      <c r="O738" s="32"/>
      <c r="P738" s="32"/>
      <c r="Q738" s="32"/>
      <c r="R738" s="32"/>
      <c r="S738" s="32"/>
      <c r="T738" s="32"/>
      <c r="U738" s="32"/>
      <c r="V738" s="32"/>
      <c r="W738" s="32"/>
      <c r="X738" s="32"/>
      <c r="Y738" s="32"/>
      <c r="Z738" s="32"/>
    </row>
    <row r="739" spans="1:26" ht="17.25" customHeight="1">
      <c r="A739" s="3"/>
      <c r="B739" s="3"/>
      <c r="C739" s="3"/>
      <c r="D739" s="3"/>
      <c r="E739" s="3"/>
      <c r="F739" s="3"/>
      <c r="G739" s="3"/>
      <c r="H739" s="3"/>
      <c r="I739" s="3"/>
      <c r="J739" s="3"/>
      <c r="K739" s="3"/>
      <c r="L739" s="4"/>
      <c r="M739" s="32"/>
      <c r="N739" s="32"/>
      <c r="O739" s="32"/>
      <c r="P739" s="32"/>
      <c r="Q739" s="32"/>
      <c r="R739" s="32"/>
      <c r="S739" s="32"/>
      <c r="T739" s="32"/>
      <c r="U739" s="32"/>
      <c r="V739" s="32"/>
      <c r="W739" s="32"/>
      <c r="X739" s="32"/>
      <c r="Y739" s="32"/>
      <c r="Z739" s="32"/>
    </row>
    <row r="740" spans="1:26" ht="17.25" customHeight="1">
      <c r="A740" s="3"/>
      <c r="B740" s="3"/>
      <c r="C740" s="3"/>
      <c r="D740" s="3"/>
      <c r="E740" s="3"/>
      <c r="F740" s="3"/>
      <c r="G740" s="3"/>
      <c r="H740" s="3"/>
      <c r="I740" s="3"/>
      <c r="J740" s="3"/>
      <c r="K740" s="3"/>
      <c r="L740" s="4"/>
      <c r="M740" s="32"/>
      <c r="N740" s="32"/>
      <c r="O740" s="32"/>
      <c r="P740" s="32"/>
      <c r="Q740" s="32"/>
      <c r="R740" s="32"/>
      <c r="S740" s="32"/>
      <c r="T740" s="32"/>
      <c r="U740" s="32"/>
      <c r="V740" s="32"/>
      <c r="W740" s="32"/>
      <c r="X740" s="32"/>
      <c r="Y740" s="32"/>
      <c r="Z740" s="32"/>
    </row>
    <row r="741" spans="1:26" ht="17.25" customHeight="1">
      <c r="A741" s="3"/>
      <c r="B741" s="3"/>
      <c r="C741" s="3"/>
      <c r="D741" s="3"/>
      <c r="E741" s="3"/>
      <c r="F741" s="3"/>
      <c r="G741" s="3"/>
      <c r="H741" s="3"/>
      <c r="I741" s="3"/>
      <c r="J741" s="3"/>
      <c r="K741" s="3"/>
      <c r="L741" s="4"/>
      <c r="M741" s="32"/>
      <c r="N741" s="32"/>
      <c r="O741" s="32"/>
      <c r="P741" s="32"/>
      <c r="Q741" s="32"/>
      <c r="R741" s="32"/>
      <c r="S741" s="32"/>
      <c r="T741" s="32"/>
      <c r="U741" s="32"/>
      <c r="V741" s="32"/>
      <c r="W741" s="32"/>
      <c r="X741" s="32"/>
      <c r="Y741" s="32"/>
      <c r="Z741" s="32"/>
    </row>
    <row r="742" spans="1:26" ht="17.25" customHeight="1">
      <c r="A742" s="3"/>
      <c r="B742" s="3"/>
      <c r="C742" s="3"/>
      <c r="D742" s="3"/>
      <c r="E742" s="3"/>
      <c r="F742" s="3"/>
      <c r="G742" s="3"/>
      <c r="H742" s="3"/>
      <c r="I742" s="3"/>
      <c r="J742" s="3"/>
      <c r="K742" s="3"/>
      <c r="L742" s="4"/>
      <c r="M742" s="32"/>
      <c r="N742" s="32"/>
      <c r="O742" s="32"/>
      <c r="P742" s="32"/>
      <c r="Q742" s="32"/>
      <c r="R742" s="32"/>
      <c r="S742" s="32"/>
      <c r="T742" s="32"/>
      <c r="U742" s="32"/>
      <c r="V742" s="32"/>
      <c r="W742" s="32"/>
      <c r="X742" s="32"/>
      <c r="Y742" s="32"/>
      <c r="Z742" s="32"/>
    </row>
    <row r="743" spans="1:26" ht="17.25" customHeight="1">
      <c r="A743" s="3"/>
      <c r="B743" s="3"/>
      <c r="C743" s="3"/>
      <c r="D743" s="3"/>
      <c r="E743" s="3"/>
      <c r="F743" s="3"/>
      <c r="G743" s="3"/>
      <c r="H743" s="3"/>
      <c r="I743" s="3"/>
      <c r="J743" s="3"/>
      <c r="K743" s="3"/>
      <c r="L743" s="4"/>
      <c r="M743" s="32"/>
      <c r="N743" s="32"/>
      <c r="O743" s="32"/>
      <c r="P743" s="32"/>
      <c r="Q743" s="32"/>
      <c r="R743" s="32"/>
      <c r="S743" s="32"/>
      <c r="T743" s="32"/>
      <c r="U743" s="32"/>
      <c r="V743" s="32"/>
      <c r="W743" s="32"/>
      <c r="X743" s="32"/>
      <c r="Y743" s="32"/>
      <c r="Z743" s="32"/>
    </row>
    <row r="744" spans="1:26" ht="17.25" customHeight="1">
      <c r="A744" s="3"/>
      <c r="B744" s="3"/>
      <c r="C744" s="3"/>
      <c r="D744" s="3"/>
      <c r="E744" s="3"/>
      <c r="F744" s="3"/>
      <c r="G744" s="3"/>
      <c r="H744" s="3"/>
      <c r="I744" s="3"/>
      <c r="J744" s="3"/>
      <c r="K744" s="3"/>
      <c r="L744" s="4"/>
      <c r="M744" s="32"/>
      <c r="N744" s="32"/>
      <c r="O744" s="32"/>
      <c r="P744" s="32"/>
      <c r="Q744" s="32"/>
      <c r="R744" s="32"/>
      <c r="S744" s="32"/>
      <c r="T744" s="32"/>
      <c r="U744" s="32"/>
      <c r="V744" s="32"/>
      <c r="W744" s="32"/>
      <c r="X744" s="32"/>
      <c r="Y744" s="32"/>
      <c r="Z744" s="32"/>
    </row>
    <row r="745" spans="1:26" ht="17.25" customHeight="1">
      <c r="A745" s="3"/>
      <c r="B745" s="3"/>
      <c r="C745" s="3"/>
      <c r="D745" s="3"/>
      <c r="E745" s="3"/>
      <c r="F745" s="3"/>
      <c r="G745" s="3"/>
      <c r="H745" s="3"/>
      <c r="I745" s="3"/>
      <c r="J745" s="3"/>
      <c r="K745" s="3"/>
      <c r="L745" s="4"/>
      <c r="M745" s="32"/>
      <c r="N745" s="32"/>
      <c r="O745" s="32"/>
      <c r="P745" s="32"/>
      <c r="Q745" s="32"/>
      <c r="R745" s="32"/>
      <c r="S745" s="32"/>
      <c r="T745" s="32"/>
      <c r="U745" s="32"/>
      <c r="V745" s="32"/>
      <c r="W745" s="32"/>
      <c r="X745" s="32"/>
      <c r="Y745" s="32"/>
      <c r="Z745" s="32"/>
    </row>
    <row r="746" spans="1:26" ht="17.25" customHeight="1">
      <c r="A746" s="3"/>
      <c r="B746" s="3"/>
      <c r="C746" s="3"/>
      <c r="D746" s="3"/>
      <c r="E746" s="3"/>
      <c r="F746" s="3"/>
      <c r="G746" s="3"/>
      <c r="H746" s="3"/>
      <c r="I746" s="3"/>
      <c r="J746" s="3"/>
      <c r="K746" s="3"/>
      <c r="L746" s="4"/>
      <c r="M746" s="32"/>
      <c r="N746" s="32"/>
      <c r="O746" s="32"/>
      <c r="P746" s="32"/>
      <c r="Q746" s="32"/>
      <c r="R746" s="32"/>
      <c r="S746" s="32"/>
      <c r="T746" s="32"/>
      <c r="U746" s="32"/>
      <c r="V746" s="32"/>
      <c r="W746" s="32"/>
      <c r="X746" s="32"/>
      <c r="Y746" s="32"/>
      <c r="Z746" s="32"/>
    </row>
    <row r="747" spans="1:26" ht="17.25" customHeight="1">
      <c r="A747" s="3"/>
      <c r="B747" s="3"/>
      <c r="C747" s="3"/>
      <c r="D747" s="3"/>
      <c r="E747" s="3"/>
      <c r="F747" s="3"/>
      <c r="G747" s="3"/>
      <c r="H747" s="3"/>
      <c r="I747" s="3"/>
      <c r="J747" s="3"/>
      <c r="K747" s="3"/>
      <c r="L747" s="4"/>
      <c r="M747" s="32"/>
      <c r="N747" s="32"/>
      <c r="O747" s="32"/>
      <c r="P747" s="32"/>
      <c r="Q747" s="32"/>
      <c r="R747" s="32"/>
      <c r="S747" s="32"/>
      <c r="T747" s="32"/>
      <c r="U747" s="32"/>
      <c r="V747" s="32"/>
      <c r="W747" s="32"/>
      <c r="X747" s="32"/>
      <c r="Y747" s="32"/>
      <c r="Z747" s="32"/>
    </row>
    <row r="748" spans="1:26" ht="17.25" customHeight="1">
      <c r="A748" s="3"/>
      <c r="B748" s="3"/>
      <c r="C748" s="3"/>
      <c r="D748" s="3"/>
      <c r="E748" s="3"/>
      <c r="F748" s="3"/>
      <c r="G748" s="3"/>
      <c r="H748" s="3"/>
      <c r="I748" s="3"/>
      <c r="J748" s="3"/>
      <c r="K748" s="3"/>
      <c r="L748" s="4"/>
      <c r="M748" s="32"/>
      <c r="N748" s="32"/>
      <c r="O748" s="32"/>
      <c r="P748" s="32"/>
      <c r="Q748" s="32"/>
      <c r="R748" s="32"/>
      <c r="S748" s="32"/>
      <c r="T748" s="32"/>
      <c r="U748" s="32"/>
      <c r="V748" s="32"/>
      <c r="W748" s="32"/>
      <c r="X748" s="32"/>
      <c r="Y748" s="32"/>
      <c r="Z748" s="32"/>
    </row>
    <row r="749" spans="1:26" ht="17.25" customHeight="1">
      <c r="A749" s="3"/>
      <c r="B749" s="3"/>
      <c r="C749" s="3"/>
      <c r="D749" s="3"/>
      <c r="E749" s="3"/>
      <c r="F749" s="3"/>
      <c r="G749" s="3"/>
      <c r="H749" s="3"/>
      <c r="I749" s="3"/>
      <c r="J749" s="3"/>
      <c r="K749" s="3"/>
      <c r="L749" s="4"/>
      <c r="M749" s="32"/>
      <c r="N749" s="32"/>
      <c r="O749" s="32"/>
      <c r="P749" s="32"/>
      <c r="Q749" s="32"/>
      <c r="R749" s="32"/>
      <c r="S749" s="32"/>
      <c r="T749" s="32"/>
      <c r="U749" s="32"/>
      <c r="V749" s="32"/>
      <c r="W749" s="32"/>
      <c r="X749" s="32"/>
      <c r="Y749" s="32"/>
      <c r="Z749" s="32"/>
    </row>
    <row r="750" spans="1:26" ht="17.25" customHeight="1">
      <c r="A750" s="3"/>
      <c r="B750" s="3"/>
      <c r="C750" s="3"/>
      <c r="D750" s="3"/>
      <c r="E750" s="3"/>
      <c r="F750" s="3"/>
      <c r="G750" s="3"/>
      <c r="H750" s="3"/>
      <c r="I750" s="3"/>
      <c r="J750" s="3"/>
      <c r="K750" s="3"/>
      <c r="L750" s="4"/>
      <c r="M750" s="32"/>
      <c r="N750" s="32"/>
      <c r="O750" s="32"/>
      <c r="P750" s="32"/>
      <c r="Q750" s="32"/>
      <c r="R750" s="32"/>
      <c r="S750" s="32"/>
      <c r="T750" s="32"/>
      <c r="U750" s="32"/>
      <c r="V750" s="32"/>
      <c r="W750" s="32"/>
      <c r="X750" s="32"/>
      <c r="Y750" s="32"/>
      <c r="Z750" s="32"/>
    </row>
    <row r="751" spans="1:26" ht="17.25" customHeight="1">
      <c r="A751" s="3"/>
      <c r="B751" s="3"/>
      <c r="C751" s="3"/>
      <c r="D751" s="3"/>
      <c r="E751" s="3"/>
      <c r="F751" s="3"/>
      <c r="G751" s="3"/>
      <c r="H751" s="3"/>
      <c r="I751" s="3"/>
      <c r="J751" s="3"/>
      <c r="K751" s="3"/>
      <c r="L751" s="4"/>
      <c r="M751" s="32"/>
      <c r="N751" s="32"/>
      <c r="O751" s="32"/>
      <c r="P751" s="32"/>
      <c r="Q751" s="32"/>
      <c r="R751" s="32"/>
      <c r="S751" s="32"/>
      <c r="T751" s="32"/>
      <c r="U751" s="32"/>
      <c r="V751" s="32"/>
      <c r="W751" s="32"/>
      <c r="X751" s="32"/>
      <c r="Y751" s="32"/>
      <c r="Z751" s="32"/>
    </row>
    <row r="752" spans="1:26" ht="17.25" customHeight="1">
      <c r="A752" s="3"/>
      <c r="B752" s="3"/>
      <c r="C752" s="3"/>
      <c r="D752" s="3"/>
      <c r="E752" s="3"/>
      <c r="F752" s="3"/>
      <c r="G752" s="3"/>
      <c r="H752" s="3"/>
      <c r="I752" s="3"/>
      <c r="J752" s="3"/>
      <c r="K752" s="3"/>
      <c r="L752" s="4"/>
      <c r="M752" s="32"/>
      <c r="N752" s="32"/>
      <c r="O752" s="32"/>
      <c r="P752" s="32"/>
      <c r="Q752" s="32"/>
      <c r="R752" s="32"/>
      <c r="S752" s="32"/>
      <c r="T752" s="32"/>
      <c r="U752" s="32"/>
      <c r="V752" s="32"/>
      <c r="W752" s="32"/>
      <c r="X752" s="32"/>
      <c r="Y752" s="32"/>
      <c r="Z752" s="32"/>
    </row>
    <row r="753" spans="1:26" ht="17.25" customHeight="1">
      <c r="A753" s="3"/>
      <c r="B753" s="3"/>
      <c r="C753" s="3"/>
      <c r="D753" s="3"/>
      <c r="E753" s="3"/>
      <c r="F753" s="3"/>
      <c r="G753" s="3"/>
      <c r="H753" s="3"/>
      <c r="I753" s="3"/>
      <c r="J753" s="3"/>
      <c r="K753" s="3"/>
      <c r="L753" s="4"/>
      <c r="M753" s="32"/>
      <c r="N753" s="32"/>
      <c r="O753" s="32"/>
      <c r="P753" s="32"/>
      <c r="Q753" s="32"/>
      <c r="R753" s="32"/>
      <c r="S753" s="32"/>
      <c r="T753" s="32"/>
      <c r="U753" s="32"/>
      <c r="V753" s="32"/>
      <c r="W753" s="32"/>
      <c r="X753" s="32"/>
      <c r="Y753" s="32"/>
      <c r="Z753" s="32"/>
    </row>
    <row r="754" spans="1:26" ht="17.25" customHeight="1">
      <c r="A754" s="3"/>
      <c r="B754" s="3"/>
      <c r="C754" s="3"/>
      <c r="D754" s="3"/>
      <c r="E754" s="3"/>
      <c r="F754" s="3"/>
      <c r="G754" s="3"/>
      <c r="H754" s="3"/>
      <c r="I754" s="3"/>
      <c r="J754" s="3"/>
      <c r="K754" s="3"/>
      <c r="L754" s="4"/>
      <c r="M754" s="32"/>
      <c r="N754" s="32"/>
      <c r="O754" s="32"/>
      <c r="P754" s="32"/>
      <c r="Q754" s="32"/>
      <c r="R754" s="32"/>
      <c r="S754" s="32"/>
      <c r="T754" s="32"/>
      <c r="U754" s="32"/>
      <c r="V754" s="32"/>
      <c r="W754" s="32"/>
      <c r="X754" s="32"/>
      <c r="Y754" s="32"/>
      <c r="Z754" s="32"/>
    </row>
    <row r="755" spans="1:26" ht="17.25" customHeight="1">
      <c r="A755" s="3"/>
      <c r="B755" s="3"/>
      <c r="C755" s="3"/>
      <c r="D755" s="3"/>
      <c r="E755" s="3"/>
      <c r="F755" s="3"/>
      <c r="G755" s="3"/>
      <c r="H755" s="3"/>
      <c r="I755" s="3"/>
      <c r="J755" s="3"/>
      <c r="K755" s="3"/>
      <c r="L755" s="4"/>
      <c r="M755" s="32"/>
      <c r="N755" s="32"/>
      <c r="O755" s="32"/>
      <c r="P755" s="32"/>
      <c r="Q755" s="32"/>
      <c r="R755" s="32"/>
      <c r="S755" s="32"/>
      <c r="T755" s="32"/>
      <c r="U755" s="32"/>
      <c r="V755" s="32"/>
      <c r="W755" s="32"/>
      <c r="X755" s="32"/>
      <c r="Y755" s="32"/>
      <c r="Z755" s="32"/>
    </row>
    <row r="756" spans="1:26" ht="17.25" customHeight="1">
      <c r="A756" s="3"/>
      <c r="B756" s="3"/>
      <c r="C756" s="3"/>
      <c r="D756" s="3"/>
      <c r="E756" s="3"/>
      <c r="F756" s="3"/>
      <c r="G756" s="3"/>
      <c r="H756" s="3"/>
      <c r="I756" s="3"/>
      <c r="J756" s="3"/>
      <c r="K756" s="3"/>
      <c r="L756" s="4"/>
      <c r="M756" s="32"/>
      <c r="N756" s="32"/>
      <c r="O756" s="32"/>
      <c r="P756" s="32"/>
      <c r="Q756" s="32"/>
      <c r="R756" s="32"/>
      <c r="S756" s="32"/>
      <c r="T756" s="32"/>
      <c r="U756" s="32"/>
      <c r="V756" s="32"/>
      <c r="W756" s="32"/>
      <c r="X756" s="32"/>
      <c r="Y756" s="32"/>
      <c r="Z756" s="32"/>
    </row>
    <row r="757" spans="1:26" ht="17.25" customHeight="1">
      <c r="A757" s="3"/>
      <c r="B757" s="3"/>
      <c r="C757" s="3"/>
      <c r="D757" s="3"/>
      <c r="E757" s="3"/>
      <c r="F757" s="3"/>
      <c r="G757" s="3"/>
      <c r="H757" s="3"/>
      <c r="I757" s="3"/>
      <c r="J757" s="3"/>
      <c r="K757" s="3"/>
      <c r="L757" s="4"/>
      <c r="M757" s="32"/>
      <c r="N757" s="32"/>
      <c r="O757" s="32"/>
      <c r="P757" s="32"/>
      <c r="Q757" s="32"/>
      <c r="R757" s="32"/>
      <c r="S757" s="32"/>
      <c r="T757" s="32"/>
      <c r="U757" s="32"/>
      <c r="V757" s="32"/>
      <c r="W757" s="32"/>
      <c r="X757" s="32"/>
      <c r="Y757" s="32"/>
      <c r="Z757" s="32"/>
    </row>
    <row r="758" spans="1:26" ht="17.25" customHeight="1">
      <c r="A758" s="3"/>
      <c r="B758" s="3"/>
      <c r="C758" s="3"/>
      <c r="D758" s="3"/>
      <c r="E758" s="3"/>
      <c r="F758" s="3"/>
      <c r="G758" s="3"/>
      <c r="H758" s="3"/>
      <c r="I758" s="3"/>
      <c r="J758" s="3"/>
      <c r="K758" s="3"/>
      <c r="L758" s="4"/>
      <c r="M758" s="32"/>
      <c r="N758" s="32"/>
      <c r="O758" s="32"/>
      <c r="P758" s="32"/>
      <c r="Q758" s="32"/>
      <c r="R758" s="32"/>
      <c r="S758" s="32"/>
      <c r="T758" s="32"/>
      <c r="U758" s="32"/>
      <c r="V758" s="32"/>
      <c r="W758" s="32"/>
      <c r="X758" s="32"/>
      <c r="Y758" s="32"/>
      <c r="Z758" s="32"/>
    </row>
    <row r="759" spans="1:26" ht="17.25" customHeight="1">
      <c r="A759" s="3"/>
      <c r="B759" s="3"/>
      <c r="C759" s="3"/>
      <c r="D759" s="3"/>
      <c r="E759" s="3"/>
      <c r="F759" s="3"/>
      <c r="G759" s="3"/>
      <c r="H759" s="3"/>
      <c r="I759" s="3"/>
      <c r="J759" s="3"/>
      <c r="K759" s="3"/>
      <c r="L759" s="4"/>
      <c r="M759" s="32"/>
      <c r="N759" s="32"/>
      <c r="O759" s="32"/>
      <c r="P759" s="32"/>
      <c r="Q759" s="32"/>
      <c r="R759" s="32"/>
      <c r="S759" s="32"/>
      <c r="T759" s="32"/>
      <c r="U759" s="32"/>
      <c r="V759" s="32"/>
      <c r="W759" s="32"/>
      <c r="X759" s="32"/>
      <c r="Y759" s="32"/>
      <c r="Z759" s="32"/>
    </row>
    <row r="760" spans="1:26" ht="17.25" customHeight="1">
      <c r="A760" s="3"/>
      <c r="B760" s="3"/>
      <c r="C760" s="3"/>
      <c r="D760" s="3"/>
      <c r="E760" s="3"/>
      <c r="F760" s="3"/>
      <c r="G760" s="3"/>
      <c r="H760" s="3"/>
      <c r="I760" s="3"/>
      <c r="J760" s="3"/>
      <c r="K760" s="3"/>
      <c r="L760" s="4"/>
      <c r="M760" s="32"/>
      <c r="N760" s="32"/>
      <c r="O760" s="32"/>
      <c r="P760" s="32"/>
      <c r="Q760" s="32"/>
      <c r="R760" s="32"/>
      <c r="S760" s="32"/>
      <c r="T760" s="32"/>
      <c r="U760" s="32"/>
      <c r="V760" s="32"/>
      <c r="W760" s="32"/>
      <c r="X760" s="32"/>
      <c r="Y760" s="32"/>
      <c r="Z760" s="32"/>
    </row>
    <row r="761" spans="1:26" ht="17.25" customHeight="1">
      <c r="A761" s="3"/>
      <c r="B761" s="3"/>
      <c r="C761" s="3"/>
      <c r="D761" s="3"/>
      <c r="E761" s="3"/>
      <c r="F761" s="3"/>
      <c r="G761" s="3"/>
      <c r="H761" s="3"/>
      <c r="I761" s="3"/>
      <c r="J761" s="3"/>
      <c r="K761" s="3"/>
      <c r="L761" s="4"/>
      <c r="M761" s="32"/>
      <c r="N761" s="32"/>
      <c r="O761" s="32"/>
      <c r="P761" s="32"/>
      <c r="Q761" s="32"/>
      <c r="R761" s="32"/>
      <c r="S761" s="32"/>
      <c r="T761" s="32"/>
      <c r="U761" s="32"/>
      <c r="V761" s="32"/>
      <c r="W761" s="32"/>
      <c r="X761" s="32"/>
      <c r="Y761" s="32"/>
      <c r="Z761" s="32"/>
    </row>
    <row r="762" spans="1:26" ht="17.25" customHeight="1">
      <c r="A762" s="3"/>
      <c r="B762" s="3"/>
      <c r="C762" s="3"/>
      <c r="D762" s="3"/>
      <c r="E762" s="3"/>
      <c r="F762" s="3"/>
      <c r="G762" s="3"/>
      <c r="H762" s="3"/>
      <c r="I762" s="3"/>
      <c r="J762" s="3"/>
      <c r="K762" s="3"/>
      <c r="L762" s="4"/>
      <c r="M762" s="32"/>
      <c r="N762" s="32"/>
      <c r="O762" s="32"/>
      <c r="P762" s="32"/>
      <c r="Q762" s="32"/>
      <c r="R762" s="32"/>
      <c r="S762" s="32"/>
      <c r="T762" s="32"/>
      <c r="U762" s="32"/>
      <c r="V762" s="32"/>
      <c r="W762" s="32"/>
      <c r="X762" s="32"/>
      <c r="Y762" s="32"/>
      <c r="Z762" s="32"/>
    </row>
    <row r="763" spans="1:26" ht="17.25" customHeight="1">
      <c r="A763" s="3"/>
      <c r="B763" s="3"/>
      <c r="C763" s="3"/>
      <c r="D763" s="3"/>
      <c r="E763" s="3"/>
      <c r="F763" s="3"/>
      <c r="G763" s="3"/>
      <c r="H763" s="3"/>
      <c r="I763" s="3"/>
      <c r="J763" s="3"/>
      <c r="K763" s="3"/>
      <c r="L763" s="4"/>
      <c r="M763" s="32"/>
      <c r="N763" s="32"/>
      <c r="O763" s="32"/>
      <c r="P763" s="32"/>
      <c r="Q763" s="32"/>
      <c r="R763" s="32"/>
      <c r="S763" s="32"/>
      <c r="T763" s="32"/>
      <c r="U763" s="32"/>
      <c r="V763" s="32"/>
      <c r="W763" s="32"/>
      <c r="X763" s="32"/>
      <c r="Y763" s="32"/>
      <c r="Z763" s="32"/>
    </row>
    <row r="764" spans="1:26" ht="17.25" customHeight="1">
      <c r="A764" s="3"/>
      <c r="B764" s="3"/>
      <c r="C764" s="3"/>
      <c r="D764" s="3"/>
      <c r="E764" s="3"/>
      <c r="F764" s="3"/>
      <c r="G764" s="3"/>
      <c r="H764" s="3"/>
      <c r="I764" s="3"/>
      <c r="J764" s="3"/>
      <c r="K764" s="3"/>
      <c r="L764" s="4"/>
      <c r="M764" s="32"/>
      <c r="N764" s="32"/>
      <c r="O764" s="32"/>
      <c r="P764" s="32"/>
      <c r="Q764" s="32"/>
      <c r="R764" s="32"/>
      <c r="S764" s="32"/>
      <c r="T764" s="32"/>
      <c r="U764" s="32"/>
      <c r="V764" s="32"/>
      <c r="W764" s="32"/>
      <c r="X764" s="32"/>
      <c r="Y764" s="32"/>
      <c r="Z764" s="32"/>
    </row>
    <row r="765" spans="1:26" ht="17.25" customHeight="1">
      <c r="A765" s="3"/>
      <c r="B765" s="3"/>
      <c r="C765" s="3"/>
      <c r="D765" s="3"/>
      <c r="E765" s="3"/>
      <c r="F765" s="3"/>
      <c r="G765" s="3"/>
      <c r="H765" s="3"/>
      <c r="I765" s="3"/>
      <c r="J765" s="3"/>
      <c r="K765" s="3"/>
      <c r="L765" s="4"/>
      <c r="M765" s="32"/>
      <c r="N765" s="32"/>
      <c r="O765" s="32"/>
      <c r="P765" s="32"/>
      <c r="Q765" s="32"/>
      <c r="R765" s="32"/>
      <c r="S765" s="32"/>
      <c r="T765" s="32"/>
      <c r="U765" s="32"/>
      <c r="V765" s="32"/>
      <c r="W765" s="32"/>
      <c r="X765" s="32"/>
      <c r="Y765" s="32"/>
      <c r="Z765" s="32"/>
    </row>
    <row r="766" spans="1:26" ht="17.25" customHeight="1">
      <c r="A766" s="3"/>
      <c r="B766" s="3"/>
      <c r="C766" s="3"/>
      <c r="D766" s="3"/>
      <c r="E766" s="3"/>
      <c r="F766" s="3"/>
      <c r="G766" s="3"/>
      <c r="H766" s="3"/>
      <c r="I766" s="3"/>
      <c r="J766" s="3"/>
      <c r="K766" s="3"/>
      <c r="L766" s="4"/>
      <c r="M766" s="32"/>
      <c r="N766" s="32"/>
      <c r="O766" s="32"/>
      <c r="P766" s="32"/>
      <c r="Q766" s="32"/>
      <c r="R766" s="32"/>
      <c r="S766" s="32"/>
      <c r="T766" s="32"/>
      <c r="U766" s="32"/>
      <c r="V766" s="32"/>
      <c r="W766" s="32"/>
      <c r="X766" s="32"/>
      <c r="Y766" s="32"/>
      <c r="Z766" s="32"/>
    </row>
    <row r="767" spans="1:26" ht="17.25" customHeight="1">
      <c r="A767" s="3"/>
      <c r="B767" s="3"/>
      <c r="C767" s="3"/>
      <c r="D767" s="3"/>
      <c r="E767" s="3"/>
      <c r="F767" s="3"/>
      <c r="G767" s="3"/>
      <c r="H767" s="3"/>
      <c r="I767" s="3"/>
      <c r="J767" s="3"/>
      <c r="K767" s="3"/>
      <c r="L767" s="4"/>
      <c r="M767" s="32"/>
      <c r="N767" s="32"/>
      <c r="O767" s="32"/>
      <c r="P767" s="32"/>
      <c r="Q767" s="32"/>
      <c r="R767" s="32"/>
      <c r="S767" s="32"/>
      <c r="T767" s="32"/>
      <c r="U767" s="32"/>
      <c r="V767" s="32"/>
      <c r="W767" s="32"/>
      <c r="X767" s="32"/>
      <c r="Y767" s="32"/>
      <c r="Z767" s="32"/>
    </row>
    <row r="768" spans="1:26" ht="17.25" customHeight="1">
      <c r="A768" s="3"/>
      <c r="B768" s="3"/>
      <c r="C768" s="3"/>
      <c r="D768" s="3"/>
      <c r="E768" s="3"/>
      <c r="F768" s="3"/>
      <c r="G768" s="3"/>
      <c r="H768" s="3"/>
      <c r="I768" s="3"/>
      <c r="J768" s="3"/>
      <c r="K768" s="3"/>
      <c r="L768" s="4"/>
      <c r="M768" s="32"/>
      <c r="N768" s="32"/>
      <c r="O768" s="32"/>
      <c r="P768" s="32"/>
      <c r="Q768" s="32"/>
      <c r="R768" s="32"/>
      <c r="S768" s="32"/>
      <c r="T768" s="32"/>
      <c r="U768" s="32"/>
      <c r="V768" s="32"/>
      <c r="W768" s="32"/>
      <c r="X768" s="32"/>
      <c r="Y768" s="32"/>
      <c r="Z768" s="32"/>
    </row>
    <row r="769" spans="1:26" ht="17.25" customHeight="1">
      <c r="A769" s="3"/>
      <c r="B769" s="3"/>
      <c r="C769" s="3"/>
      <c r="D769" s="3"/>
      <c r="E769" s="3"/>
      <c r="F769" s="3"/>
      <c r="G769" s="3"/>
      <c r="H769" s="3"/>
      <c r="I769" s="3"/>
      <c r="J769" s="3"/>
      <c r="K769" s="3"/>
      <c r="L769" s="4"/>
      <c r="M769" s="32"/>
      <c r="N769" s="32"/>
      <c r="O769" s="32"/>
      <c r="P769" s="32"/>
      <c r="Q769" s="32"/>
      <c r="R769" s="32"/>
      <c r="S769" s="32"/>
      <c r="T769" s="32"/>
      <c r="U769" s="32"/>
      <c r="V769" s="32"/>
      <c r="W769" s="32"/>
      <c r="X769" s="32"/>
      <c r="Y769" s="32"/>
      <c r="Z769" s="32"/>
    </row>
    <row r="770" spans="1:26" ht="17.25" customHeight="1">
      <c r="A770" s="3"/>
      <c r="B770" s="3"/>
      <c r="C770" s="3"/>
      <c r="D770" s="3"/>
      <c r="E770" s="3"/>
      <c r="F770" s="3"/>
      <c r="G770" s="3"/>
      <c r="H770" s="3"/>
      <c r="I770" s="3"/>
      <c r="J770" s="3"/>
      <c r="K770" s="3"/>
      <c r="L770" s="4"/>
      <c r="M770" s="32"/>
      <c r="N770" s="32"/>
      <c r="O770" s="32"/>
      <c r="P770" s="32"/>
      <c r="Q770" s="32"/>
      <c r="R770" s="32"/>
      <c r="S770" s="32"/>
      <c r="T770" s="32"/>
      <c r="U770" s="32"/>
      <c r="V770" s="32"/>
      <c r="W770" s="32"/>
      <c r="X770" s="32"/>
      <c r="Y770" s="32"/>
      <c r="Z770" s="32"/>
    </row>
    <row r="771" spans="1:26" ht="17.25" customHeight="1">
      <c r="A771" s="3"/>
      <c r="B771" s="3"/>
      <c r="C771" s="3"/>
      <c r="D771" s="3"/>
      <c r="E771" s="3"/>
      <c r="F771" s="3"/>
      <c r="G771" s="3"/>
      <c r="H771" s="3"/>
      <c r="I771" s="3"/>
      <c r="J771" s="3"/>
      <c r="K771" s="3"/>
      <c r="L771" s="4"/>
      <c r="M771" s="32"/>
      <c r="N771" s="32"/>
      <c r="O771" s="32"/>
      <c r="P771" s="32"/>
      <c r="Q771" s="32"/>
      <c r="R771" s="32"/>
      <c r="S771" s="32"/>
      <c r="T771" s="32"/>
      <c r="U771" s="32"/>
      <c r="V771" s="32"/>
      <c r="W771" s="32"/>
      <c r="X771" s="32"/>
      <c r="Y771" s="32"/>
      <c r="Z771" s="32"/>
    </row>
    <row r="772" spans="1:26" ht="17.25" customHeight="1">
      <c r="A772" s="3"/>
      <c r="B772" s="3"/>
      <c r="C772" s="3"/>
      <c r="D772" s="3"/>
      <c r="E772" s="3"/>
      <c r="F772" s="3"/>
      <c r="G772" s="3"/>
      <c r="H772" s="3"/>
      <c r="I772" s="3"/>
      <c r="J772" s="3"/>
      <c r="K772" s="3"/>
      <c r="L772" s="4"/>
      <c r="M772" s="32"/>
      <c r="N772" s="32"/>
      <c r="O772" s="32"/>
      <c r="P772" s="32"/>
      <c r="Q772" s="32"/>
      <c r="R772" s="32"/>
      <c r="S772" s="32"/>
      <c r="T772" s="32"/>
      <c r="U772" s="32"/>
      <c r="V772" s="32"/>
      <c r="W772" s="32"/>
      <c r="X772" s="32"/>
      <c r="Y772" s="32"/>
      <c r="Z772" s="32"/>
    </row>
    <row r="773" spans="1:26" ht="17.25" customHeight="1">
      <c r="A773" s="3"/>
      <c r="B773" s="3"/>
      <c r="C773" s="3"/>
      <c r="D773" s="3"/>
      <c r="E773" s="3"/>
      <c r="F773" s="3"/>
      <c r="G773" s="3"/>
      <c r="H773" s="3"/>
      <c r="I773" s="3"/>
      <c r="J773" s="3"/>
      <c r="K773" s="3"/>
      <c r="L773" s="4"/>
      <c r="M773" s="32"/>
      <c r="N773" s="32"/>
      <c r="O773" s="32"/>
      <c r="P773" s="32"/>
      <c r="Q773" s="32"/>
      <c r="R773" s="32"/>
      <c r="S773" s="32"/>
      <c r="T773" s="32"/>
      <c r="U773" s="32"/>
      <c r="V773" s="32"/>
      <c r="W773" s="32"/>
      <c r="X773" s="32"/>
      <c r="Y773" s="32"/>
      <c r="Z773" s="32"/>
    </row>
    <row r="774" spans="1:26" ht="17.25" customHeight="1">
      <c r="A774" s="3"/>
      <c r="B774" s="3"/>
      <c r="C774" s="3"/>
      <c r="D774" s="3"/>
      <c r="E774" s="3"/>
      <c r="F774" s="3"/>
      <c r="G774" s="3"/>
      <c r="H774" s="3"/>
      <c r="I774" s="3"/>
      <c r="J774" s="3"/>
      <c r="K774" s="3"/>
      <c r="L774" s="4"/>
      <c r="M774" s="32"/>
      <c r="N774" s="32"/>
      <c r="O774" s="32"/>
      <c r="P774" s="32"/>
      <c r="Q774" s="32"/>
      <c r="R774" s="32"/>
      <c r="S774" s="32"/>
      <c r="T774" s="32"/>
      <c r="U774" s="32"/>
      <c r="V774" s="32"/>
      <c r="W774" s="32"/>
      <c r="X774" s="32"/>
      <c r="Y774" s="32"/>
      <c r="Z774" s="32"/>
    </row>
    <row r="775" spans="1:26" ht="17.25" customHeight="1">
      <c r="A775" s="3"/>
      <c r="B775" s="3"/>
      <c r="C775" s="3"/>
      <c r="D775" s="3"/>
      <c r="E775" s="3"/>
      <c r="F775" s="3"/>
      <c r="G775" s="3"/>
      <c r="H775" s="3"/>
      <c r="I775" s="3"/>
      <c r="J775" s="3"/>
      <c r="K775" s="3"/>
      <c r="L775" s="4"/>
      <c r="M775" s="32"/>
      <c r="N775" s="32"/>
      <c r="O775" s="32"/>
      <c r="P775" s="32"/>
      <c r="Q775" s="32"/>
      <c r="R775" s="32"/>
      <c r="S775" s="32"/>
      <c r="T775" s="32"/>
      <c r="U775" s="32"/>
      <c r="V775" s="32"/>
      <c r="W775" s="32"/>
      <c r="X775" s="32"/>
      <c r="Y775" s="32"/>
      <c r="Z775" s="32"/>
    </row>
    <row r="776" spans="1:26" ht="17.25" customHeight="1">
      <c r="A776" s="3"/>
      <c r="B776" s="3"/>
      <c r="C776" s="3"/>
      <c r="D776" s="3"/>
      <c r="E776" s="3"/>
      <c r="F776" s="3"/>
      <c r="G776" s="3"/>
      <c r="H776" s="3"/>
      <c r="I776" s="3"/>
      <c r="J776" s="3"/>
      <c r="K776" s="3"/>
      <c r="L776" s="4"/>
      <c r="M776" s="32"/>
      <c r="N776" s="32"/>
      <c r="O776" s="32"/>
      <c r="P776" s="32"/>
      <c r="Q776" s="32"/>
      <c r="R776" s="32"/>
      <c r="S776" s="32"/>
      <c r="T776" s="32"/>
      <c r="U776" s="32"/>
      <c r="V776" s="32"/>
      <c r="W776" s="32"/>
      <c r="X776" s="32"/>
      <c r="Y776" s="32"/>
      <c r="Z776" s="32"/>
    </row>
    <row r="777" spans="1:26" ht="17.25" customHeight="1">
      <c r="A777" s="3"/>
      <c r="B777" s="3"/>
      <c r="C777" s="3"/>
      <c r="D777" s="3"/>
      <c r="E777" s="3"/>
      <c r="F777" s="3"/>
      <c r="G777" s="3"/>
      <c r="H777" s="3"/>
      <c r="I777" s="3"/>
      <c r="J777" s="3"/>
      <c r="K777" s="3"/>
      <c r="L777" s="4"/>
      <c r="M777" s="32"/>
      <c r="N777" s="32"/>
      <c r="O777" s="32"/>
      <c r="P777" s="32"/>
      <c r="Q777" s="32"/>
      <c r="R777" s="32"/>
      <c r="S777" s="32"/>
      <c r="T777" s="32"/>
      <c r="U777" s="32"/>
      <c r="V777" s="32"/>
      <c r="W777" s="32"/>
      <c r="X777" s="32"/>
      <c r="Y777" s="32"/>
      <c r="Z777" s="32"/>
    </row>
    <row r="778" spans="1:26" ht="17.25" customHeight="1">
      <c r="A778" s="3"/>
      <c r="B778" s="3"/>
      <c r="C778" s="3"/>
      <c r="D778" s="3"/>
      <c r="E778" s="3"/>
      <c r="F778" s="3"/>
      <c r="G778" s="3"/>
      <c r="H778" s="3"/>
      <c r="I778" s="3"/>
      <c r="J778" s="3"/>
      <c r="K778" s="3"/>
      <c r="L778" s="4"/>
      <c r="M778" s="32"/>
      <c r="N778" s="32"/>
      <c r="O778" s="32"/>
      <c r="P778" s="32"/>
      <c r="Q778" s="32"/>
      <c r="R778" s="32"/>
      <c r="S778" s="32"/>
      <c r="T778" s="32"/>
      <c r="U778" s="32"/>
      <c r="V778" s="32"/>
      <c r="W778" s="32"/>
      <c r="X778" s="32"/>
      <c r="Y778" s="32"/>
      <c r="Z778" s="32"/>
    </row>
    <row r="779" spans="1:26" ht="17.25" customHeight="1">
      <c r="A779" s="3"/>
      <c r="B779" s="3"/>
      <c r="C779" s="3"/>
      <c r="D779" s="3"/>
      <c r="E779" s="3"/>
      <c r="F779" s="3"/>
      <c r="G779" s="3"/>
      <c r="H779" s="3"/>
      <c r="I779" s="3"/>
      <c r="J779" s="3"/>
      <c r="K779" s="3"/>
      <c r="L779" s="4"/>
      <c r="M779" s="32"/>
      <c r="N779" s="32"/>
      <c r="O779" s="32"/>
      <c r="P779" s="32"/>
      <c r="Q779" s="32"/>
      <c r="R779" s="32"/>
      <c r="S779" s="32"/>
      <c r="T779" s="32"/>
      <c r="U779" s="32"/>
      <c r="V779" s="32"/>
      <c r="W779" s="32"/>
      <c r="X779" s="32"/>
      <c r="Y779" s="32"/>
      <c r="Z779" s="32"/>
    </row>
    <row r="780" spans="1:26" ht="17.25" customHeight="1">
      <c r="A780" s="3"/>
      <c r="B780" s="3"/>
      <c r="C780" s="3"/>
      <c r="D780" s="3"/>
      <c r="E780" s="3"/>
      <c r="F780" s="3"/>
      <c r="G780" s="3"/>
      <c r="H780" s="3"/>
      <c r="I780" s="3"/>
      <c r="J780" s="3"/>
      <c r="K780" s="3"/>
      <c r="L780" s="4"/>
      <c r="M780" s="32"/>
      <c r="N780" s="32"/>
      <c r="O780" s="32"/>
      <c r="P780" s="32"/>
      <c r="Q780" s="32"/>
      <c r="R780" s="32"/>
      <c r="S780" s="32"/>
      <c r="T780" s="32"/>
      <c r="U780" s="32"/>
      <c r="V780" s="32"/>
      <c r="W780" s="32"/>
      <c r="X780" s="32"/>
      <c r="Y780" s="32"/>
      <c r="Z780" s="32"/>
    </row>
    <row r="781" spans="1:26" ht="17.25" customHeight="1">
      <c r="A781" s="3"/>
      <c r="B781" s="3"/>
      <c r="C781" s="3"/>
      <c r="D781" s="3"/>
      <c r="E781" s="3"/>
      <c r="F781" s="3"/>
      <c r="G781" s="3"/>
      <c r="H781" s="3"/>
      <c r="I781" s="3"/>
      <c r="J781" s="3"/>
      <c r="K781" s="3"/>
      <c r="L781" s="4"/>
      <c r="M781" s="32"/>
      <c r="N781" s="32"/>
      <c r="O781" s="32"/>
      <c r="P781" s="32"/>
      <c r="Q781" s="32"/>
      <c r="R781" s="32"/>
      <c r="S781" s="32"/>
      <c r="T781" s="32"/>
      <c r="U781" s="32"/>
      <c r="V781" s="32"/>
      <c r="W781" s="32"/>
      <c r="X781" s="32"/>
      <c r="Y781" s="32"/>
      <c r="Z781" s="32"/>
    </row>
    <row r="782" spans="1:26" ht="17.25" customHeight="1">
      <c r="A782" s="3"/>
      <c r="B782" s="3"/>
      <c r="C782" s="3"/>
      <c r="D782" s="3"/>
      <c r="E782" s="3"/>
      <c r="F782" s="3"/>
      <c r="G782" s="3"/>
      <c r="H782" s="3"/>
      <c r="I782" s="3"/>
      <c r="J782" s="3"/>
      <c r="K782" s="3"/>
      <c r="L782" s="4"/>
      <c r="M782" s="32"/>
      <c r="N782" s="32"/>
      <c r="O782" s="32"/>
      <c r="P782" s="32"/>
      <c r="Q782" s="32"/>
      <c r="R782" s="32"/>
      <c r="S782" s="32"/>
      <c r="T782" s="32"/>
      <c r="U782" s="32"/>
      <c r="V782" s="32"/>
      <c r="W782" s="32"/>
      <c r="X782" s="32"/>
      <c r="Y782" s="32"/>
      <c r="Z782" s="32"/>
    </row>
    <row r="783" spans="1:26" ht="17.25" customHeight="1">
      <c r="A783" s="3"/>
      <c r="B783" s="3"/>
      <c r="C783" s="3"/>
      <c r="D783" s="3"/>
      <c r="E783" s="3"/>
      <c r="F783" s="3"/>
      <c r="G783" s="3"/>
      <c r="H783" s="3"/>
      <c r="I783" s="3"/>
      <c r="J783" s="3"/>
      <c r="K783" s="3"/>
      <c r="L783" s="4"/>
      <c r="M783" s="32"/>
      <c r="N783" s="32"/>
      <c r="O783" s="32"/>
      <c r="P783" s="32"/>
      <c r="Q783" s="32"/>
      <c r="R783" s="32"/>
      <c r="S783" s="32"/>
      <c r="T783" s="32"/>
      <c r="U783" s="32"/>
      <c r="V783" s="32"/>
      <c r="W783" s="32"/>
      <c r="X783" s="32"/>
      <c r="Y783" s="32"/>
      <c r="Z783" s="32"/>
    </row>
    <row r="784" spans="1:26" ht="17.25" customHeight="1">
      <c r="A784" s="3"/>
      <c r="B784" s="3"/>
      <c r="C784" s="3"/>
      <c r="D784" s="3"/>
      <c r="E784" s="3"/>
      <c r="F784" s="3"/>
      <c r="G784" s="3"/>
      <c r="H784" s="3"/>
      <c r="I784" s="3"/>
      <c r="J784" s="3"/>
      <c r="K784" s="3"/>
      <c r="L784" s="4"/>
      <c r="M784" s="32"/>
      <c r="N784" s="32"/>
      <c r="O784" s="32"/>
      <c r="P784" s="32"/>
      <c r="Q784" s="32"/>
      <c r="R784" s="32"/>
      <c r="S784" s="32"/>
      <c r="T784" s="32"/>
      <c r="U784" s="32"/>
      <c r="V784" s="32"/>
      <c r="W784" s="32"/>
      <c r="X784" s="32"/>
      <c r="Y784" s="32"/>
      <c r="Z784" s="32"/>
    </row>
    <row r="785" spans="1:26" ht="17.25" customHeight="1">
      <c r="A785" s="3"/>
      <c r="B785" s="3"/>
      <c r="C785" s="3"/>
      <c r="D785" s="3"/>
      <c r="E785" s="3"/>
      <c r="F785" s="3"/>
      <c r="G785" s="3"/>
      <c r="H785" s="3"/>
      <c r="I785" s="3"/>
      <c r="J785" s="3"/>
      <c r="K785" s="3"/>
      <c r="L785" s="4"/>
      <c r="M785" s="32"/>
      <c r="N785" s="32"/>
      <c r="O785" s="32"/>
      <c r="P785" s="32"/>
      <c r="Q785" s="32"/>
      <c r="R785" s="32"/>
      <c r="S785" s="32"/>
      <c r="T785" s="32"/>
      <c r="U785" s="32"/>
      <c r="V785" s="32"/>
      <c r="W785" s="32"/>
      <c r="X785" s="32"/>
      <c r="Y785" s="32"/>
      <c r="Z785" s="32"/>
    </row>
    <row r="786" spans="1:26" ht="17.25" customHeight="1">
      <c r="A786" s="3"/>
      <c r="B786" s="3"/>
      <c r="C786" s="3"/>
      <c r="D786" s="3"/>
      <c r="E786" s="3"/>
      <c r="F786" s="3"/>
      <c r="G786" s="3"/>
      <c r="H786" s="3"/>
      <c r="I786" s="3"/>
      <c r="J786" s="3"/>
      <c r="K786" s="3"/>
      <c r="L786" s="4"/>
      <c r="M786" s="32"/>
      <c r="N786" s="32"/>
      <c r="O786" s="32"/>
      <c r="P786" s="32"/>
      <c r="Q786" s="32"/>
      <c r="R786" s="32"/>
      <c r="S786" s="32"/>
      <c r="T786" s="32"/>
      <c r="U786" s="32"/>
      <c r="V786" s="32"/>
      <c r="W786" s="32"/>
      <c r="X786" s="32"/>
      <c r="Y786" s="32"/>
      <c r="Z786" s="32"/>
    </row>
    <row r="787" spans="1:26" ht="17.25" customHeight="1">
      <c r="A787" s="3"/>
      <c r="B787" s="3"/>
      <c r="C787" s="3"/>
      <c r="D787" s="3"/>
      <c r="E787" s="3"/>
      <c r="F787" s="3"/>
      <c r="G787" s="3"/>
      <c r="H787" s="3"/>
      <c r="I787" s="3"/>
      <c r="J787" s="3"/>
      <c r="K787" s="3"/>
      <c r="L787" s="4"/>
      <c r="M787" s="32"/>
      <c r="N787" s="32"/>
      <c r="O787" s="32"/>
      <c r="P787" s="32"/>
      <c r="Q787" s="32"/>
      <c r="R787" s="32"/>
      <c r="S787" s="32"/>
      <c r="T787" s="32"/>
      <c r="U787" s="32"/>
      <c r="V787" s="32"/>
      <c r="W787" s="32"/>
      <c r="X787" s="32"/>
      <c r="Y787" s="32"/>
      <c r="Z787" s="32"/>
    </row>
    <row r="788" spans="1:26" ht="17.25" customHeight="1">
      <c r="A788" s="3"/>
      <c r="B788" s="3"/>
      <c r="C788" s="3"/>
      <c r="D788" s="3"/>
      <c r="E788" s="3"/>
      <c r="F788" s="3"/>
      <c r="G788" s="3"/>
      <c r="H788" s="3"/>
      <c r="I788" s="3"/>
      <c r="J788" s="3"/>
      <c r="K788" s="3"/>
      <c r="L788" s="4"/>
      <c r="M788" s="32"/>
      <c r="N788" s="32"/>
      <c r="O788" s="32"/>
      <c r="P788" s="32"/>
      <c r="Q788" s="32"/>
      <c r="R788" s="32"/>
      <c r="S788" s="32"/>
      <c r="T788" s="32"/>
      <c r="U788" s="32"/>
      <c r="V788" s="32"/>
      <c r="W788" s="32"/>
      <c r="X788" s="32"/>
      <c r="Y788" s="32"/>
      <c r="Z788" s="32"/>
    </row>
    <row r="789" spans="1:26" ht="17.25" customHeight="1">
      <c r="A789" s="3"/>
      <c r="B789" s="3"/>
      <c r="C789" s="3"/>
      <c r="D789" s="3"/>
      <c r="E789" s="3"/>
      <c r="F789" s="3"/>
      <c r="G789" s="3"/>
      <c r="H789" s="3"/>
      <c r="I789" s="3"/>
      <c r="J789" s="3"/>
      <c r="K789" s="3"/>
      <c r="L789" s="4"/>
      <c r="M789" s="32"/>
      <c r="N789" s="32"/>
      <c r="O789" s="32"/>
      <c r="P789" s="32"/>
      <c r="Q789" s="32"/>
      <c r="R789" s="32"/>
      <c r="S789" s="32"/>
      <c r="T789" s="32"/>
      <c r="U789" s="32"/>
      <c r="V789" s="32"/>
      <c r="W789" s="32"/>
      <c r="X789" s="32"/>
      <c r="Y789" s="32"/>
      <c r="Z789" s="32"/>
    </row>
    <row r="790" spans="1:26" ht="17.25" customHeight="1">
      <c r="A790" s="3"/>
      <c r="B790" s="3"/>
      <c r="C790" s="3"/>
      <c r="D790" s="3"/>
      <c r="E790" s="3"/>
      <c r="F790" s="3"/>
      <c r="G790" s="3"/>
      <c r="H790" s="3"/>
      <c r="I790" s="3"/>
      <c r="J790" s="3"/>
      <c r="K790" s="3"/>
      <c r="L790" s="4"/>
      <c r="M790" s="32"/>
      <c r="N790" s="32"/>
      <c r="O790" s="32"/>
      <c r="P790" s="32"/>
      <c r="Q790" s="32"/>
      <c r="R790" s="32"/>
      <c r="S790" s="32"/>
      <c r="T790" s="32"/>
      <c r="U790" s="32"/>
      <c r="V790" s="32"/>
      <c r="W790" s="32"/>
      <c r="X790" s="32"/>
      <c r="Y790" s="32"/>
      <c r="Z790" s="32"/>
    </row>
    <row r="791" spans="1:26" ht="17.25" customHeight="1">
      <c r="A791" s="3"/>
      <c r="B791" s="3"/>
      <c r="C791" s="3"/>
      <c r="D791" s="3"/>
      <c r="E791" s="3"/>
      <c r="F791" s="3"/>
      <c r="G791" s="3"/>
      <c r="H791" s="3"/>
      <c r="I791" s="3"/>
      <c r="J791" s="3"/>
      <c r="K791" s="3"/>
      <c r="L791" s="4"/>
      <c r="M791" s="32"/>
      <c r="N791" s="32"/>
      <c r="O791" s="32"/>
      <c r="P791" s="32"/>
      <c r="Q791" s="32"/>
      <c r="R791" s="32"/>
      <c r="S791" s="32"/>
      <c r="T791" s="32"/>
      <c r="U791" s="32"/>
      <c r="V791" s="32"/>
      <c r="W791" s="32"/>
      <c r="X791" s="32"/>
      <c r="Y791" s="32"/>
      <c r="Z791" s="32"/>
    </row>
    <row r="792" spans="1:26" ht="17.25" customHeight="1">
      <c r="A792" s="3"/>
      <c r="B792" s="3"/>
      <c r="C792" s="3"/>
      <c r="D792" s="3"/>
      <c r="E792" s="3"/>
      <c r="F792" s="3"/>
      <c r="G792" s="3"/>
      <c r="H792" s="3"/>
      <c r="I792" s="3"/>
      <c r="J792" s="3"/>
      <c r="K792" s="3"/>
      <c r="L792" s="4"/>
      <c r="M792" s="32"/>
      <c r="N792" s="32"/>
      <c r="O792" s="32"/>
      <c r="P792" s="32"/>
      <c r="Q792" s="32"/>
      <c r="R792" s="32"/>
      <c r="S792" s="32"/>
      <c r="T792" s="32"/>
      <c r="U792" s="32"/>
      <c r="V792" s="32"/>
      <c r="W792" s="32"/>
      <c r="X792" s="32"/>
      <c r="Y792" s="32"/>
      <c r="Z792" s="32"/>
    </row>
    <row r="793" spans="1:26" ht="17.25" customHeight="1">
      <c r="A793" s="3"/>
      <c r="B793" s="3"/>
      <c r="C793" s="3"/>
      <c r="D793" s="3"/>
      <c r="E793" s="3"/>
      <c r="F793" s="3"/>
      <c r="G793" s="3"/>
      <c r="H793" s="3"/>
      <c r="I793" s="3"/>
      <c r="J793" s="3"/>
      <c r="K793" s="3"/>
      <c r="L793" s="4"/>
      <c r="M793" s="32"/>
      <c r="N793" s="32"/>
      <c r="O793" s="32"/>
      <c r="P793" s="32"/>
      <c r="Q793" s="32"/>
      <c r="R793" s="32"/>
      <c r="S793" s="32"/>
      <c r="T793" s="32"/>
      <c r="U793" s="32"/>
      <c r="V793" s="32"/>
      <c r="W793" s="32"/>
      <c r="X793" s="32"/>
      <c r="Y793" s="32"/>
      <c r="Z793" s="32"/>
    </row>
    <row r="794" spans="1:26" ht="17.25" customHeight="1">
      <c r="A794" s="3"/>
      <c r="B794" s="3"/>
      <c r="C794" s="3"/>
      <c r="D794" s="3"/>
      <c r="E794" s="3"/>
      <c r="F794" s="3"/>
      <c r="G794" s="3"/>
      <c r="H794" s="3"/>
      <c r="I794" s="3"/>
      <c r="J794" s="3"/>
      <c r="K794" s="3"/>
      <c r="L794" s="4"/>
      <c r="M794" s="32"/>
      <c r="N794" s="32"/>
      <c r="O794" s="32"/>
      <c r="P794" s="32"/>
      <c r="Q794" s="32"/>
      <c r="R794" s="32"/>
      <c r="S794" s="32"/>
      <c r="T794" s="32"/>
      <c r="U794" s="32"/>
      <c r="V794" s="32"/>
      <c r="W794" s="32"/>
      <c r="X794" s="32"/>
      <c r="Y794" s="32"/>
      <c r="Z794" s="32"/>
    </row>
    <row r="795" spans="1:26" ht="17.25" customHeight="1">
      <c r="A795" s="3"/>
      <c r="B795" s="3"/>
      <c r="C795" s="3"/>
      <c r="D795" s="3"/>
      <c r="E795" s="3"/>
      <c r="F795" s="3"/>
      <c r="G795" s="3"/>
      <c r="H795" s="3"/>
      <c r="I795" s="3"/>
      <c r="J795" s="3"/>
      <c r="K795" s="3"/>
      <c r="L795" s="4"/>
      <c r="M795" s="32"/>
      <c r="N795" s="32"/>
      <c r="O795" s="32"/>
      <c r="P795" s="32"/>
      <c r="Q795" s="32"/>
      <c r="R795" s="32"/>
      <c r="S795" s="32"/>
      <c r="T795" s="32"/>
      <c r="U795" s="32"/>
      <c r="V795" s="32"/>
      <c r="W795" s="32"/>
      <c r="X795" s="32"/>
      <c r="Y795" s="32"/>
      <c r="Z795" s="32"/>
    </row>
    <row r="796" spans="1:26" ht="17.25" customHeight="1">
      <c r="A796" s="3"/>
      <c r="B796" s="3"/>
      <c r="C796" s="3"/>
      <c r="D796" s="3"/>
      <c r="E796" s="3"/>
      <c r="F796" s="3"/>
      <c r="G796" s="3"/>
      <c r="H796" s="3"/>
      <c r="I796" s="3"/>
      <c r="J796" s="3"/>
      <c r="K796" s="3"/>
      <c r="L796" s="4"/>
      <c r="M796" s="32"/>
      <c r="N796" s="32"/>
      <c r="O796" s="32"/>
      <c r="P796" s="32"/>
      <c r="Q796" s="32"/>
      <c r="R796" s="32"/>
      <c r="S796" s="32"/>
      <c r="T796" s="32"/>
      <c r="U796" s="32"/>
      <c r="V796" s="32"/>
      <c r="W796" s="32"/>
      <c r="X796" s="32"/>
      <c r="Y796" s="32"/>
      <c r="Z796" s="32"/>
    </row>
    <row r="797" spans="1:26" ht="17.25" customHeight="1">
      <c r="A797" s="3"/>
      <c r="B797" s="3"/>
      <c r="C797" s="3"/>
      <c r="D797" s="3"/>
      <c r="E797" s="3"/>
      <c r="F797" s="3"/>
      <c r="G797" s="3"/>
      <c r="H797" s="3"/>
      <c r="I797" s="3"/>
      <c r="J797" s="3"/>
      <c r="K797" s="3"/>
      <c r="L797" s="4"/>
      <c r="M797" s="32"/>
      <c r="N797" s="32"/>
      <c r="O797" s="32"/>
      <c r="P797" s="32"/>
      <c r="Q797" s="32"/>
      <c r="R797" s="32"/>
      <c r="S797" s="32"/>
      <c r="T797" s="32"/>
      <c r="U797" s="32"/>
      <c r="V797" s="32"/>
      <c r="W797" s="32"/>
      <c r="X797" s="32"/>
      <c r="Y797" s="32"/>
      <c r="Z797" s="32"/>
    </row>
    <row r="798" spans="1:26" ht="17.25" customHeight="1">
      <c r="A798" s="3"/>
      <c r="B798" s="3"/>
      <c r="C798" s="3"/>
      <c r="D798" s="3"/>
      <c r="E798" s="3"/>
      <c r="F798" s="3"/>
      <c r="G798" s="3"/>
      <c r="H798" s="3"/>
      <c r="I798" s="3"/>
      <c r="J798" s="3"/>
      <c r="K798" s="3"/>
      <c r="L798" s="4"/>
      <c r="M798" s="32"/>
      <c r="N798" s="32"/>
      <c r="O798" s="32"/>
      <c r="P798" s="32"/>
      <c r="Q798" s="32"/>
      <c r="R798" s="32"/>
      <c r="S798" s="32"/>
      <c r="T798" s="32"/>
      <c r="U798" s="32"/>
      <c r="V798" s="32"/>
      <c r="W798" s="32"/>
      <c r="X798" s="32"/>
      <c r="Y798" s="32"/>
      <c r="Z798" s="32"/>
    </row>
    <row r="799" spans="1:26" ht="17.25" customHeight="1">
      <c r="A799" s="3"/>
      <c r="B799" s="3"/>
      <c r="C799" s="3"/>
      <c r="D799" s="3"/>
      <c r="E799" s="3"/>
      <c r="F799" s="3"/>
      <c r="G799" s="3"/>
      <c r="H799" s="3"/>
      <c r="I799" s="3"/>
      <c r="J799" s="3"/>
      <c r="K799" s="3"/>
      <c r="L799" s="4"/>
      <c r="M799" s="32"/>
      <c r="N799" s="32"/>
      <c r="O799" s="32"/>
      <c r="P799" s="32"/>
      <c r="Q799" s="32"/>
      <c r="R799" s="32"/>
      <c r="S799" s="32"/>
      <c r="T799" s="32"/>
      <c r="U799" s="32"/>
      <c r="V799" s="32"/>
      <c r="W799" s="32"/>
      <c r="X799" s="32"/>
      <c r="Y799" s="32"/>
      <c r="Z799" s="32"/>
    </row>
    <row r="800" spans="1:26" ht="17.25" customHeight="1">
      <c r="A800" s="3"/>
      <c r="B800" s="3"/>
      <c r="C800" s="3"/>
      <c r="D800" s="3"/>
      <c r="E800" s="3"/>
      <c r="F800" s="3"/>
      <c r="G800" s="3"/>
      <c r="H800" s="3"/>
      <c r="I800" s="3"/>
      <c r="J800" s="3"/>
      <c r="K800" s="3"/>
      <c r="L800" s="4"/>
      <c r="M800" s="32"/>
      <c r="N800" s="32"/>
      <c r="O800" s="32"/>
      <c r="P800" s="32"/>
      <c r="Q800" s="32"/>
      <c r="R800" s="32"/>
      <c r="S800" s="32"/>
      <c r="T800" s="32"/>
      <c r="U800" s="32"/>
      <c r="V800" s="32"/>
      <c r="W800" s="32"/>
      <c r="X800" s="32"/>
      <c r="Y800" s="32"/>
      <c r="Z800" s="32"/>
    </row>
    <row r="801" spans="1:26" ht="17.25" customHeight="1">
      <c r="A801" s="3"/>
      <c r="B801" s="3"/>
      <c r="C801" s="3"/>
      <c r="D801" s="3"/>
      <c r="E801" s="3"/>
      <c r="F801" s="3"/>
      <c r="G801" s="3"/>
      <c r="H801" s="3"/>
      <c r="I801" s="3"/>
      <c r="J801" s="3"/>
      <c r="K801" s="3"/>
      <c r="L801" s="4"/>
      <c r="M801" s="32"/>
      <c r="N801" s="32"/>
      <c r="O801" s="32"/>
      <c r="P801" s="32"/>
      <c r="Q801" s="32"/>
      <c r="R801" s="32"/>
      <c r="S801" s="32"/>
      <c r="T801" s="32"/>
      <c r="U801" s="32"/>
      <c r="V801" s="32"/>
      <c r="W801" s="32"/>
      <c r="X801" s="32"/>
      <c r="Y801" s="32"/>
      <c r="Z801" s="32"/>
    </row>
    <row r="802" spans="1:26" ht="17.25" customHeight="1">
      <c r="A802" s="3"/>
      <c r="B802" s="3"/>
      <c r="C802" s="3"/>
      <c r="D802" s="3"/>
      <c r="E802" s="3"/>
      <c r="F802" s="3"/>
      <c r="G802" s="3"/>
      <c r="H802" s="3"/>
      <c r="I802" s="3"/>
      <c r="J802" s="3"/>
      <c r="K802" s="3"/>
      <c r="L802" s="4"/>
      <c r="M802" s="32"/>
      <c r="N802" s="32"/>
      <c r="O802" s="32"/>
      <c r="P802" s="32"/>
      <c r="Q802" s="32"/>
      <c r="R802" s="32"/>
      <c r="S802" s="32"/>
      <c r="T802" s="32"/>
      <c r="U802" s="32"/>
      <c r="V802" s="32"/>
      <c r="W802" s="32"/>
      <c r="X802" s="32"/>
      <c r="Y802" s="32"/>
      <c r="Z802" s="32"/>
    </row>
    <row r="803" spans="1:26" ht="17.25" customHeight="1">
      <c r="A803" s="3"/>
      <c r="B803" s="3"/>
      <c r="C803" s="3"/>
      <c r="D803" s="3"/>
      <c r="E803" s="3"/>
      <c r="F803" s="3"/>
      <c r="G803" s="3"/>
      <c r="H803" s="3"/>
      <c r="I803" s="3"/>
      <c r="J803" s="3"/>
      <c r="K803" s="3"/>
      <c r="L803" s="4"/>
      <c r="M803" s="32"/>
      <c r="N803" s="32"/>
      <c r="O803" s="32"/>
      <c r="P803" s="32"/>
      <c r="Q803" s="32"/>
      <c r="R803" s="32"/>
      <c r="S803" s="32"/>
      <c r="T803" s="32"/>
      <c r="U803" s="32"/>
      <c r="V803" s="32"/>
      <c r="W803" s="32"/>
      <c r="X803" s="32"/>
      <c r="Y803" s="32"/>
      <c r="Z803" s="32"/>
    </row>
    <row r="804" spans="1:26" ht="17.25" customHeight="1">
      <c r="A804" s="3"/>
      <c r="B804" s="3"/>
      <c r="C804" s="3"/>
      <c r="D804" s="3"/>
      <c r="E804" s="3"/>
      <c r="F804" s="3"/>
      <c r="G804" s="3"/>
      <c r="H804" s="3"/>
      <c r="I804" s="3"/>
      <c r="J804" s="3"/>
      <c r="K804" s="3"/>
      <c r="L804" s="4"/>
      <c r="M804" s="32"/>
      <c r="N804" s="32"/>
      <c r="O804" s="32"/>
      <c r="P804" s="32"/>
      <c r="Q804" s="32"/>
      <c r="R804" s="32"/>
      <c r="S804" s="32"/>
      <c r="T804" s="32"/>
      <c r="U804" s="32"/>
      <c r="V804" s="32"/>
      <c r="W804" s="32"/>
      <c r="X804" s="32"/>
      <c r="Y804" s="32"/>
      <c r="Z804" s="32"/>
    </row>
    <row r="805" spans="1:26" ht="17.25" customHeight="1">
      <c r="A805" s="3"/>
      <c r="B805" s="3"/>
      <c r="C805" s="3"/>
      <c r="D805" s="3"/>
      <c r="E805" s="3"/>
      <c r="F805" s="3"/>
      <c r="G805" s="3"/>
      <c r="H805" s="3"/>
      <c r="I805" s="3"/>
      <c r="J805" s="3"/>
      <c r="K805" s="3"/>
      <c r="L805" s="4"/>
      <c r="M805" s="32"/>
      <c r="N805" s="32"/>
      <c r="O805" s="32"/>
      <c r="P805" s="32"/>
      <c r="Q805" s="32"/>
      <c r="R805" s="32"/>
      <c r="S805" s="32"/>
      <c r="T805" s="32"/>
      <c r="U805" s="32"/>
      <c r="V805" s="32"/>
      <c r="W805" s="32"/>
      <c r="X805" s="32"/>
      <c r="Y805" s="32"/>
      <c r="Z805" s="32"/>
    </row>
    <row r="806" spans="1:26" ht="17.25" customHeight="1">
      <c r="A806" s="3"/>
      <c r="B806" s="3"/>
      <c r="C806" s="3"/>
      <c r="D806" s="3"/>
      <c r="E806" s="3"/>
      <c r="F806" s="3"/>
      <c r="G806" s="3"/>
      <c r="H806" s="3"/>
      <c r="I806" s="3"/>
      <c r="J806" s="3"/>
      <c r="K806" s="3"/>
      <c r="L806" s="4"/>
      <c r="M806" s="32"/>
      <c r="N806" s="32"/>
      <c r="O806" s="32"/>
      <c r="P806" s="32"/>
      <c r="Q806" s="32"/>
      <c r="R806" s="32"/>
      <c r="S806" s="32"/>
      <c r="T806" s="32"/>
      <c r="U806" s="32"/>
      <c r="V806" s="32"/>
      <c r="W806" s="32"/>
      <c r="X806" s="32"/>
      <c r="Y806" s="32"/>
      <c r="Z806" s="32"/>
    </row>
    <row r="807" spans="1:26" ht="17.25" customHeight="1">
      <c r="A807" s="3"/>
      <c r="B807" s="3"/>
      <c r="C807" s="3"/>
      <c r="D807" s="3"/>
      <c r="E807" s="3"/>
      <c r="F807" s="3"/>
      <c r="G807" s="3"/>
      <c r="H807" s="3"/>
      <c r="I807" s="3"/>
      <c r="J807" s="3"/>
      <c r="K807" s="3"/>
      <c r="L807" s="4"/>
      <c r="M807" s="32"/>
      <c r="N807" s="32"/>
      <c r="O807" s="32"/>
      <c r="P807" s="32"/>
      <c r="Q807" s="32"/>
      <c r="R807" s="32"/>
      <c r="S807" s="32"/>
      <c r="T807" s="32"/>
      <c r="U807" s="32"/>
      <c r="V807" s="32"/>
      <c r="W807" s="32"/>
      <c r="X807" s="32"/>
      <c r="Y807" s="32"/>
      <c r="Z807" s="32"/>
    </row>
    <row r="808" spans="1:26" ht="17.25" customHeight="1">
      <c r="A808" s="3"/>
      <c r="B808" s="3"/>
      <c r="C808" s="3"/>
      <c r="D808" s="3"/>
      <c r="E808" s="3"/>
      <c r="F808" s="3"/>
      <c r="G808" s="3"/>
      <c r="H808" s="3"/>
      <c r="I808" s="3"/>
      <c r="J808" s="3"/>
      <c r="K808" s="3"/>
      <c r="L808" s="4"/>
      <c r="M808" s="32"/>
      <c r="N808" s="32"/>
      <c r="O808" s="32"/>
      <c r="P808" s="32"/>
      <c r="Q808" s="32"/>
      <c r="R808" s="32"/>
      <c r="S808" s="32"/>
      <c r="T808" s="32"/>
      <c r="U808" s="32"/>
      <c r="V808" s="32"/>
      <c r="W808" s="32"/>
      <c r="X808" s="32"/>
      <c r="Y808" s="32"/>
      <c r="Z808" s="32"/>
    </row>
    <row r="809" spans="1:26" ht="17.25" customHeight="1">
      <c r="A809" s="3"/>
      <c r="B809" s="3"/>
      <c r="C809" s="3"/>
      <c r="D809" s="3"/>
      <c r="E809" s="3"/>
      <c r="F809" s="3"/>
      <c r="G809" s="3"/>
      <c r="H809" s="3"/>
      <c r="I809" s="3"/>
      <c r="J809" s="3"/>
      <c r="K809" s="3"/>
      <c r="L809" s="4"/>
      <c r="M809" s="32"/>
      <c r="N809" s="32"/>
      <c r="O809" s="32"/>
      <c r="P809" s="32"/>
      <c r="Q809" s="32"/>
      <c r="R809" s="32"/>
      <c r="S809" s="32"/>
      <c r="T809" s="32"/>
      <c r="U809" s="32"/>
      <c r="V809" s="32"/>
      <c r="W809" s="32"/>
      <c r="X809" s="32"/>
      <c r="Y809" s="32"/>
      <c r="Z809" s="32"/>
    </row>
    <row r="810" spans="1:26" ht="17.25" customHeight="1">
      <c r="A810" s="3"/>
      <c r="B810" s="3"/>
      <c r="C810" s="3"/>
      <c r="D810" s="3"/>
      <c r="E810" s="3"/>
      <c r="F810" s="3"/>
      <c r="G810" s="3"/>
      <c r="H810" s="3"/>
      <c r="I810" s="3"/>
      <c r="J810" s="3"/>
      <c r="K810" s="3"/>
      <c r="L810" s="4"/>
      <c r="M810" s="32"/>
      <c r="N810" s="32"/>
      <c r="O810" s="32"/>
      <c r="P810" s="32"/>
      <c r="Q810" s="32"/>
      <c r="R810" s="32"/>
      <c r="S810" s="32"/>
      <c r="T810" s="32"/>
      <c r="U810" s="32"/>
      <c r="V810" s="32"/>
      <c r="W810" s="32"/>
      <c r="X810" s="32"/>
      <c r="Y810" s="32"/>
      <c r="Z810" s="32"/>
    </row>
    <row r="811" spans="1:26" ht="17.25" customHeight="1">
      <c r="A811" s="3"/>
      <c r="B811" s="3"/>
      <c r="C811" s="3"/>
      <c r="D811" s="3"/>
      <c r="E811" s="3"/>
      <c r="F811" s="3"/>
      <c r="G811" s="3"/>
      <c r="H811" s="3"/>
      <c r="I811" s="3"/>
      <c r="J811" s="3"/>
      <c r="K811" s="3"/>
      <c r="L811" s="4"/>
      <c r="M811" s="32"/>
      <c r="N811" s="32"/>
      <c r="O811" s="32"/>
      <c r="P811" s="32"/>
      <c r="Q811" s="32"/>
      <c r="R811" s="32"/>
      <c r="S811" s="32"/>
      <c r="T811" s="32"/>
      <c r="U811" s="32"/>
      <c r="V811" s="32"/>
      <c r="W811" s="32"/>
      <c r="X811" s="32"/>
      <c r="Y811" s="32"/>
      <c r="Z811" s="32"/>
    </row>
    <row r="812" spans="1:26" ht="17.25" customHeight="1">
      <c r="A812" s="3"/>
      <c r="B812" s="3"/>
      <c r="C812" s="3"/>
      <c r="D812" s="3"/>
      <c r="E812" s="3"/>
      <c r="F812" s="3"/>
      <c r="G812" s="3"/>
      <c r="H812" s="3"/>
      <c r="I812" s="3"/>
      <c r="J812" s="3"/>
      <c r="K812" s="3"/>
      <c r="L812" s="4"/>
      <c r="M812" s="32"/>
      <c r="N812" s="32"/>
      <c r="O812" s="32"/>
      <c r="P812" s="32"/>
      <c r="Q812" s="32"/>
      <c r="R812" s="32"/>
      <c r="S812" s="32"/>
      <c r="T812" s="32"/>
      <c r="U812" s="32"/>
      <c r="V812" s="32"/>
      <c r="W812" s="32"/>
      <c r="X812" s="32"/>
      <c r="Y812" s="32"/>
      <c r="Z812" s="32"/>
    </row>
    <row r="813" spans="1:26" ht="17.25" customHeight="1">
      <c r="A813" s="3"/>
      <c r="B813" s="3"/>
      <c r="C813" s="3"/>
      <c r="D813" s="3"/>
      <c r="E813" s="3"/>
      <c r="F813" s="3"/>
      <c r="G813" s="3"/>
      <c r="H813" s="3"/>
      <c r="I813" s="3"/>
      <c r="J813" s="3"/>
      <c r="K813" s="3"/>
      <c r="L813" s="4"/>
      <c r="M813" s="32"/>
      <c r="N813" s="32"/>
      <c r="O813" s="32"/>
      <c r="P813" s="32"/>
      <c r="Q813" s="32"/>
      <c r="R813" s="32"/>
      <c r="S813" s="32"/>
      <c r="T813" s="32"/>
      <c r="U813" s="32"/>
      <c r="V813" s="32"/>
      <c r="W813" s="32"/>
      <c r="X813" s="32"/>
      <c r="Y813" s="32"/>
      <c r="Z813" s="32"/>
    </row>
    <row r="814" spans="1:26" ht="17.25" customHeight="1">
      <c r="A814" s="3"/>
      <c r="B814" s="3"/>
      <c r="C814" s="3"/>
      <c r="D814" s="3"/>
      <c r="E814" s="3"/>
      <c r="F814" s="3"/>
      <c r="G814" s="3"/>
      <c r="H814" s="3"/>
      <c r="I814" s="3"/>
      <c r="J814" s="3"/>
      <c r="K814" s="3"/>
      <c r="L814" s="4"/>
      <c r="M814" s="32"/>
      <c r="N814" s="32"/>
      <c r="O814" s="32"/>
      <c r="P814" s="32"/>
      <c r="Q814" s="32"/>
      <c r="R814" s="32"/>
      <c r="S814" s="32"/>
      <c r="T814" s="32"/>
      <c r="U814" s="32"/>
      <c r="V814" s="32"/>
      <c r="W814" s="32"/>
      <c r="X814" s="32"/>
      <c r="Y814" s="32"/>
      <c r="Z814" s="32"/>
    </row>
    <row r="815" spans="1:26" ht="17.25" customHeight="1">
      <c r="A815" s="3"/>
      <c r="B815" s="3"/>
      <c r="C815" s="3"/>
      <c r="D815" s="3"/>
      <c r="E815" s="3"/>
      <c r="F815" s="3"/>
      <c r="G815" s="3"/>
      <c r="H815" s="3"/>
      <c r="I815" s="3"/>
      <c r="J815" s="3"/>
      <c r="K815" s="3"/>
      <c r="L815" s="4"/>
      <c r="M815" s="32"/>
      <c r="N815" s="32"/>
      <c r="O815" s="32"/>
      <c r="P815" s="32"/>
      <c r="Q815" s="32"/>
      <c r="R815" s="32"/>
      <c r="S815" s="32"/>
      <c r="T815" s="32"/>
      <c r="U815" s="32"/>
      <c r="V815" s="32"/>
      <c r="W815" s="32"/>
      <c r="X815" s="32"/>
      <c r="Y815" s="32"/>
      <c r="Z815" s="32"/>
    </row>
    <row r="816" spans="1:26" ht="17.25" customHeight="1">
      <c r="A816" s="3"/>
      <c r="B816" s="3"/>
      <c r="C816" s="3"/>
      <c r="D816" s="3"/>
      <c r="E816" s="3"/>
      <c r="F816" s="3"/>
      <c r="G816" s="3"/>
      <c r="H816" s="3"/>
      <c r="I816" s="3"/>
      <c r="J816" s="3"/>
      <c r="K816" s="3"/>
      <c r="L816" s="4"/>
      <c r="M816" s="32"/>
      <c r="N816" s="32"/>
      <c r="O816" s="32"/>
      <c r="P816" s="32"/>
      <c r="Q816" s="32"/>
      <c r="R816" s="32"/>
      <c r="S816" s="32"/>
      <c r="T816" s="32"/>
      <c r="U816" s="32"/>
      <c r="V816" s="32"/>
      <c r="W816" s="32"/>
      <c r="X816" s="32"/>
      <c r="Y816" s="32"/>
      <c r="Z816" s="32"/>
    </row>
    <row r="817" spans="1:26" ht="17.25" customHeight="1">
      <c r="A817" s="3"/>
      <c r="B817" s="3"/>
      <c r="C817" s="3"/>
      <c r="D817" s="3"/>
      <c r="E817" s="3"/>
      <c r="F817" s="3"/>
      <c r="G817" s="3"/>
      <c r="H817" s="3"/>
      <c r="I817" s="3"/>
      <c r="J817" s="3"/>
      <c r="K817" s="3"/>
      <c r="L817" s="4"/>
      <c r="M817" s="32"/>
      <c r="N817" s="32"/>
      <c r="O817" s="32"/>
      <c r="P817" s="32"/>
      <c r="Q817" s="32"/>
      <c r="R817" s="32"/>
      <c r="S817" s="32"/>
      <c r="T817" s="32"/>
      <c r="U817" s="32"/>
      <c r="V817" s="32"/>
      <c r="W817" s="32"/>
      <c r="X817" s="32"/>
      <c r="Y817" s="32"/>
      <c r="Z817" s="32"/>
    </row>
    <row r="818" spans="1:26" ht="17.25" customHeight="1">
      <c r="A818" s="3"/>
      <c r="B818" s="3"/>
      <c r="C818" s="3"/>
      <c r="D818" s="3"/>
      <c r="E818" s="3"/>
      <c r="F818" s="3"/>
      <c r="G818" s="3"/>
      <c r="H818" s="3"/>
      <c r="I818" s="3"/>
      <c r="J818" s="3"/>
      <c r="K818" s="3"/>
      <c r="L818" s="4"/>
      <c r="M818" s="32"/>
      <c r="N818" s="32"/>
      <c r="O818" s="32"/>
      <c r="P818" s="32"/>
      <c r="Q818" s="32"/>
      <c r="R818" s="32"/>
      <c r="S818" s="32"/>
      <c r="T818" s="32"/>
      <c r="U818" s="32"/>
      <c r="V818" s="32"/>
      <c r="W818" s="32"/>
      <c r="X818" s="32"/>
      <c r="Y818" s="32"/>
      <c r="Z818" s="32"/>
    </row>
    <row r="819" spans="1:26" ht="17.25" customHeight="1">
      <c r="A819" s="3"/>
      <c r="B819" s="3"/>
      <c r="C819" s="3"/>
      <c r="D819" s="3"/>
      <c r="E819" s="3"/>
      <c r="F819" s="3"/>
      <c r="G819" s="3"/>
      <c r="H819" s="3"/>
      <c r="I819" s="3"/>
      <c r="J819" s="3"/>
      <c r="K819" s="3"/>
      <c r="L819" s="4"/>
      <c r="M819" s="32"/>
      <c r="N819" s="32"/>
      <c r="O819" s="32"/>
      <c r="P819" s="32"/>
      <c r="Q819" s="32"/>
      <c r="R819" s="32"/>
      <c r="S819" s="32"/>
      <c r="T819" s="32"/>
      <c r="U819" s="32"/>
      <c r="V819" s="32"/>
      <c r="W819" s="32"/>
      <c r="X819" s="32"/>
      <c r="Y819" s="32"/>
      <c r="Z819" s="32"/>
    </row>
    <row r="820" spans="1:26" ht="17.25" customHeight="1">
      <c r="A820" s="3"/>
      <c r="B820" s="3"/>
      <c r="C820" s="3"/>
      <c r="D820" s="3"/>
      <c r="E820" s="3"/>
      <c r="F820" s="3"/>
      <c r="G820" s="3"/>
      <c r="H820" s="3"/>
      <c r="I820" s="3"/>
      <c r="J820" s="3"/>
      <c r="K820" s="3"/>
      <c r="L820" s="4"/>
      <c r="M820" s="32"/>
      <c r="N820" s="32"/>
      <c r="O820" s="32"/>
      <c r="P820" s="32"/>
      <c r="Q820" s="32"/>
      <c r="R820" s="32"/>
      <c r="S820" s="32"/>
      <c r="T820" s="32"/>
      <c r="U820" s="32"/>
      <c r="V820" s="32"/>
      <c r="W820" s="32"/>
      <c r="X820" s="32"/>
      <c r="Y820" s="32"/>
      <c r="Z820" s="32"/>
    </row>
    <row r="821" spans="1:26" ht="17.25" customHeight="1">
      <c r="A821" s="3"/>
      <c r="B821" s="3"/>
      <c r="C821" s="3"/>
      <c r="D821" s="3"/>
      <c r="E821" s="3"/>
      <c r="F821" s="3"/>
      <c r="G821" s="3"/>
      <c r="H821" s="3"/>
      <c r="I821" s="3"/>
      <c r="J821" s="3"/>
      <c r="K821" s="3"/>
      <c r="L821" s="4"/>
      <c r="M821" s="32"/>
      <c r="N821" s="32"/>
      <c r="O821" s="32"/>
      <c r="P821" s="32"/>
      <c r="Q821" s="32"/>
      <c r="R821" s="32"/>
      <c r="S821" s="32"/>
      <c r="T821" s="32"/>
      <c r="U821" s="32"/>
      <c r="V821" s="32"/>
      <c r="W821" s="32"/>
      <c r="X821" s="32"/>
      <c r="Y821" s="32"/>
      <c r="Z821" s="32"/>
    </row>
    <row r="822" spans="1:26" ht="17.25" customHeight="1">
      <c r="A822" s="3"/>
      <c r="B822" s="3"/>
      <c r="C822" s="3"/>
      <c r="D822" s="3"/>
      <c r="E822" s="3"/>
      <c r="F822" s="3"/>
      <c r="G822" s="3"/>
      <c r="H822" s="3"/>
      <c r="I822" s="3"/>
      <c r="J822" s="3"/>
      <c r="K822" s="3"/>
      <c r="L822" s="4"/>
      <c r="M822" s="32"/>
      <c r="N822" s="32"/>
      <c r="O822" s="32"/>
      <c r="P822" s="32"/>
      <c r="Q822" s="32"/>
      <c r="R822" s="32"/>
      <c r="S822" s="32"/>
      <c r="T822" s="32"/>
      <c r="U822" s="32"/>
      <c r="V822" s="32"/>
      <c r="W822" s="32"/>
      <c r="X822" s="32"/>
      <c r="Y822" s="32"/>
      <c r="Z822" s="32"/>
    </row>
    <row r="823" spans="1:26" ht="17.25" customHeight="1">
      <c r="A823" s="3"/>
      <c r="B823" s="3"/>
      <c r="C823" s="3"/>
      <c r="D823" s="3"/>
      <c r="E823" s="3"/>
      <c r="F823" s="3"/>
      <c r="G823" s="3"/>
      <c r="H823" s="3"/>
      <c r="I823" s="3"/>
      <c r="J823" s="3"/>
      <c r="K823" s="3"/>
      <c r="L823" s="4"/>
      <c r="M823" s="32"/>
      <c r="N823" s="32"/>
      <c r="O823" s="32"/>
      <c r="P823" s="32"/>
      <c r="Q823" s="32"/>
      <c r="R823" s="32"/>
      <c r="S823" s="32"/>
      <c r="T823" s="32"/>
      <c r="U823" s="32"/>
      <c r="V823" s="32"/>
      <c r="W823" s="32"/>
      <c r="X823" s="32"/>
      <c r="Y823" s="32"/>
      <c r="Z823" s="32"/>
    </row>
    <row r="824" spans="1:26" ht="17.25" customHeight="1">
      <c r="A824" s="3"/>
      <c r="B824" s="3"/>
      <c r="C824" s="3"/>
      <c r="D824" s="3"/>
      <c r="E824" s="3"/>
      <c r="F824" s="3"/>
      <c r="G824" s="3"/>
      <c r="H824" s="3"/>
      <c r="I824" s="3"/>
      <c r="J824" s="3"/>
      <c r="K824" s="3"/>
      <c r="L824" s="4"/>
      <c r="M824" s="32"/>
      <c r="N824" s="32"/>
      <c r="O824" s="32"/>
      <c r="P824" s="32"/>
      <c r="Q824" s="32"/>
      <c r="R824" s="32"/>
      <c r="S824" s="32"/>
      <c r="T824" s="32"/>
      <c r="U824" s="32"/>
      <c r="V824" s="32"/>
      <c r="W824" s="32"/>
      <c r="X824" s="32"/>
      <c r="Y824" s="32"/>
      <c r="Z824" s="32"/>
    </row>
    <row r="825" spans="1:26" ht="17.25" customHeight="1">
      <c r="A825" s="3"/>
      <c r="B825" s="3"/>
      <c r="C825" s="3"/>
      <c r="D825" s="3"/>
      <c r="E825" s="3"/>
      <c r="F825" s="3"/>
      <c r="G825" s="3"/>
      <c r="H825" s="3"/>
      <c r="I825" s="3"/>
      <c r="J825" s="3"/>
      <c r="K825" s="3"/>
      <c r="L825" s="4"/>
      <c r="M825" s="32"/>
      <c r="N825" s="32"/>
      <c r="O825" s="32"/>
      <c r="P825" s="32"/>
      <c r="Q825" s="32"/>
      <c r="R825" s="32"/>
      <c r="S825" s="32"/>
      <c r="T825" s="32"/>
      <c r="U825" s="32"/>
      <c r="V825" s="32"/>
      <c r="W825" s="32"/>
      <c r="X825" s="32"/>
      <c r="Y825" s="32"/>
      <c r="Z825" s="32"/>
    </row>
    <row r="826" spans="1:26" ht="17.25" customHeight="1">
      <c r="A826" s="3"/>
      <c r="B826" s="3"/>
      <c r="C826" s="3"/>
      <c r="D826" s="3"/>
      <c r="E826" s="3"/>
      <c r="F826" s="3"/>
      <c r="G826" s="3"/>
      <c r="H826" s="3"/>
      <c r="I826" s="3"/>
      <c r="J826" s="3"/>
      <c r="K826" s="3"/>
      <c r="L826" s="4"/>
      <c r="M826" s="32"/>
      <c r="N826" s="32"/>
      <c r="O826" s="32"/>
      <c r="P826" s="32"/>
      <c r="Q826" s="32"/>
      <c r="R826" s="32"/>
      <c r="S826" s="32"/>
      <c r="T826" s="32"/>
      <c r="U826" s="32"/>
      <c r="V826" s="32"/>
      <c r="W826" s="32"/>
      <c r="X826" s="32"/>
      <c r="Y826" s="32"/>
      <c r="Z826" s="32"/>
    </row>
    <row r="827" spans="1:26" ht="17.25" customHeight="1">
      <c r="A827" s="3"/>
      <c r="B827" s="3"/>
      <c r="C827" s="3"/>
      <c r="D827" s="3"/>
      <c r="E827" s="3"/>
      <c r="F827" s="3"/>
      <c r="G827" s="3"/>
      <c r="H827" s="3"/>
      <c r="I827" s="3"/>
      <c r="J827" s="3"/>
      <c r="K827" s="3"/>
      <c r="L827" s="4"/>
      <c r="M827" s="32"/>
      <c r="N827" s="32"/>
      <c r="O827" s="32"/>
      <c r="P827" s="32"/>
      <c r="Q827" s="32"/>
      <c r="R827" s="32"/>
      <c r="S827" s="32"/>
      <c r="T827" s="32"/>
      <c r="U827" s="32"/>
      <c r="V827" s="32"/>
      <c r="W827" s="32"/>
      <c r="X827" s="32"/>
      <c r="Y827" s="32"/>
      <c r="Z827" s="32"/>
    </row>
    <row r="828" spans="1:26" ht="17.25" customHeight="1">
      <c r="A828" s="3"/>
      <c r="B828" s="3"/>
      <c r="C828" s="3"/>
      <c r="D828" s="3"/>
      <c r="E828" s="3"/>
      <c r="F828" s="3"/>
      <c r="G828" s="3"/>
      <c r="H828" s="3"/>
      <c r="I828" s="3"/>
      <c r="J828" s="3"/>
      <c r="K828" s="3"/>
      <c r="L828" s="4"/>
      <c r="M828" s="32"/>
      <c r="N828" s="32"/>
      <c r="O828" s="32"/>
      <c r="P828" s="32"/>
      <c r="Q828" s="32"/>
      <c r="R828" s="32"/>
      <c r="S828" s="32"/>
      <c r="T828" s="32"/>
      <c r="U828" s="32"/>
      <c r="V828" s="32"/>
      <c r="W828" s="32"/>
      <c r="X828" s="32"/>
      <c r="Y828" s="32"/>
      <c r="Z828" s="32"/>
    </row>
    <row r="829" spans="1:26" ht="17.25" customHeight="1">
      <c r="A829" s="3"/>
      <c r="B829" s="3"/>
      <c r="C829" s="3"/>
      <c r="D829" s="3"/>
      <c r="E829" s="3"/>
      <c r="F829" s="3"/>
      <c r="G829" s="3"/>
      <c r="H829" s="3"/>
      <c r="I829" s="3"/>
      <c r="J829" s="3"/>
      <c r="K829" s="3"/>
      <c r="L829" s="4"/>
      <c r="M829" s="32"/>
      <c r="N829" s="32"/>
      <c r="O829" s="32"/>
      <c r="P829" s="32"/>
      <c r="Q829" s="32"/>
      <c r="R829" s="32"/>
      <c r="S829" s="32"/>
      <c r="T829" s="32"/>
      <c r="U829" s="32"/>
      <c r="V829" s="32"/>
      <c r="W829" s="32"/>
      <c r="X829" s="32"/>
      <c r="Y829" s="32"/>
      <c r="Z829" s="32"/>
    </row>
    <row r="830" spans="1:26" ht="17.25" customHeight="1">
      <c r="A830" s="3"/>
      <c r="B830" s="3"/>
      <c r="C830" s="3"/>
      <c r="D830" s="3"/>
      <c r="E830" s="3"/>
      <c r="F830" s="3"/>
      <c r="G830" s="3"/>
      <c r="H830" s="3"/>
      <c r="I830" s="3"/>
      <c r="J830" s="3"/>
      <c r="K830" s="3"/>
      <c r="L830" s="4"/>
      <c r="M830" s="32"/>
      <c r="N830" s="32"/>
      <c r="O830" s="32"/>
      <c r="P830" s="32"/>
      <c r="Q830" s="32"/>
      <c r="R830" s="32"/>
      <c r="S830" s="32"/>
      <c r="T830" s="32"/>
      <c r="U830" s="32"/>
      <c r="V830" s="32"/>
      <c r="W830" s="32"/>
      <c r="X830" s="32"/>
      <c r="Y830" s="32"/>
      <c r="Z830" s="32"/>
    </row>
    <row r="831" spans="1:26" ht="17.25" customHeight="1">
      <c r="A831" s="3"/>
      <c r="B831" s="3"/>
      <c r="C831" s="3"/>
      <c r="D831" s="3"/>
      <c r="E831" s="3"/>
      <c r="F831" s="3"/>
      <c r="G831" s="3"/>
      <c r="H831" s="3"/>
      <c r="I831" s="3"/>
      <c r="J831" s="3"/>
      <c r="K831" s="3"/>
      <c r="L831" s="4"/>
      <c r="M831" s="32"/>
      <c r="N831" s="32"/>
      <c r="O831" s="32"/>
      <c r="P831" s="32"/>
      <c r="Q831" s="32"/>
      <c r="R831" s="32"/>
      <c r="S831" s="32"/>
      <c r="T831" s="32"/>
      <c r="U831" s="32"/>
      <c r="V831" s="32"/>
      <c r="W831" s="32"/>
      <c r="X831" s="32"/>
      <c r="Y831" s="32"/>
      <c r="Z831" s="32"/>
    </row>
    <row r="832" spans="1:26" ht="17.25" customHeight="1">
      <c r="A832" s="3"/>
      <c r="B832" s="3"/>
      <c r="C832" s="3"/>
      <c r="D832" s="3"/>
      <c r="E832" s="3"/>
      <c r="F832" s="3"/>
      <c r="G832" s="3"/>
      <c r="H832" s="3"/>
      <c r="I832" s="3"/>
      <c r="J832" s="3"/>
      <c r="K832" s="3"/>
      <c r="L832" s="4"/>
      <c r="M832" s="32"/>
      <c r="N832" s="32"/>
      <c r="O832" s="32"/>
      <c r="P832" s="32"/>
      <c r="Q832" s="32"/>
      <c r="R832" s="32"/>
      <c r="S832" s="32"/>
      <c r="T832" s="32"/>
      <c r="U832" s="32"/>
      <c r="V832" s="32"/>
      <c r="W832" s="32"/>
      <c r="X832" s="32"/>
      <c r="Y832" s="32"/>
      <c r="Z832" s="32"/>
    </row>
    <row r="833" spans="1:26" ht="17.25" customHeight="1">
      <c r="A833" s="3"/>
      <c r="B833" s="3"/>
      <c r="C833" s="3"/>
      <c r="D833" s="3"/>
      <c r="E833" s="3"/>
      <c r="F833" s="3"/>
      <c r="G833" s="3"/>
      <c r="H833" s="3"/>
      <c r="I833" s="3"/>
      <c r="J833" s="3"/>
      <c r="K833" s="3"/>
      <c r="L833" s="4"/>
      <c r="M833" s="32"/>
      <c r="N833" s="32"/>
      <c r="O833" s="32"/>
      <c r="P833" s="32"/>
      <c r="Q833" s="32"/>
      <c r="R833" s="32"/>
      <c r="S833" s="32"/>
      <c r="T833" s="32"/>
      <c r="U833" s="32"/>
      <c r="V833" s="32"/>
      <c r="W833" s="32"/>
      <c r="X833" s="32"/>
      <c r="Y833" s="32"/>
      <c r="Z833" s="32"/>
    </row>
    <row r="834" spans="1:26" ht="17.25" customHeight="1">
      <c r="A834" s="3"/>
      <c r="B834" s="3"/>
      <c r="C834" s="3"/>
      <c r="D834" s="3"/>
      <c r="E834" s="3"/>
      <c r="F834" s="3"/>
      <c r="G834" s="3"/>
      <c r="H834" s="3"/>
      <c r="I834" s="3"/>
      <c r="J834" s="3"/>
      <c r="K834" s="3"/>
      <c r="L834" s="4"/>
      <c r="M834" s="32"/>
      <c r="N834" s="32"/>
      <c r="O834" s="32"/>
      <c r="P834" s="32"/>
      <c r="Q834" s="32"/>
      <c r="R834" s="32"/>
      <c r="S834" s="32"/>
      <c r="T834" s="32"/>
      <c r="U834" s="32"/>
      <c r="V834" s="32"/>
      <c r="W834" s="32"/>
      <c r="X834" s="32"/>
      <c r="Y834" s="32"/>
      <c r="Z834" s="32"/>
    </row>
    <row r="835" spans="1:26" ht="17.25" customHeight="1">
      <c r="A835" s="3"/>
      <c r="B835" s="3"/>
      <c r="C835" s="3"/>
      <c r="D835" s="3"/>
      <c r="E835" s="3"/>
      <c r="F835" s="3"/>
      <c r="G835" s="3"/>
      <c r="H835" s="3"/>
      <c r="I835" s="3"/>
      <c r="J835" s="3"/>
      <c r="K835" s="3"/>
      <c r="L835" s="4"/>
      <c r="M835" s="32"/>
      <c r="N835" s="32"/>
      <c r="O835" s="32"/>
      <c r="P835" s="32"/>
      <c r="Q835" s="32"/>
      <c r="R835" s="32"/>
      <c r="S835" s="32"/>
      <c r="T835" s="32"/>
      <c r="U835" s="32"/>
      <c r="V835" s="32"/>
      <c r="W835" s="32"/>
      <c r="X835" s="32"/>
      <c r="Y835" s="32"/>
      <c r="Z835" s="32"/>
    </row>
    <row r="836" spans="1:26" ht="17.25" customHeight="1">
      <c r="A836" s="3"/>
      <c r="B836" s="3"/>
      <c r="C836" s="3"/>
      <c r="D836" s="3"/>
      <c r="E836" s="3"/>
      <c r="F836" s="3"/>
      <c r="G836" s="3"/>
      <c r="H836" s="3"/>
      <c r="I836" s="3"/>
      <c r="J836" s="3"/>
      <c r="K836" s="3"/>
      <c r="L836" s="4"/>
      <c r="M836" s="32"/>
      <c r="N836" s="32"/>
      <c r="O836" s="32"/>
      <c r="P836" s="32"/>
      <c r="Q836" s="32"/>
      <c r="R836" s="32"/>
      <c r="S836" s="32"/>
      <c r="T836" s="32"/>
      <c r="U836" s="32"/>
      <c r="V836" s="32"/>
      <c r="W836" s="32"/>
      <c r="X836" s="32"/>
      <c r="Y836" s="32"/>
      <c r="Z836" s="32"/>
    </row>
    <row r="837" spans="1:26" ht="17.25" customHeight="1">
      <c r="A837" s="3"/>
      <c r="B837" s="3"/>
      <c r="C837" s="3"/>
      <c r="D837" s="3"/>
      <c r="E837" s="3"/>
      <c r="F837" s="3"/>
      <c r="G837" s="3"/>
      <c r="H837" s="3"/>
      <c r="I837" s="3"/>
      <c r="J837" s="3"/>
      <c r="K837" s="3"/>
      <c r="L837" s="4"/>
      <c r="M837" s="32"/>
      <c r="N837" s="32"/>
      <c r="O837" s="32"/>
      <c r="P837" s="32"/>
      <c r="Q837" s="32"/>
      <c r="R837" s="32"/>
      <c r="S837" s="32"/>
      <c r="T837" s="32"/>
      <c r="U837" s="32"/>
      <c r="V837" s="32"/>
      <c r="W837" s="32"/>
      <c r="X837" s="32"/>
      <c r="Y837" s="32"/>
      <c r="Z837" s="32"/>
    </row>
    <row r="838" spans="1:26" ht="17.25" customHeight="1">
      <c r="A838" s="3"/>
      <c r="B838" s="3"/>
      <c r="C838" s="3"/>
      <c r="D838" s="3"/>
      <c r="E838" s="3"/>
      <c r="F838" s="3"/>
      <c r="G838" s="3"/>
      <c r="H838" s="3"/>
      <c r="I838" s="3"/>
      <c r="J838" s="3"/>
      <c r="K838" s="3"/>
      <c r="L838" s="4"/>
      <c r="M838" s="32"/>
      <c r="N838" s="32"/>
      <c r="O838" s="32"/>
      <c r="P838" s="32"/>
      <c r="Q838" s="32"/>
      <c r="R838" s="32"/>
      <c r="S838" s="32"/>
      <c r="T838" s="32"/>
      <c r="U838" s="32"/>
      <c r="V838" s="32"/>
      <c r="W838" s="32"/>
      <c r="X838" s="32"/>
      <c r="Y838" s="32"/>
      <c r="Z838" s="32"/>
    </row>
    <row r="839" spans="1:26" ht="17.25" customHeight="1">
      <c r="A839" s="3"/>
      <c r="B839" s="3"/>
      <c r="C839" s="3"/>
      <c r="D839" s="3"/>
      <c r="E839" s="3"/>
      <c r="F839" s="3"/>
      <c r="G839" s="3"/>
      <c r="H839" s="3"/>
      <c r="I839" s="3"/>
      <c r="J839" s="3"/>
      <c r="K839" s="3"/>
      <c r="L839" s="4"/>
      <c r="M839" s="32"/>
      <c r="N839" s="32"/>
      <c r="O839" s="32"/>
      <c r="P839" s="32"/>
      <c r="Q839" s="32"/>
      <c r="R839" s="32"/>
      <c r="S839" s="32"/>
      <c r="T839" s="32"/>
      <c r="U839" s="32"/>
      <c r="V839" s="32"/>
      <c r="W839" s="32"/>
      <c r="X839" s="32"/>
      <c r="Y839" s="32"/>
      <c r="Z839" s="32"/>
    </row>
    <row r="840" spans="1:26" ht="17.25" customHeight="1">
      <c r="A840" s="3"/>
      <c r="B840" s="3"/>
      <c r="C840" s="3"/>
      <c r="D840" s="3"/>
      <c r="E840" s="3"/>
      <c r="F840" s="3"/>
      <c r="G840" s="3"/>
      <c r="H840" s="3"/>
      <c r="I840" s="3"/>
      <c r="J840" s="3"/>
      <c r="K840" s="3"/>
      <c r="L840" s="4"/>
      <c r="M840" s="32"/>
      <c r="N840" s="32"/>
      <c r="O840" s="32"/>
      <c r="P840" s="32"/>
      <c r="Q840" s="32"/>
      <c r="R840" s="32"/>
      <c r="S840" s="32"/>
      <c r="T840" s="32"/>
      <c r="U840" s="32"/>
      <c r="V840" s="32"/>
      <c r="W840" s="32"/>
      <c r="X840" s="32"/>
      <c r="Y840" s="32"/>
      <c r="Z840" s="32"/>
    </row>
    <row r="841" spans="1:26" ht="17.25" customHeight="1">
      <c r="A841" s="3"/>
      <c r="B841" s="3"/>
      <c r="C841" s="3"/>
      <c r="D841" s="3"/>
      <c r="E841" s="3"/>
      <c r="F841" s="3"/>
      <c r="G841" s="3"/>
      <c r="H841" s="3"/>
      <c r="I841" s="3"/>
      <c r="J841" s="3"/>
      <c r="K841" s="3"/>
      <c r="L841" s="4"/>
      <c r="M841" s="32"/>
      <c r="N841" s="32"/>
      <c r="O841" s="32"/>
      <c r="P841" s="32"/>
      <c r="Q841" s="32"/>
      <c r="R841" s="32"/>
      <c r="S841" s="32"/>
      <c r="T841" s="32"/>
      <c r="U841" s="32"/>
      <c r="V841" s="32"/>
      <c r="W841" s="32"/>
      <c r="X841" s="32"/>
      <c r="Y841" s="32"/>
      <c r="Z841" s="32"/>
    </row>
    <row r="842" spans="1:26" ht="17.25" customHeight="1">
      <c r="A842" s="3"/>
      <c r="B842" s="3"/>
      <c r="C842" s="3"/>
      <c r="D842" s="3"/>
      <c r="E842" s="3"/>
      <c r="F842" s="3"/>
      <c r="G842" s="3"/>
      <c r="H842" s="3"/>
      <c r="I842" s="3"/>
      <c r="J842" s="3"/>
      <c r="K842" s="3"/>
      <c r="L842" s="4"/>
      <c r="M842" s="32"/>
      <c r="N842" s="32"/>
      <c r="O842" s="32"/>
      <c r="P842" s="32"/>
      <c r="Q842" s="32"/>
      <c r="R842" s="32"/>
      <c r="S842" s="32"/>
      <c r="T842" s="32"/>
      <c r="U842" s="32"/>
      <c r="V842" s="32"/>
      <c r="W842" s="32"/>
      <c r="X842" s="32"/>
      <c r="Y842" s="32"/>
      <c r="Z842" s="32"/>
    </row>
    <row r="843" spans="1:26" ht="17.25" customHeight="1">
      <c r="A843" s="3"/>
      <c r="B843" s="3"/>
      <c r="C843" s="3"/>
      <c r="D843" s="3"/>
      <c r="E843" s="3"/>
      <c r="F843" s="3"/>
      <c r="G843" s="3"/>
      <c r="H843" s="3"/>
      <c r="I843" s="3"/>
      <c r="J843" s="3"/>
      <c r="K843" s="3"/>
      <c r="L843" s="4"/>
      <c r="M843" s="32"/>
      <c r="N843" s="32"/>
      <c r="O843" s="32"/>
      <c r="P843" s="32"/>
      <c r="Q843" s="32"/>
      <c r="R843" s="32"/>
      <c r="S843" s="32"/>
      <c r="T843" s="32"/>
      <c r="U843" s="32"/>
      <c r="V843" s="32"/>
      <c r="W843" s="32"/>
      <c r="X843" s="32"/>
      <c r="Y843" s="32"/>
      <c r="Z843" s="32"/>
    </row>
    <row r="844" spans="1:26" ht="17.25" customHeight="1">
      <c r="A844" s="3"/>
      <c r="B844" s="3"/>
      <c r="C844" s="3"/>
      <c r="D844" s="3"/>
      <c r="E844" s="3"/>
      <c r="F844" s="3"/>
      <c r="G844" s="3"/>
      <c r="H844" s="3"/>
      <c r="I844" s="3"/>
      <c r="J844" s="3"/>
      <c r="K844" s="3"/>
      <c r="L844" s="4"/>
      <c r="M844" s="32"/>
      <c r="N844" s="32"/>
      <c r="O844" s="32"/>
      <c r="P844" s="32"/>
      <c r="Q844" s="32"/>
      <c r="R844" s="32"/>
      <c r="S844" s="32"/>
      <c r="T844" s="32"/>
      <c r="U844" s="32"/>
      <c r="V844" s="32"/>
      <c r="W844" s="32"/>
      <c r="X844" s="32"/>
      <c r="Y844" s="32"/>
      <c r="Z844" s="32"/>
    </row>
    <row r="845" spans="1:26" ht="17.25" customHeight="1">
      <c r="A845" s="3"/>
      <c r="B845" s="3"/>
      <c r="C845" s="3"/>
      <c r="D845" s="3"/>
      <c r="E845" s="3"/>
      <c r="F845" s="3"/>
      <c r="G845" s="3"/>
      <c r="H845" s="3"/>
      <c r="I845" s="3"/>
      <c r="J845" s="3"/>
      <c r="K845" s="3"/>
      <c r="L845" s="4"/>
      <c r="M845" s="32"/>
      <c r="N845" s="32"/>
      <c r="O845" s="32"/>
      <c r="P845" s="32"/>
      <c r="Q845" s="32"/>
      <c r="R845" s="32"/>
      <c r="S845" s="32"/>
      <c r="T845" s="32"/>
      <c r="U845" s="32"/>
      <c r="V845" s="32"/>
      <c r="W845" s="32"/>
      <c r="X845" s="32"/>
      <c r="Y845" s="32"/>
      <c r="Z845" s="32"/>
    </row>
    <row r="846" spans="1:26" ht="17.25" customHeight="1">
      <c r="A846" s="3"/>
      <c r="B846" s="3"/>
      <c r="C846" s="3"/>
      <c r="D846" s="3"/>
      <c r="E846" s="3"/>
      <c r="F846" s="3"/>
      <c r="G846" s="3"/>
      <c r="H846" s="3"/>
      <c r="I846" s="3"/>
      <c r="J846" s="3"/>
      <c r="K846" s="3"/>
      <c r="L846" s="4"/>
      <c r="M846" s="32"/>
      <c r="N846" s="32"/>
      <c r="O846" s="32"/>
      <c r="P846" s="32"/>
      <c r="Q846" s="32"/>
      <c r="R846" s="32"/>
      <c r="S846" s="32"/>
      <c r="T846" s="32"/>
      <c r="U846" s="32"/>
      <c r="V846" s="32"/>
      <c r="W846" s="32"/>
      <c r="X846" s="32"/>
      <c r="Y846" s="32"/>
      <c r="Z846" s="32"/>
    </row>
    <row r="847" spans="1:26" ht="17.25" customHeight="1">
      <c r="A847" s="3"/>
      <c r="B847" s="3"/>
      <c r="C847" s="3"/>
      <c r="D847" s="3"/>
      <c r="E847" s="3"/>
      <c r="F847" s="3"/>
      <c r="G847" s="3"/>
      <c r="H847" s="3"/>
      <c r="I847" s="3"/>
      <c r="J847" s="3"/>
      <c r="K847" s="3"/>
      <c r="L847" s="4"/>
      <c r="M847" s="32"/>
      <c r="N847" s="32"/>
      <c r="O847" s="32"/>
      <c r="P847" s="32"/>
      <c r="Q847" s="32"/>
      <c r="R847" s="32"/>
      <c r="S847" s="32"/>
      <c r="T847" s="32"/>
      <c r="U847" s="32"/>
      <c r="V847" s="32"/>
      <c r="W847" s="32"/>
      <c r="X847" s="32"/>
      <c r="Y847" s="32"/>
      <c r="Z847" s="32"/>
    </row>
    <row r="848" spans="1:26" ht="17.25" customHeight="1">
      <c r="A848" s="3"/>
      <c r="B848" s="3"/>
      <c r="C848" s="3"/>
      <c r="D848" s="3"/>
      <c r="E848" s="3"/>
      <c r="F848" s="3"/>
      <c r="G848" s="3"/>
      <c r="H848" s="3"/>
      <c r="I848" s="3"/>
      <c r="J848" s="3"/>
      <c r="K848" s="3"/>
      <c r="L848" s="4"/>
      <c r="M848" s="32"/>
      <c r="N848" s="32"/>
      <c r="O848" s="32"/>
      <c r="P848" s="32"/>
      <c r="Q848" s="32"/>
      <c r="R848" s="32"/>
      <c r="S848" s="32"/>
      <c r="T848" s="32"/>
      <c r="U848" s="32"/>
      <c r="V848" s="32"/>
      <c r="W848" s="32"/>
      <c r="X848" s="32"/>
      <c r="Y848" s="32"/>
      <c r="Z848" s="32"/>
    </row>
    <row r="849" spans="1:26" ht="17.25" customHeight="1">
      <c r="A849" s="3"/>
      <c r="B849" s="3"/>
      <c r="C849" s="3"/>
      <c r="D849" s="3"/>
      <c r="E849" s="3"/>
      <c r="F849" s="3"/>
      <c r="G849" s="3"/>
      <c r="H849" s="3"/>
      <c r="I849" s="3"/>
      <c r="J849" s="3"/>
      <c r="K849" s="3"/>
      <c r="L849" s="4"/>
      <c r="M849" s="32"/>
      <c r="N849" s="32"/>
      <c r="O849" s="32"/>
      <c r="P849" s="32"/>
      <c r="Q849" s="32"/>
      <c r="R849" s="32"/>
      <c r="S849" s="32"/>
      <c r="T849" s="32"/>
      <c r="U849" s="32"/>
      <c r="V849" s="32"/>
      <c r="W849" s="32"/>
      <c r="X849" s="32"/>
      <c r="Y849" s="32"/>
      <c r="Z849" s="32"/>
    </row>
    <row r="850" spans="1:26" ht="17.25" customHeight="1">
      <c r="A850" s="3"/>
      <c r="B850" s="3"/>
      <c r="C850" s="3"/>
      <c r="D850" s="3"/>
      <c r="E850" s="3"/>
      <c r="F850" s="3"/>
      <c r="G850" s="3"/>
      <c r="H850" s="3"/>
      <c r="I850" s="3"/>
      <c r="J850" s="3"/>
      <c r="K850" s="3"/>
      <c r="L850" s="4"/>
      <c r="M850" s="32"/>
      <c r="N850" s="32"/>
      <c r="O850" s="32"/>
      <c r="P850" s="32"/>
      <c r="Q850" s="32"/>
      <c r="R850" s="32"/>
      <c r="S850" s="32"/>
      <c r="T850" s="32"/>
      <c r="U850" s="32"/>
      <c r="V850" s="32"/>
      <c r="W850" s="32"/>
      <c r="X850" s="32"/>
      <c r="Y850" s="32"/>
      <c r="Z850" s="32"/>
    </row>
    <row r="851" spans="1:26" ht="17.25" customHeight="1">
      <c r="A851" s="3"/>
      <c r="B851" s="3"/>
      <c r="C851" s="3"/>
      <c r="D851" s="3"/>
      <c r="E851" s="3"/>
      <c r="F851" s="3"/>
      <c r="G851" s="3"/>
      <c r="H851" s="3"/>
      <c r="I851" s="3"/>
      <c r="J851" s="3"/>
      <c r="K851" s="3"/>
      <c r="L851" s="4"/>
      <c r="M851" s="32"/>
      <c r="N851" s="32"/>
      <c r="O851" s="32"/>
      <c r="P851" s="32"/>
      <c r="Q851" s="32"/>
      <c r="R851" s="32"/>
      <c r="S851" s="32"/>
      <c r="T851" s="32"/>
      <c r="U851" s="32"/>
      <c r="V851" s="32"/>
      <c r="W851" s="32"/>
      <c r="X851" s="32"/>
      <c r="Y851" s="32"/>
      <c r="Z851" s="32"/>
    </row>
    <row r="852" spans="1:26" ht="17.25" customHeight="1">
      <c r="A852" s="3"/>
      <c r="B852" s="3"/>
      <c r="C852" s="3"/>
      <c r="D852" s="3"/>
      <c r="E852" s="3"/>
      <c r="F852" s="3"/>
      <c r="G852" s="3"/>
      <c r="H852" s="3"/>
      <c r="I852" s="3"/>
      <c r="J852" s="3"/>
      <c r="K852" s="3"/>
      <c r="L852" s="4"/>
      <c r="M852" s="32"/>
      <c r="N852" s="32"/>
      <c r="O852" s="32"/>
      <c r="P852" s="32"/>
      <c r="Q852" s="32"/>
      <c r="R852" s="32"/>
      <c r="S852" s="32"/>
      <c r="T852" s="32"/>
      <c r="U852" s="32"/>
      <c r="V852" s="32"/>
      <c r="W852" s="32"/>
      <c r="X852" s="32"/>
      <c r="Y852" s="32"/>
      <c r="Z852" s="32"/>
    </row>
    <row r="853" spans="1:26" ht="17.25" customHeight="1">
      <c r="A853" s="3"/>
      <c r="B853" s="3"/>
      <c r="C853" s="3"/>
      <c r="D853" s="3"/>
      <c r="E853" s="3"/>
      <c r="F853" s="3"/>
      <c r="G853" s="3"/>
      <c r="H853" s="3"/>
      <c r="I853" s="3"/>
      <c r="J853" s="3"/>
      <c r="K853" s="3"/>
      <c r="L853" s="4"/>
      <c r="M853" s="32"/>
      <c r="N853" s="32"/>
      <c r="O853" s="32"/>
      <c r="P853" s="32"/>
      <c r="Q853" s="32"/>
      <c r="R853" s="32"/>
      <c r="S853" s="32"/>
      <c r="T853" s="32"/>
      <c r="U853" s="32"/>
      <c r="V853" s="32"/>
      <c r="W853" s="32"/>
      <c r="X853" s="32"/>
      <c r="Y853" s="32"/>
      <c r="Z853" s="32"/>
    </row>
    <row r="854" spans="1:26" ht="17.25" customHeight="1">
      <c r="A854" s="3"/>
      <c r="B854" s="3"/>
      <c r="C854" s="3"/>
      <c r="D854" s="3"/>
      <c r="E854" s="3"/>
      <c r="F854" s="3"/>
      <c r="G854" s="3"/>
      <c r="H854" s="3"/>
      <c r="I854" s="3"/>
      <c r="J854" s="3"/>
      <c r="K854" s="3"/>
      <c r="L854" s="4"/>
      <c r="M854" s="32"/>
      <c r="N854" s="32"/>
      <c r="O854" s="32"/>
      <c r="P854" s="32"/>
      <c r="Q854" s="32"/>
      <c r="R854" s="32"/>
      <c r="S854" s="32"/>
      <c r="T854" s="32"/>
      <c r="U854" s="32"/>
      <c r="V854" s="32"/>
      <c r="W854" s="32"/>
      <c r="X854" s="32"/>
      <c r="Y854" s="32"/>
      <c r="Z854" s="32"/>
    </row>
    <row r="855" spans="1:26" ht="17.25" customHeight="1">
      <c r="A855" s="3"/>
      <c r="B855" s="3"/>
      <c r="C855" s="3"/>
      <c r="D855" s="3"/>
      <c r="E855" s="3"/>
      <c r="F855" s="3"/>
      <c r="G855" s="3"/>
      <c r="H855" s="3"/>
      <c r="I855" s="3"/>
      <c r="J855" s="3"/>
      <c r="K855" s="3"/>
      <c r="L855" s="4"/>
      <c r="M855" s="32"/>
      <c r="N855" s="32"/>
      <c r="O855" s="32"/>
      <c r="P855" s="32"/>
      <c r="Q855" s="32"/>
      <c r="R855" s="32"/>
      <c r="S855" s="32"/>
      <c r="T855" s="32"/>
      <c r="U855" s="32"/>
      <c r="V855" s="32"/>
      <c r="W855" s="32"/>
      <c r="X855" s="32"/>
      <c r="Y855" s="32"/>
      <c r="Z855" s="32"/>
    </row>
    <row r="856" spans="1:26" ht="17.25" customHeight="1">
      <c r="A856" s="3"/>
      <c r="B856" s="3"/>
      <c r="C856" s="3"/>
      <c r="D856" s="3"/>
      <c r="E856" s="3"/>
      <c r="F856" s="3"/>
      <c r="G856" s="3"/>
      <c r="H856" s="3"/>
      <c r="I856" s="3"/>
      <c r="J856" s="3"/>
      <c r="K856" s="3"/>
      <c r="L856" s="4"/>
      <c r="M856" s="32"/>
      <c r="N856" s="32"/>
      <c r="O856" s="32"/>
      <c r="P856" s="32"/>
      <c r="Q856" s="32"/>
      <c r="R856" s="32"/>
      <c r="S856" s="32"/>
      <c r="T856" s="32"/>
      <c r="U856" s="32"/>
      <c r="V856" s="32"/>
      <c r="W856" s="32"/>
      <c r="X856" s="32"/>
      <c r="Y856" s="32"/>
      <c r="Z856" s="32"/>
    </row>
    <row r="857" spans="1:26" ht="17.25" customHeight="1">
      <c r="A857" s="3"/>
      <c r="B857" s="3"/>
      <c r="C857" s="3"/>
      <c r="D857" s="3"/>
      <c r="E857" s="3"/>
      <c r="F857" s="3"/>
      <c r="G857" s="3"/>
      <c r="H857" s="3"/>
      <c r="I857" s="3"/>
      <c r="J857" s="3"/>
      <c r="K857" s="3"/>
      <c r="L857" s="4"/>
      <c r="M857" s="32"/>
      <c r="N857" s="32"/>
      <c r="O857" s="32"/>
      <c r="P857" s="32"/>
      <c r="Q857" s="32"/>
      <c r="R857" s="32"/>
      <c r="S857" s="32"/>
      <c r="T857" s="32"/>
      <c r="U857" s="32"/>
      <c r="V857" s="32"/>
      <c r="W857" s="32"/>
      <c r="X857" s="32"/>
      <c r="Y857" s="32"/>
      <c r="Z857" s="32"/>
    </row>
    <row r="858" spans="1:26" ht="17.25" customHeight="1">
      <c r="A858" s="3"/>
      <c r="B858" s="3"/>
      <c r="C858" s="3"/>
      <c r="D858" s="3"/>
      <c r="E858" s="3"/>
      <c r="F858" s="3"/>
      <c r="G858" s="3"/>
      <c r="H858" s="3"/>
      <c r="I858" s="3"/>
      <c r="J858" s="3"/>
      <c r="K858" s="3"/>
      <c r="L858" s="4"/>
      <c r="M858" s="32"/>
      <c r="N858" s="32"/>
      <c r="O858" s="32"/>
      <c r="P858" s="32"/>
      <c r="Q858" s="32"/>
      <c r="R858" s="32"/>
      <c r="S858" s="32"/>
      <c r="T858" s="32"/>
      <c r="U858" s="32"/>
      <c r="V858" s="32"/>
      <c r="W858" s="32"/>
      <c r="X858" s="32"/>
      <c r="Y858" s="32"/>
      <c r="Z858" s="32"/>
    </row>
    <row r="859" spans="1:26" ht="17.25" customHeight="1">
      <c r="A859" s="3"/>
      <c r="B859" s="3"/>
      <c r="C859" s="3"/>
      <c r="D859" s="3"/>
      <c r="E859" s="3"/>
      <c r="F859" s="3"/>
      <c r="G859" s="3"/>
      <c r="H859" s="3"/>
      <c r="I859" s="3"/>
      <c r="J859" s="3"/>
      <c r="K859" s="3"/>
      <c r="L859" s="4"/>
      <c r="M859" s="32"/>
      <c r="N859" s="32"/>
      <c r="O859" s="32"/>
      <c r="P859" s="32"/>
      <c r="Q859" s="32"/>
      <c r="R859" s="32"/>
      <c r="S859" s="32"/>
      <c r="T859" s="32"/>
      <c r="U859" s="32"/>
      <c r="V859" s="32"/>
      <c r="W859" s="32"/>
      <c r="X859" s="32"/>
      <c r="Y859" s="32"/>
      <c r="Z859" s="32"/>
    </row>
    <row r="860" spans="1:26" ht="17.25" customHeight="1">
      <c r="A860" s="3"/>
      <c r="B860" s="3"/>
      <c r="C860" s="3"/>
      <c r="D860" s="3"/>
      <c r="E860" s="3"/>
      <c r="F860" s="3"/>
      <c r="G860" s="3"/>
      <c r="H860" s="3"/>
      <c r="I860" s="3"/>
      <c r="J860" s="3"/>
      <c r="K860" s="3"/>
      <c r="L860" s="4"/>
      <c r="M860" s="32"/>
      <c r="N860" s="32"/>
      <c r="O860" s="32"/>
      <c r="P860" s="32"/>
      <c r="Q860" s="32"/>
      <c r="R860" s="32"/>
      <c r="S860" s="32"/>
      <c r="T860" s="32"/>
      <c r="U860" s="32"/>
      <c r="V860" s="32"/>
      <c r="W860" s="32"/>
      <c r="X860" s="32"/>
      <c r="Y860" s="32"/>
      <c r="Z860" s="32"/>
    </row>
    <row r="861" spans="1:26" ht="17.25" customHeight="1">
      <c r="A861" s="3"/>
      <c r="B861" s="3"/>
      <c r="C861" s="3"/>
      <c r="D861" s="3"/>
      <c r="E861" s="3"/>
      <c r="F861" s="3"/>
      <c r="G861" s="3"/>
      <c r="H861" s="3"/>
      <c r="I861" s="3"/>
      <c r="J861" s="3"/>
      <c r="K861" s="3"/>
      <c r="L861" s="4"/>
      <c r="M861" s="32"/>
      <c r="N861" s="32"/>
      <c r="O861" s="32"/>
      <c r="P861" s="32"/>
      <c r="Q861" s="32"/>
      <c r="R861" s="32"/>
      <c r="S861" s="32"/>
      <c r="T861" s="32"/>
      <c r="U861" s="32"/>
      <c r="V861" s="32"/>
      <c r="W861" s="32"/>
      <c r="X861" s="32"/>
      <c r="Y861" s="32"/>
      <c r="Z861" s="32"/>
    </row>
    <row r="862" spans="1:26" ht="17.25" customHeight="1">
      <c r="A862" s="3"/>
      <c r="B862" s="3"/>
      <c r="C862" s="3"/>
      <c r="D862" s="3"/>
      <c r="E862" s="3"/>
      <c r="F862" s="3"/>
      <c r="G862" s="3"/>
      <c r="H862" s="3"/>
      <c r="I862" s="3"/>
      <c r="J862" s="3"/>
      <c r="K862" s="3"/>
      <c r="L862" s="4"/>
      <c r="M862" s="32"/>
      <c r="N862" s="32"/>
      <c r="O862" s="32"/>
      <c r="P862" s="32"/>
      <c r="Q862" s="32"/>
      <c r="R862" s="32"/>
      <c r="S862" s="32"/>
      <c r="T862" s="32"/>
      <c r="U862" s="32"/>
      <c r="V862" s="32"/>
      <c r="W862" s="32"/>
      <c r="X862" s="32"/>
      <c r="Y862" s="32"/>
      <c r="Z862" s="32"/>
    </row>
    <row r="863" spans="1:26" ht="17.25" customHeight="1">
      <c r="A863" s="3"/>
      <c r="B863" s="3"/>
      <c r="C863" s="3"/>
      <c r="D863" s="3"/>
      <c r="E863" s="3"/>
      <c r="F863" s="3"/>
      <c r="G863" s="3"/>
      <c r="H863" s="3"/>
      <c r="I863" s="3"/>
      <c r="J863" s="3"/>
      <c r="K863" s="3"/>
      <c r="L863" s="4"/>
      <c r="M863" s="32"/>
      <c r="N863" s="32"/>
      <c r="O863" s="32"/>
      <c r="P863" s="32"/>
      <c r="Q863" s="32"/>
      <c r="R863" s="32"/>
      <c r="S863" s="32"/>
      <c r="T863" s="32"/>
      <c r="U863" s="32"/>
      <c r="V863" s="32"/>
      <c r="W863" s="32"/>
      <c r="X863" s="32"/>
      <c r="Y863" s="32"/>
      <c r="Z863" s="32"/>
    </row>
    <row r="864" spans="1:26" ht="17.25" customHeight="1">
      <c r="A864" s="3"/>
      <c r="B864" s="3"/>
      <c r="C864" s="3"/>
      <c r="D864" s="3"/>
      <c r="E864" s="3"/>
      <c r="F864" s="3"/>
      <c r="G864" s="3"/>
      <c r="H864" s="3"/>
      <c r="I864" s="3"/>
      <c r="J864" s="3"/>
      <c r="K864" s="3"/>
      <c r="L864" s="4"/>
      <c r="M864" s="32"/>
      <c r="N864" s="32"/>
      <c r="O864" s="32"/>
      <c r="P864" s="32"/>
      <c r="Q864" s="32"/>
      <c r="R864" s="32"/>
      <c r="S864" s="32"/>
      <c r="T864" s="32"/>
      <c r="U864" s="32"/>
      <c r="V864" s="32"/>
      <c r="W864" s="32"/>
      <c r="X864" s="32"/>
      <c r="Y864" s="32"/>
      <c r="Z864" s="32"/>
    </row>
    <row r="865" spans="1:26" ht="17.25" customHeight="1">
      <c r="A865" s="3"/>
      <c r="B865" s="3"/>
      <c r="C865" s="3"/>
      <c r="D865" s="3"/>
      <c r="E865" s="3"/>
      <c r="F865" s="3"/>
      <c r="G865" s="3"/>
      <c r="H865" s="3"/>
      <c r="I865" s="3"/>
      <c r="J865" s="3"/>
      <c r="K865" s="3"/>
      <c r="L865" s="4"/>
      <c r="M865" s="32"/>
      <c r="N865" s="32"/>
      <c r="O865" s="32"/>
      <c r="P865" s="32"/>
      <c r="Q865" s="32"/>
      <c r="R865" s="32"/>
      <c r="S865" s="32"/>
      <c r="T865" s="32"/>
      <c r="U865" s="32"/>
      <c r="V865" s="32"/>
      <c r="W865" s="32"/>
      <c r="X865" s="32"/>
      <c r="Y865" s="32"/>
      <c r="Z865" s="32"/>
    </row>
    <row r="866" spans="1:26" ht="17.25" customHeight="1">
      <c r="A866" s="3"/>
      <c r="B866" s="3"/>
      <c r="C866" s="3"/>
      <c r="D866" s="3"/>
      <c r="E866" s="3"/>
      <c r="F866" s="3"/>
      <c r="G866" s="3"/>
      <c r="H866" s="3"/>
      <c r="I866" s="3"/>
      <c r="J866" s="3"/>
      <c r="K866" s="3"/>
      <c r="L866" s="4"/>
      <c r="M866" s="32"/>
      <c r="N866" s="32"/>
      <c r="O866" s="32"/>
      <c r="P866" s="32"/>
      <c r="Q866" s="32"/>
      <c r="R866" s="32"/>
      <c r="S866" s="32"/>
      <c r="T866" s="32"/>
      <c r="U866" s="32"/>
      <c r="V866" s="32"/>
      <c r="W866" s="32"/>
      <c r="X866" s="32"/>
      <c r="Y866" s="32"/>
      <c r="Z866" s="32"/>
    </row>
    <row r="867" spans="1:26" ht="17.25" customHeight="1">
      <c r="A867" s="3"/>
      <c r="B867" s="3"/>
      <c r="C867" s="3"/>
      <c r="D867" s="3"/>
      <c r="E867" s="3"/>
      <c r="F867" s="3"/>
      <c r="G867" s="3"/>
      <c r="H867" s="3"/>
      <c r="I867" s="3"/>
      <c r="J867" s="3"/>
      <c r="K867" s="3"/>
      <c r="L867" s="4"/>
      <c r="M867" s="32"/>
      <c r="N867" s="32"/>
      <c r="O867" s="32"/>
      <c r="P867" s="32"/>
      <c r="Q867" s="32"/>
      <c r="R867" s="32"/>
      <c r="S867" s="32"/>
      <c r="T867" s="32"/>
      <c r="U867" s="32"/>
      <c r="V867" s="32"/>
      <c r="W867" s="32"/>
      <c r="X867" s="32"/>
      <c r="Y867" s="32"/>
      <c r="Z867" s="32"/>
    </row>
    <row r="868" spans="1:26" ht="17.25" customHeight="1">
      <c r="A868" s="3"/>
      <c r="B868" s="3"/>
      <c r="C868" s="3"/>
      <c r="D868" s="3"/>
      <c r="E868" s="3"/>
      <c r="F868" s="3"/>
      <c r="G868" s="3"/>
      <c r="H868" s="3"/>
      <c r="I868" s="3"/>
      <c r="J868" s="3"/>
      <c r="K868" s="3"/>
      <c r="L868" s="4"/>
      <c r="M868" s="32"/>
      <c r="N868" s="32"/>
      <c r="O868" s="32"/>
      <c r="P868" s="32"/>
      <c r="Q868" s="32"/>
      <c r="R868" s="32"/>
      <c r="S868" s="32"/>
      <c r="T868" s="32"/>
      <c r="U868" s="32"/>
      <c r="V868" s="32"/>
      <c r="W868" s="32"/>
      <c r="X868" s="32"/>
      <c r="Y868" s="32"/>
      <c r="Z868" s="32"/>
    </row>
    <row r="869" spans="1:26" ht="17.25" customHeight="1">
      <c r="A869" s="3"/>
      <c r="B869" s="3"/>
      <c r="C869" s="3"/>
      <c r="D869" s="3"/>
      <c r="E869" s="3"/>
      <c r="F869" s="3"/>
      <c r="G869" s="3"/>
      <c r="H869" s="3"/>
      <c r="I869" s="3"/>
      <c r="J869" s="3"/>
      <c r="K869" s="3"/>
      <c r="L869" s="4"/>
      <c r="M869" s="32"/>
      <c r="N869" s="32"/>
      <c r="O869" s="32"/>
      <c r="P869" s="32"/>
      <c r="Q869" s="32"/>
      <c r="R869" s="32"/>
      <c r="S869" s="32"/>
      <c r="T869" s="32"/>
      <c r="U869" s="32"/>
      <c r="V869" s="32"/>
      <c r="W869" s="32"/>
      <c r="X869" s="32"/>
      <c r="Y869" s="32"/>
      <c r="Z869" s="32"/>
    </row>
    <row r="870" spans="1:26" ht="17.25" customHeight="1">
      <c r="A870" s="3"/>
      <c r="B870" s="3"/>
      <c r="C870" s="3"/>
      <c r="D870" s="3"/>
      <c r="E870" s="3"/>
      <c r="F870" s="3"/>
      <c r="G870" s="3"/>
      <c r="H870" s="3"/>
      <c r="I870" s="3"/>
      <c r="J870" s="3"/>
      <c r="K870" s="3"/>
      <c r="L870" s="4"/>
      <c r="M870" s="32"/>
      <c r="N870" s="32"/>
      <c r="O870" s="32"/>
      <c r="P870" s="32"/>
      <c r="Q870" s="32"/>
      <c r="R870" s="32"/>
      <c r="S870" s="32"/>
      <c r="T870" s="32"/>
      <c r="U870" s="32"/>
      <c r="V870" s="32"/>
      <c r="W870" s="32"/>
      <c r="X870" s="32"/>
      <c r="Y870" s="32"/>
      <c r="Z870" s="32"/>
    </row>
    <row r="871" spans="1:26" ht="17.25" customHeight="1">
      <c r="A871" s="3"/>
      <c r="B871" s="3"/>
      <c r="C871" s="3"/>
      <c r="D871" s="3"/>
      <c r="E871" s="3"/>
      <c r="F871" s="3"/>
      <c r="G871" s="3"/>
      <c r="H871" s="3"/>
      <c r="I871" s="3"/>
      <c r="J871" s="3"/>
      <c r="K871" s="3"/>
      <c r="L871" s="4"/>
      <c r="M871" s="32"/>
      <c r="N871" s="32"/>
      <c r="O871" s="32"/>
      <c r="P871" s="32"/>
      <c r="Q871" s="32"/>
      <c r="R871" s="32"/>
      <c r="S871" s="32"/>
      <c r="T871" s="32"/>
      <c r="U871" s="32"/>
      <c r="V871" s="32"/>
      <c r="W871" s="32"/>
      <c r="X871" s="32"/>
      <c r="Y871" s="32"/>
      <c r="Z871" s="32"/>
    </row>
    <row r="872" spans="1:26" ht="17.25" customHeight="1">
      <c r="A872" s="3"/>
      <c r="B872" s="3"/>
      <c r="C872" s="3"/>
      <c r="D872" s="3"/>
      <c r="E872" s="3"/>
      <c r="F872" s="3"/>
      <c r="G872" s="3"/>
      <c r="H872" s="3"/>
      <c r="I872" s="3"/>
      <c r="J872" s="3"/>
      <c r="K872" s="3"/>
      <c r="L872" s="4"/>
      <c r="M872" s="32"/>
      <c r="N872" s="32"/>
      <c r="O872" s="32"/>
      <c r="P872" s="32"/>
      <c r="Q872" s="32"/>
      <c r="R872" s="32"/>
      <c r="S872" s="32"/>
      <c r="T872" s="32"/>
      <c r="U872" s="32"/>
      <c r="V872" s="32"/>
      <c r="W872" s="32"/>
      <c r="X872" s="32"/>
      <c r="Y872" s="32"/>
      <c r="Z872" s="32"/>
    </row>
    <row r="873" spans="1:26" ht="17.25" customHeight="1">
      <c r="A873" s="3"/>
      <c r="B873" s="3"/>
      <c r="C873" s="3"/>
      <c r="D873" s="3"/>
      <c r="E873" s="3"/>
      <c r="F873" s="3"/>
      <c r="G873" s="3"/>
      <c r="H873" s="3"/>
      <c r="I873" s="3"/>
      <c r="J873" s="3"/>
      <c r="K873" s="3"/>
      <c r="L873" s="4"/>
      <c r="M873" s="32"/>
      <c r="N873" s="32"/>
      <c r="O873" s="32"/>
      <c r="P873" s="32"/>
      <c r="Q873" s="32"/>
      <c r="R873" s="32"/>
      <c r="S873" s="32"/>
      <c r="T873" s="32"/>
      <c r="U873" s="32"/>
      <c r="V873" s="32"/>
      <c r="W873" s="32"/>
      <c r="X873" s="32"/>
      <c r="Y873" s="32"/>
      <c r="Z873" s="32"/>
    </row>
    <row r="874" spans="1:26" ht="17.25" customHeight="1">
      <c r="A874" s="3"/>
      <c r="B874" s="3"/>
      <c r="C874" s="3"/>
      <c r="D874" s="3"/>
      <c r="E874" s="3"/>
      <c r="F874" s="3"/>
      <c r="G874" s="3"/>
      <c r="H874" s="3"/>
      <c r="I874" s="3"/>
      <c r="J874" s="3"/>
      <c r="K874" s="3"/>
      <c r="L874" s="4"/>
      <c r="M874" s="32"/>
      <c r="N874" s="32"/>
      <c r="O874" s="32"/>
      <c r="P874" s="32"/>
      <c r="Q874" s="32"/>
      <c r="R874" s="32"/>
      <c r="S874" s="32"/>
      <c r="T874" s="32"/>
      <c r="U874" s="32"/>
      <c r="V874" s="32"/>
      <c r="W874" s="32"/>
      <c r="X874" s="32"/>
      <c r="Y874" s="32"/>
      <c r="Z874" s="32"/>
    </row>
    <row r="875" spans="1:26" ht="17.25" customHeight="1">
      <c r="A875" s="3"/>
      <c r="B875" s="3"/>
      <c r="C875" s="3"/>
      <c r="D875" s="3"/>
      <c r="E875" s="3"/>
      <c r="F875" s="3"/>
      <c r="G875" s="3"/>
      <c r="H875" s="3"/>
      <c r="I875" s="3"/>
      <c r="J875" s="3"/>
      <c r="K875" s="3"/>
      <c r="L875" s="4"/>
      <c r="M875" s="32"/>
      <c r="N875" s="32"/>
      <c r="O875" s="32"/>
      <c r="P875" s="32"/>
      <c r="Q875" s="32"/>
      <c r="R875" s="32"/>
      <c r="S875" s="32"/>
      <c r="T875" s="32"/>
      <c r="U875" s="32"/>
      <c r="V875" s="32"/>
      <c r="W875" s="32"/>
      <c r="X875" s="32"/>
      <c r="Y875" s="32"/>
      <c r="Z875" s="32"/>
    </row>
    <row r="876" spans="1:26" ht="17.25" customHeight="1">
      <c r="A876" s="3"/>
      <c r="B876" s="3"/>
      <c r="C876" s="3"/>
      <c r="D876" s="3"/>
      <c r="E876" s="3"/>
      <c r="F876" s="3"/>
      <c r="G876" s="3"/>
      <c r="H876" s="3"/>
      <c r="I876" s="3"/>
      <c r="J876" s="3"/>
      <c r="K876" s="3"/>
      <c r="L876" s="4"/>
      <c r="M876" s="32"/>
      <c r="N876" s="32"/>
      <c r="O876" s="32"/>
      <c r="P876" s="32"/>
      <c r="Q876" s="32"/>
      <c r="R876" s="32"/>
      <c r="S876" s="32"/>
      <c r="T876" s="32"/>
      <c r="U876" s="32"/>
      <c r="V876" s="32"/>
      <c r="W876" s="32"/>
      <c r="X876" s="32"/>
      <c r="Y876" s="32"/>
      <c r="Z876" s="32"/>
    </row>
    <row r="877" spans="1:26" ht="17.25" customHeight="1">
      <c r="A877" s="3"/>
      <c r="B877" s="3"/>
      <c r="C877" s="3"/>
      <c r="D877" s="3"/>
      <c r="E877" s="3"/>
      <c r="F877" s="3"/>
      <c r="G877" s="3"/>
      <c r="H877" s="3"/>
      <c r="I877" s="3"/>
      <c r="J877" s="3"/>
      <c r="K877" s="3"/>
      <c r="L877" s="4"/>
      <c r="M877" s="32"/>
      <c r="N877" s="32"/>
      <c r="O877" s="32"/>
      <c r="P877" s="32"/>
      <c r="Q877" s="32"/>
      <c r="R877" s="32"/>
      <c r="S877" s="32"/>
      <c r="T877" s="32"/>
      <c r="U877" s="32"/>
      <c r="V877" s="32"/>
      <c r="W877" s="32"/>
      <c r="X877" s="32"/>
      <c r="Y877" s="32"/>
      <c r="Z877" s="32"/>
    </row>
    <row r="878" spans="1:26" ht="17.25" customHeight="1">
      <c r="A878" s="3"/>
      <c r="B878" s="3"/>
      <c r="C878" s="3"/>
      <c r="D878" s="3"/>
      <c r="E878" s="3"/>
      <c r="F878" s="3"/>
      <c r="G878" s="3"/>
      <c r="H878" s="3"/>
      <c r="I878" s="3"/>
      <c r="J878" s="3"/>
      <c r="K878" s="3"/>
      <c r="L878" s="4"/>
      <c r="M878" s="32"/>
      <c r="N878" s="32"/>
      <c r="O878" s="32"/>
      <c r="P878" s="32"/>
      <c r="Q878" s="32"/>
      <c r="R878" s="32"/>
      <c r="S878" s="32"/>
      <c r="T878" s="32"/>
      <c r="U878" s="32"/>
      <c r="V878" s="32"/>
      <c r="W878" s="32"/>
      <c r="X878" s="32"/>
      <c r="Y878" s="32"/>
      <c r="Z878" s="32"/>
    </row>
    <row r="879" spans="1:26" ht="17.25" customHeight="1">
      <c r="A879" s="3"/>
      <c r="B879" s="3"/>
      <c r="C879" s="3"/>
      <c r="D879" s="3"/>
      <c r="E879" s="3"/>
      <c r="F879" s="3"/>
      <c r="G879" s="3"/>
      <c r="H879" s="3"/>
      <c r="I879" s="3"/>
      <c r="J879" s="3"/>
      <c r="K879" s="3"/>
      <c r="L879" s="4"/>
      <c r="M879" s="32"/>
      <c r="N879" s="32"/>
      <c r="O879" s="32"/>
      <c r="P879" s="32"/>
      <c r="Q879" s="32"/>
      <c r="R879" s="32"/>
      <c r="S879" s="32"/>
      <c r="T879" s="32"/>
      <c r="U879" s="32"/>
      <c r="V879" s="32"/>
      <c r="W879" s="32"/>
      <c r="X879" s="32"/>
      <c r="Y879" s="32"/>
      <c r="Z879" s="32"/>
    </row>
    <row r="880" spans="1:26" ht="17.25" customHeight="1">
      <c r="A880" s="3"/>
      <c r="B880" s="3"/>
      <c r="C880" s="3"/>
      <c r="D880" s="3"/>
      <c r="E880" s="3"/>
      <c r="F880" s="3"/>
      <c r="G880" s="3"/>
      <c r="H880" s="3"/>
      <c r="I880" s="3"/>
      <c r="J880" s="3"/>
      <c r="K880" s="3"/>
      <c r="L880" s="4"/>
      <c r="M880" s="32"/>
      <c r="N880" s="32"/>
      <c r="O880" s="32"/>
      <c r="P880" s="32"/>
      <c r="Q880" s="32"/>
      <c r="R880" s="32"/>
      <c r="S880" s="32"/>
      <c r="T880" s="32"/>
      <c r="U880" s="32"/>
      <c r="V880" s="32"/>
      <c r="W880" s="32"/>
      <c r="X880" s="32"/>
      <c r="Y880" s="32"/>
      <c r="Z880" s="32"/>
    </row>
    <row r="881" spans="1:26" ht="17.25" customHeight="1">
      <c r="A881" s="3"/>
      <c r="B881" s="3"/>
      <c r="C881" s="3"/>
      <c r="D881" s="3"/>
      <c r="E881" s="3"/>
      <c r="F881" s="3"/>
      <c r="G881" s="3"/>
      <c r="H881" s="3"/>
      <c r="I881" s="3"/>
      <c r="J881" s="3"/>
      <c r="K881" s="3"/>
      <c r="L881" s="4"/>
      <c r="M881" s="32"/>
      <c r="N881" s="32"/>
      <c r="O881" s="32"/>
      <c r="P881" s="32"/>
      <c r="Q881" s="32"/>
      <c r="R881" s="32"/>
      <c r="S881" s="32"/>
      <c r="T881" s="32"/>
      <c r="U881" s="32"/>
      <c r="V881" s="32"/>
      <c r="W881" s="32"/>
      <c r="X881" s="32"/>
      <c r="Y881" s="32"/>
      <c r="Z881" s="32"/>
    </row>
    <row r="882" spans="1:26" ht="17.25" customHeight="1">
      <c r="A882" s="3"/>
      <c r="B882" s="3"/>
      <c r="C882" s="3"/>
      <c r="D882" s="3"/>
      <c r="E882" s="3"/>
      <c r="F882" s="3"/>
      <c r="G882" s="3"/>
      <c r="H882" s="3"/>
      <c r="I882" s="3"/>
      <c r="J882" s="3"/>
      <c r="K882" s="3"/>
      <c r="L882" s="4"/>
      <c r="M882" s="32"/>
      <c r="N882" s="32"/>
      <c r="O882" s="32"/>
      <c r="P882" s="32"/>
      <c r="Q882" s="32"/>
      <c r="R882" s="32"/>
      <c r="S882" s="32"/>
      <c r="T882" s="32"/>
      <c r="U882" s="32"/>
      <c r="V882" s="32"/>
      <c r="W882" s="32"/>
      <c r="X882" s="32"/>
      <c r="Y882" s="32"/>
      <c r="Z882" s="32"/>
    </row>
    <row r="883" spans="1:26" ht="17.25" customHeight="1">
      <c r="A883" s="3"/>
      <c r="B883" s="3"/>
      <c r="C883" s="3"/>
      <c r="D883" s="3"/>
      <c r="E883" s="3"/>
      <c r="F883" s="3"/>
      <c r="G883" s="3"/>
      <c r="H883" s="3"/>
      <c r="I883" s="3"/>
      <c r="J883" s="3"/>
      <c r="K883" s="3"/>
      <c r="L883" s="4"/>
      <c r="M883" s="32"/>
      <c r="N883" s="32"/>
      <c r="O883" s="32"/>
      <c r="P883" s="32"/>
      <c r="Q883" s="32"/>
      <c r="R883" s="32"/>
      <c r="S883" s="32"/>
      <c r="T883" s="32"/>
      <c r="U883" s="32"/>
      <c r="V883" s="32"/>
      <c r="W883" s="32"/>
      <c r="X883" s="32"/>
      <c r="Y883" s="32"/>
      <c r="Z883" s="32"/>
    </row>
    <row r="884" spans="1:26" ht="17.25" customHeight="1">
      <c r="A884" s="3"/>
      <c r="B884" s="3"/>
      <c r="C884" s="3"/>
      <c r="D884" s="3"/>
      <c r="E884" s="3"/>
      <c r="F884" s="3"/>
      <c r="G884" s="3"/>
      <c r="H884" s="3"/>
      <c r="I884" s="3"/>
      <c r="J884" s="3"/>
      <c r="K884" s="3"/>
      <c r="L884" s="4"/>
      <c r="M884" s="32"/>
      <c r="N884" s="32"/>
      <c r="O884" s="32"/>
      <c r="P884" s="32"/>
      <c r="Q884" s="32"/>
      <c r="R884" s="32"/>
      <c r="S884" s="32"/>
      <c r="T884" s="32"/>
      <c r="U884" s="32"/>
      <c r="V884" s="32"/>
      <c r="W884" s="32"/>
      <c r="X884" s="32"/>
      <c r="Y884" s="32"/>
      <c r="Z884" s="32"/>
    </row>
    <row r="885" spans="1:26" ht="17.25" customHeight="1">
      <c r="A885" s="3"/>
      <c r="B885" s="3"/>
      <c r="C885" s="3"/>
      <c r="D885" s="3"/>
      <c r="E885" s="3"/>
      <c r="F885" s="3"/>
      <c r="G885" s="3"/>
      <c r="H885" s="3"/>
      <c r="I885" s="3"/>
      <c r="J885" s="3"/>
      <c r="K885" s="3"/>
      <c r="L885" s="4"/>
      <c r="M885" s="32"/>
      <c r="N885" s="32"/>
      <c r="O885" s="32"/>
      <c r="P885" s="32"/>
      <c r="Q885" s="32"/>
      <c r="R885" s="32"/>
      <c r="S885" s="32"/>
      <c r="T885" s="32"/>
      <c r="U885" s="32"/>
      <c r="V885" s="32"/>
      <c r="W885" s="32"/>
      <c r="X885" s="32"/>
      <c r="Y885" s="32"/>
      <c r="Z885" s="32"/>
    </row>
    <row r="886" spans="1:26" ht="17.25" customHeight="1">
      <c r="A886" s="3"/>
      <c r="B886" s="3"/>
      <c r="C886" s="3"/>
      <c r="D886" s="3"/>
      <c r="E886" s="3"/>
      <c r="F886" s="3"/>
      <c r="G886" s="3"/>
      <c r="H886" s="3"/>
      <c r="I886" s="3"/>
      <c r="J886" s="3"/>
      <c r="K886" s="3"/>
      <c r="L886" s="4"/>
      <c r="M886" s="32"/>
      <c r="N886" s="32"/>
      <c r="O886" s="32"/>
      <c r="P886" s="32"/>
      <c r="Q886" s="32"/>
      <c r="R886" s="32"/>
      <c r="S886" s="32"/>
      <c r="T886" s="32"/>
      <c r="U886" s="32"/>
      <c r="V886" s="32"/>
      <c r="W886" s="32"/>
      <c r="X886" s="32"/>
      <c r="Y886" s="32"/>
      <c r="Z886" s="32"/>
    </row>
    <row r="887" spans="1:26" ht="17.25" customHeight="1">
      <c r="A887" s="3"/>
      <c r="B887" s="3"/>
      <c r="C887" s="3"/>
      <c r="D887" s="3"/>
      <c r="E887" s="3"/>
      <c r="F887" s="3"/>
      <c r="G887" s="3"/>
      <c r="H887" s="3"/>
      <c r="I887" s="3"/>
      <c r="J887" s="3"/>
      <c r="K887" s="3"/>
      <c r="L887" s="4"/>
      <c r="M887" s="32"/>
      <c r="N887" s="32"/>
      <c r="O887" s="32"/>
      <c r="P887" s="32"/>
      <c r="Q887" s="32"/>
      <c r="R887" s="32"/>
      <c r="S887" s="32"/>
      <c r="T887" s="32"/>
      <c r="U887" s="32"/>
      <c r="V887" s="32"/>
      <c r="W887" s="32"/>
      <c r="X887" s="32"/>
      <c r="Y887" s="32"/>
      <c r="Z887" s="32"/>
    </row>
    <row r="888" spans="1:26" ht="17.25" customHeight="1">
      <c r="A888" s="3"/>
      <c r="B888" s="3"/>
      <c r="C888" s="3"/>
      <c r="D888" s="3"/>
      <c r="E888" s="3"/>
      <c r="F888" s="3"/>
      <c r="G888" s="3"/>
      <c r="H888" s="3"/>
      <c r="I888" s="3"/>
      <c r="J888" s="3"/>
      <c r="K888" s="3"/>
      <c r="L888" s="4"/>
      <c r="M888" s="32"/>
      <c r="N888" s="32"/>
      <c r="O888" s="32"/>
      <c r="P888" s="32"/>
      <c r="Q888" s="32"/>
      <c r="R888" s="32"/>
      <c r="S888" s="32"/>
      <c r="T888" s="32"/>
      <c r="U888" s="32"/>
      <c r="V888" s="32"/>
      <c r="W888" s="32"/>
      <c r="X888" s="32"/>
      <c r="Y888" s="32"/>
      <c r="Z888" s="32"/>
    </row>
    <row r="889" spans="1:26" ht="17.25" customHeight="1">
      <c r="A889" s="3"/>
      <c r="B889" s="3"/>
      <c r="C889" s="3"/>
      <c r="D889" s="3"/>
      <c r="E889" s="3"/>
      <c r="F889" s="3"/>
      <c r="G889" s="3"/>
      <c r="H889" s="3"/>
      <c r="I889" s="3"/>
      <c r="J889" s="3"/>
      <c r="K889" s="3"/>
      <c r="L889" s="4"/>
      <c r="M889" s="32"/>
      <c r="N889" s="32"/>
      <c r="O889" s="32"/>
      <c r="P889" s="32"/>
      <c r="Q889" s="32"/>
      <c r="R889" s="32"/>
      <c r="S889" s="32"/>
      <c r="T889" s="32"/>
      <c r="U889" s="32"/>
      <c r="V889" s="32"/>
      <c r="W889" s="32"/>
      <c r="X889" s="32"/>
      <c r="Y889" s="32"/>
      <c r="Z889" s="32"/>
    </row>
    <row r="890" spans="1:26" ht="17.25" customHeight="1">
      <c r="A890" s="3"/>
      <c r="B890" s="3"/>
      <c r="C890" s="3"/>
      <c r="D890" s="3"/>
      <c r="E890" s="3"/>
      <c r="F890" s="3"/>
      <c r="G890" s="3"/>
      <c r="H890" s="3"/>
      <c r="I890" s="3"/>
      <c r="J890" s="3"/>
      <c r="K890" s="3"/>
      <c r="L890" s="4"/>
      <c r="M890" s="32"/>
      <c r="N890" s="32"/>
      <c r="O890" s="32"/>
      <c r="P890" s="32"/>
      <c r="Q890" s="32"/>
      <c r="R890" s="32"/>
      <c r="S890" s="32"/>
      <c r="T890" s="32"/>
      <c r="U890" s="32"/>
      <c r="V890" s="32"/>
      <c r="W890" s="32"/>
      <c r="X890" s="32"/>
      <c r="Y890" s="32"/>
      <c r="Z890" s="32"/>
    </row>
    <row r="891" spans="1:26" ht="17.25" customHeight="1">
      <c r="A891" s="3"/>
      <c r="B891" s="3"/>
      <c r="C891" s="3"/>
      <c r="D891" s="3"/>
      <c r="E891" s="3"/>
      <c r="F891" s="3"/>
      <c r="G891" s="3"/>
      <c r="H891" s="3"/>
      <c r="I891" s="3"/>
      <c r="J891" s="3"/>
      <c r="K891" s="3"/>
      <c r="L891" s="4"/>
      <c r="M891" s="32"/>
      <c r="N891" s="32"/>
      <c r="O891" s="32"/>
      <c r="P891" s="32"/>
      <c r="Q891" s="32"/>
      <c r="R891" s="32"/>
      <c r="S891" s="32"/>
      <c r="T891" s="32"/>
      <c r="U891" s="32"/>
      <c r="V891" s="32"/>
      <c r="W891" s="32"/>
      <c r="X891" s="32"/>
      <c r="Y891" s="32"/>
      <c r="Z891" s="32"/>
    </row>
    <row r="892" spans="1:26" ht="17.25" customHeight="1">
      <c r="A892" s="3"/>
      <c r="B892" s="3"/>
      <c r="C892" s="3"/>
      <c r="D892" s="3"/>
      <c r="E892" s="3"/>
      <c r="F892" s="3"/>
      <c r="G892" s="3"/>
      <c r="H892" s="3"/>
      <c r="I892" s="3"/>
      <c r="J892" s="3"/>
      <c r="K892" s="3"/>
      <c r="L892" s="4"/>
      <c r="M892" s="32"/>
      <c r="N892" s="32"/>
      <c r="O892" s="32"/>
      <c r="P892" s="32"/>
      <c r="Q892" s="32"/>
      <c r="R892" s="32"/>
      <c r="S892" s="32"/>
      <c r="T892" s="32"/>
      <c r="U892" s="32"/>
      <c r="V892" s="32"/>
      <c r="W892" s="32"/>
      <c r="X892" s="32"/>
      <c r="Y892" s="32"/>
      <c r="Z892" s="32"/>
    </row>
    <row r="893" spans="1:26" ht="17.25" customHeight="1">
      <c r="A893" s="3"/>
      <c r="B893" s="3"/>
      <c r="C893" s="3"/>
      <c r="D893" s="3"/>
      <c r="E893" s="3"/>
      <c r="F893" s="3"/>
      <c r="G893" s="3"/>
      <c r="H893" s="3"/>
      <c r="I893" s="3"/>
      <c r="J893" s="3"/>
      <c r="K893" s="3"/>
      <c r="L893" s="4"/>
      <c r="M893" s="32"/>
      <c r="N893" s="32"/>
      <c r="O893" s="32"/>
      <c r="P893" s="32"/>
      <c r="Q893" s="32"/>
      <c r="R893" s="32"/>
      <c r="S893" s="32"/>
      <c r="T893" s="32"/>
      <c r="U893" s="32"/>
      <c r="V893" s="32"/>
      <c r="W893" s="32"/>
      <c r="X893" s="32"/>
      <c r="Y893" s="32"/>
      <c r="Z893" s="32"/>
    </row>
    <row r="894" spans="1:26" ht="17.25" customHeight="1">
      <c r="A894" s="3"/>
      <c r="B894" s="3"/>
      <c r="C894" s="3"/>
      <c r="D894" s="3"/>
      <c r="E894" s="3"/>
      <c r="F894" s="3"/>
      <c r="G894" s="3"/>
      <c r="H894" s="3"/>
      <c r="I894" s="3"/>
      <c r="J894" s="3"/>
      <c r="K894" s="3"/>
      <c r="L894" s="4"/>
      <c r="M894" s="32"/>
      <c r="N894" s="32"/>
      <c r="O894" s="32"/>
      <c r="P894" s="32"/>
      <c r="Q894" s="32"/>
      <c r="R894" s="32"/>
      <c r="S894" s="32"/>
      <c r="T894" s="32"/>
      <c r="U894" s="32"/>
      <c r="V894" s="32"/>
      <c r="W894" s="32"/>
      <c r="X894" s="32"/>
      <c r="Y894" s="32"/>
      <c r="Z894" s="32"/>
    </row>
    <row r="895" spans="1:26" ht="17.25" customHeight="1">
      <c r="A895" s="3"/>
      <c r="B895" s="3"/>
      <c r="C895" s="3"/>
      <c r="D895" s="3"/>
      <c r="E895" s="3"/>
      <c r="F895" s="3"/>
      <c r="G895" s="3"/>
      <c r="H895" s="3"/>
      <c r="I895" s="3"/>
      <c r="J895" s="3"/>
      <c r="K895" s="3"/>
      <c r="L895" s="4"/>
      <c r="M895" s="32"/>
      <c r="N895" s="32"/>
      <c r="O895" s="32"/>
      <c r="P895" s="32"/>
      <c r="Q895" s="32"/>
      <c r="R895" s="32"/>
      <c r="S895" s="32"/>
      <c r="T895" s="32"/>
      <c r="U895" s="32"/>
      <c r="V895" s="32"/>
      <c r="W895" s="32"/>
      <c r="X895" s="32"/>
      <c r="Y895" s="32"/>
      <c r="Z895" s="32"/>
    </row>
    <row r="896" spans="1:26" ht="17.25" customHeight="1">
      <c r="A896" s="3"/>
      <c r="B896" s="3"/>
      <c r="C896" s="3"/>
      <c r="D896" s="3"/>
      <c r="E896" s="3"/>
      <c r="F896" s="3"/>
      <c r="G896" s="3"/>
      <c r="H896" s="3"/>
      <c r="I896" s="3"/>
      <c r="J896" s="3"/>
      <c r="K896" s="3"/>
      <c r="L896" s="4"/>
      <c r="M896" s="32"/>
      <c r="N896" s="32"/>
      <c r="O896" s="32"/>
      <c r="P896" s="32"/>
      <c r="Q896" s="32"/>
      <c r="R896" s="32"/>
      <c r="S896" s="32"/>
      <c r="T896" s="32"/>
      <c r="U896" s="32"/>
      <c r="V896" s="32"/>
      <c r="W896" s="32"/>
      <c r="X896" s="32"/>
      <c r="Y896" s="32"/>
      <c r="Z896" s="32"/>
    </row>
    <row r="897" spans="1:26" ht="17.25" customHeight="1">
      <c r="A897" s="3"/>
      <c r="B897" s="3"/>
      <c r="C897" s="3"/>
      <c r="D897" s="3"/>
      <c r="E897" s="3"/>
      <c r="F897" s="3"/>
      <c r="G897" s="3"/>
      <c r="H897" s="3"/>
      <c r="I897" s="3"/>
      <c r="J897" s="3"/>
      <c r="K897" s="3"/>
      <c r="L897" s="4"/>
      <c r="M897" s="32"/>
      <c r="N897" s="32"/>
      <c r="O897" s="32"/>
      <c r="P897" s="32"/>
      <c r="Q897" s="32"/>
      <c r="R897" s="32"/>
      <c r="S897" s="32"/>
      <c r="T897" s="32"/>
      <c r="U897" s="32"/>
      <c r="V897" s="32"/>
      <c r="W897" s="32"/>
      <c r="X897" s="32"/>
      <c r="Y897" s="32"/>
      <c r="Z897" s="32"/>
    </row>
    <row r="898" spans="1:26" ht="17.25" customHeight="1">
      <c r="A898" s="3"/>
      <c r="B898" s="3"/>
      <c r="C898" s="3"/>
      <c r="D898" s="3"/>
      <c r="E898" s="3"/>
      <c r="F898" s="3"/>
      <c r="G898" s="3"/>
      <c r="H898" s="3"/>
      <c r="I898" s="3"/>
      <c r="J898" s="3"/>
      <c r="K898" s="3"/>
      <c r="L898" s="4"/>
      <c r="M898" s="32"/>
      <c r="N898" s="32"/>
      <c r="O898" s="32"/>
      <c r="P898" s="32"/>
      <c r="Q898" s="32"/>
      <c r="R898" s="32"/>
      <c r="S898" s="32"/>
      <c r="T898" s="32"/>
      <c r="U898" s="32"/>
      <c r="V898" s="32"/>
      <c r="W898" s="32"/>
      <c r="X898" s="32"/>
      <c r="Y898" s="32"/>
      <c r="Z898" s="32"/>
    </row>
    <row r="899" spans="1:26" ht="17.25" customHeight="1">
      <c r="A899" s="3"/>
      <c r="B899" s="3"/>
      <c r="C899" s="3"/>
      <c r="D899" s="3"/>
      <c r="E899" s="3"/>
      <c r="F899" s="3"/>
      <c r="G899" s="3"/>
      <c r="H899" s="3"/>
      <c r="I899" s="3"/>
      <c r="J899" s="3"/>
      <c r="K899" s="3"/>
      <c r="L899" s="4"/>
      <c r="M899" s="32"/>
      <c r="N899" s="32"/>
      <c r="O899" s="32"/>
      <c r="P899" s="32"/>
      <c r="Q899" s="32"/>
      <c r="R899" s="32"/>
      <c r="S899" s="32"/>
      <c r="T899" s="32"/>
      <c r="U899" s="32"/>
      <c r="V899" s="32"/>
      <c r="W899" s="32"/>
      <c r="X899" s="32"/>
      <c r="Y899" s="32"/>
      <c r="Z899" s="32"/>
    </row>
    <row r="900" spans="1:26" ht="17.25" customHeight="1">
      <c r="A900" s="3"/>
      <c r="B900" s="3"/>
      <c r="C900" s="3"/>
      <c r="D900" s="3"/>
      <c r="E900" s="3"/>
      <c r="F900" s="3"/>
      <c r="G900" s="3"/>
      <c r="H900" s="3"/>
      <c r="I900" s="3"/>
      <c r="J900" s="3"/>
      <c r="K900" s="3"/>
      <c r="L900" s="4"/>
      <c r="M900" s="32"/>
      <c r="N900" s="32"/>
      <c r="O900" s="32"/>
      <c r="P900" s="32"/>
      <c r="Q900" s="32"/>
      <c r="R900" s="32"/>
      <c r="S900" s="32"/>
      <c r="T900" s="32"/>
      <c r="U900" s="32"/>
      <c r="V900" s="32"/>
      <c r="W900" s="32"/>
      <c r="X900" s="32"/>
      <c r="Y900" s="32"/>
      <c r="Z900" s="32"/>
    </row>
    <row r="901" spans="1:26" ht="17.25" customHeight="1">
      <c r="A901" s="3"/>
      <c r="B901" s="3"/>
      <c r="C901" s="3"/>
      <c r="D901" s="3"/>
      <c r="E901" s="3"/>
      <c r="F901" s="3"/>
      <c r="G901" s="3"/>
      <c r="H901" s="3"/>
      <c r="I901" s="3"/>
      <c r="J901" s="3"/>
      <c r="K901" s="3"/>
      <c r="L901" s="4"/>
      <c r="M901" s="32"/>
      <c r="N901" s="32"/>
      <c r="O901" s="32"/>
      <c r="P901" s="32"/>
      <c r="Q901" s="32"/>
      <c r="R901" s="32"/>
      <c r="S901" s="32"/>
      <c r="T901" s="32"/>
      <c r="U901" s="32"/>
      <c r="V901" s="32"/>
      <c r="W901" s="32"/>
      <c r="X901" s="32"/>
      <c r="Y901" s="32"/>
      <c r="Z901" s="32"/>
    </row>
    <row r="902" spans="1:26" ht="17.25" customHeight="1">
      <c r="A902" s="3"/>
      <c r="B902" s="3"/>
      <c r="C902" s="3"/>
      <c r="D902" s="3"/>
      <c r="E902" s="3"/>
      <c r="F902" s="3"/>
      <c r="G902" s="3"/>
      <c r="H902" s="3"/>
      <c r="I902" s="3"/>
      <c r="J902" s="3"/>
      <c r="K902" s="3"/>
      <c r="L902" s="4"/>
      <c r="M902" s="32"/>
      <c r="N902" s="32"/>
      <c r="O902" s="32"/>
      <c r="P902" s="32"/>
      <c r="Q902" s="32"/>
      <c r="R902" s="32"/>
      <c r="S902" s="32"/>
      <c r="T902" s="32"/>
      <c r="U902" s="32"/>
      <c r="V902" s="32"/>
      <c r="W902" s="32"/>
      <c r="X902" s="32"/>
      <c r="Y902" s="32"/>
      <c r="Z902" s="32"/>
    </row>
    <row r="903" spans="1:26" ht="17.25" customHeight="1">
      <c r="A903" s="3"/>
      <c r="B903" s="3"/>
      <c r="C903" s="3"/>
      <c r="D903" s="3"/>
      <c r="E903" s="3"/>
      <c r="F903" s="3"/>
      <c r="G903" s="3"/>
      <c r="H903" s="3"/>
      <c r="I903" s="3"/>
      <c r="J903" s="3"/>
      <c r="K903" s="3"/>
      <c r="L903" s="4"/>
      <c r="M903" s="32"/>
      <c r="N903" s="32"/>
      <c r="O903" s="32"/>
      <c r="P903" s="32"/>
      <c r="Q903" s="32"/>
      <c r="R903" s="32"/>
      <c r="S903" s="32"/>
      <c r="T903" s="32"/>
      <c r="U903" s="32"/>
      <c r="V903" s="32"/>
      <c r="W903" s="32"/>
      <c r="X903" s="32"/>
      <c r="Y903" s="32"/>
      <c r="Z903" s="32"/>
    </row>
    <row r="904" spans="1:26" ht="17.25" customHeight="1">
      <c r="A904" s="3"/>
      <c r="B904" s="3"/>
      <c r="C904" s="3"/>
      <c r="D904" s="3"/>
      <c r="E904" s="3"/>
      <c r="F904" s="3"/>
      <c r="G904" s="3"/>
      <c r="H904" s="3"/>
      <c r="I904" s="3"/>
      <c r="J904" s="3"/>
      <c r="K904" s="3"/>
      <c r="L904" s="4"/>
      <c r="M904" s="32"/>
      <c r="N904" s="32"/>
      <c r="O904" s="32"/>
      <c r="P904" s="32"/>
      <c r="Q904" s="32"/>
      <c r="R904" s="32"/>
      <c r="S904" s="32"/>
      <c r="T904" s="32"/>
      <c r="U904" s="32"/>
      <c r="V904" s="32"/>
      <c r="W904" s="32"/>
      <c r="X904" s="32"/>
      <c r="Y904" s="32"/>
      <c r="Z904" s="32"/>
    </row>
    <row r="905" spans="1:26" ht="17.25" customHeight="1">
      <c r="A905" s="3"/>
      <c r="B905" s="3"/>
      <c r="C905" s="3"/>
      <c r="D905" s="3"/>
      <c r="E905" s="3"/>
      <c r="F905" s="3"/>
      <c r="G905" s="3"/>
      <c r="H905" s="3"/>
      <c r="I905" s="3"/>
      <c r="J905" s="3"/>
      <c r="K905" s="3"/>
      <c r="L905" s="4"/>
      <c r="M905" s="32"/>
      <c r="N905" s="32"/>
      <c r="O905" s="32"/>
      <c r="P905" s="32"/>
      <c r="Q905" s="32"/>
      <c r="R905" s="32"/>
      <c r="S905" s="32"/>
      <c r="T905" s="32"/>
      <c r="U905" s="32"/>
      <c r="V905" s="32"/>
      <c r="W905" s="32"/>
      <c r="X905" s="32"/>
      <c r="Y905" s="32"/>
      <c r="Z905" s="32"/>
    </row>
    <row r="906" spans="1:26" ht="17.25" customHeight="1">
      <c r="A906" s="3"/>
      <c r="B906" s="3"/>
      <c r="C906" s="3"/>
      <c r="D906" s="3"/>
      <c r="E906" s="3"/>
      <c r="F906" s="3"/>
      <c r="G906" s="3"/>
      <c r="H906" s="3"/>
      <c r="I906" s="3"/>
      <c r="J906" s="3"/>
      <c r="K906" s="3"/>
      <c r="L906" s="4"/>
      <c r="M906" s="32"/>
      <c r="N906" s="32"/>
      <c r="O906" s="32"/>
      <c r="P906" s="32"/>
      <c r="Q906" s="32"/>
      <c r="R906" s="32"/>
      <c r="S906" s="32"/>
      <c r="T906" s="32"/>
      <c r="U906" s="32"/>
      <c r="V906" s="32"/>
      <c r="W906" s="32"/>
      <c r="X906" s="32"/>
      <c r="Y906" s="32"/>
      <c r="Z906" s="32"/>
    </row>
    <row r="907" spans="1:26" ht="17.25" customHeight="1">
      <c r="A907" s="3"/>
      <c r="B907" s="3"/>
      <c r="C907" s="3"/>
      <c r="D907" s="3"/>
      <c r="E907" s="3"/>
      <c r="F907" s="3"/>
      <c r="G907" s="3"/>
      <c r="H907" s="3"/>
      <c r="I907" s="3"/>
      <c r="J907" s="3"/>
      <c r="K907" s="3"/>
      <c r="L907" s="4"/>
      <c r="M907" s="32"/>
      <c r="N907" s="32"/>
      <c r="O907" s="32"/>
      <c r="P907" s="32"/>
      <c r="Q907" s="32"/>
      <c r="R907" s="32"/>
      <c r="S907" s="32"/>
      <c r="T907" s="32"/>
      <c r="U907" s="32"/>
      <c r="V907" s="32"/>
      <c r="W907" s="32"/>
      <c r="X907" s="32"/>
      <c r="Y907" s="32"/>
      <c r="Z907" s="32"/>
    </row>
    <row r="908" spans="1:26" ht="17.25" customHeight="1">
      <c r="A908" s="3"/>
      <c r="B908" s="3"/>
      <c r="C908" s="3"/>
      <c r="D908" s="3"/>
      <c r="E908" s="3"/>
      <c r="F908" s="3"/>
      <c r="G908" s="3"/>
      <c r="H908" s="3"/>
      <c r="I908" s="3"/>
      <c r="J908" s="3"/>
      <c r="K908" s="3"/>
      <c r="L908" s="4"/>
      <c r="M908" s="32"/>
      <c r="N908" s="32"/>
      <c r="O908" s="32"/>
      <c r="P908" s="32"/>
      <c r="Q908" s="32"/>
      <c r="R908" s="32"/>
      <c r="S908" s="32"/>
      <c r="T908" s="32"/>
      <c r="U908" s="32"/>
      <c r="V908" s="32"/>
      <c r="W908" s="32"/>
      <c r="X908" s="32"/>
      <c r="Y908" s="32"/>
      <c r="Z908" s="32"/>
    </row>
    <row r="909" spans="1:26" ht="17.25" customHeight="1">
      <c r="A909" s="3"/>
      <c r="B909" s="3"/>
      <c r="C909" s="3"/>
      <c r="D909" s="3"/>
      <c r="E909" s="3"/>
      <c r="F909" s="3"/>
      <c r="G909" s="3"/>
      <c r="H909" s="3"/>
      <c r="I909" s="3"/>
      <c r="J909" s="3"/>
      <c r="K909" s="3"/>
      <c r="L909" s="4"/>
      <c r="M909" s="32"/>
      <c r="N909" s="32"/>
      <c r="O909" s="32"/>
      <c r="P909" s="32"/>
      <c r="Q909" s="32"/>
      <c r="R909" s="32"/>
      <c r="S909" s="32"/>
      <c r="T909" s="32"/>
      <c r="U909" s="32"/>
      <c r="V909" s="32"/>
      <c r="W909" s="32"/>
      <c r="X909" s="32"/>
      <c r="Y909" s="32"/>
      <c r="Z909" s="32"/>
    </row>
    <row r="910" spans="1:26" ht="17.25" customHeight="1">
      <c r="A910" s="3"/>
      <c r="B910" s="3"/>
      <c r="C910" s="3"/>
      <c r="D910" s="3"/>
      <c r="E910" s="3"/>
      <c r="F910" s="3"/>
      <c r="G910" s="3"/>
      <c r="H910" s="3"/>
      <c r="I910" s="3"/>
      <c r="J910" s="3"/>
      <c r="K910" s="3"/>
      <c r="L910" s="4"/>
      <c r="M910" s="32"/>
      <c r="N910" s="32"/>
      <c r="O910" s="32"/>
      <c r="P910" s="32"/>
      <c r="Q910" s="32"/>
      <c r="R910" s="32"/>
      <c r="S910" s="32"/>
      <c r="T910" s="32"/>
      <c r="U910" s="32"/>
      <c r="V910" s="32"/>
      <c r="W910" s="32"/>
      <c r="X910" s="32"/>
      <c r="Y910" s="32"/>
      <c r="Z910" s="32"/>
    </row>
    <row r="911" spans="1:26" ht="17.25" customHeight="1">
      <c r="A911" s="3"/>
      <c r="B911" s="3"/>
      <c r="C911" s="3"/>
      <c r="D911" s="3"/>
      <c r="E911" s="3"/>
      <c r="F911" s="3"/>
      <c r="G911" s="3"/>
      <c r="H911" s="3"/>
      <c r="I911" s="3"/>
      <c r="J911" s="3"/>
      <c r="K911" s="3"/>
      <c r="L911" s="4"/>
      <c r="M911" s="32"/>
      <c r="N911" s="32"/>
      <c r="O911" s="32"/>
      <c r="P911" s="32"/>
      <c r="Q911" s="32"/>
      <c r="R911" s="32"/>
      <c r="S911" s="32"/>
      <c r="T911" s="32"/>
      <c r="U911" s="32"/>
      <c r="V911" s="32"/>
      <c r="W911" s="32"/>
      <c r="X911" s="32"/>
      <c r="Y911" s="32"/>
      <c r="Z911" s="32"/>
    </row>
    <row r="912" spans="1:26" ht="17.25" customHeight="1">
      <c r="A912" s="3"/>
      <c r="B912" s="3"/>
      <c r="C912" s="3"/>
      <c r="D912" s="3"/>
      <c r="E912" s="3"/>
      <c r="F912" s="3"/>
      <c r="G912" s="3"/>
      <c r="H912" s="3"/>
      <c r="I912" s="3"/>
      <c r="J912" s="3"/>
      <c r="K912" s="3"/>
      <c r="L912" s="4"/>
      <c r="M912" s="32"/>
      <c r="N912" s="32"/>
      <c r="O912" s="32"/>
      <c r="P912" s="32"/>
      <c r="Q912" s="32"/>
      <c r="R912" s="32"/>
      <c r="S912" s="32"/>
      <c r="T912" s="32"/>
      <c r="U912" s="32"/>
      <c r="V912" s="32"/>
      <c r="W912" s="32"/>
      <c r="X912" s="32"/>
      <c r="Y912" s="32"/>
      <c r="Z912" s="32"/>
    </row>
    <row r="913" spans="1:26" ht="17.25" customHeight="1">
      <c r="A913" s="3"/>
      <c r="B913" s="3"/>
      <c r="C913" s="3"/>
      <c r="D913" s="3"/>
      <c r="E913" s="3"/>
      <c r="F913" s="3"/>
      <c r="G913" s="3"/>
      <c r="H913" s="3"/>
      <c r="I913" s="3"/>
      <c r="J913" s="3"/>
      <c r="K913" s="3"/>
      <c r="L913" s="4"/>
      <c r="M913" s="32"/>
      <c r="N913" s="32"/>
      <c r="O913" s="32"/>
      <c r="P913" s="32"/>
      <c r="Q913" s="32"/>
      <c r="R913" s="32"/>
      <c r="S913" s="32"/>
      <c r="T913" s="32"/>
      <c r="U913" s="32"/>
      <c r="V913" s="32"/>
      <c r="W913" s="32"/>
      <c r="X913" s="32"/>
      <c r="Y913" s="32"/>
      <c r="Z913" s="32"/>
    </row>
    <row r="914" spans="1:26" ht="17.25" customHeight="1">
      <c r="A914" s="3"/>
      <c r="B914" s="3"/>
      <c r="C914" s="3"/>
      <c r="D914" s="3"/>
      <c r="E914" s="3"/>
      <c r="F914" s="3"/>
      <c r="G914" s="3"/>
      <c r="H914" s="3"/>
      <c r="I914" s="3"/>
      <c r="J914" s="3"/>
      <c r="K914" s="3"/>
      <c r="L914" s="4"/>
      <c r="M914" s="32"/>
      <c r="N914" s="32"/>
      <c r="O914" s="32"/>
      <c r="P914" s="32"/>
      <c r="Q914" s="32"/>
      <c r="R914" s="32"/>
      <c r="S914" s="32"/>
      <c r="T914" s="32"/>
      <c r="U914" s="32"/>
      <c r="V914" s="32"/>
      <c r="W914" s="32"/>
      <c r="X914" s="32"/>
      <c r="Y914" s="32"/>
      <c r="Z914" s="32"/>
    </row>
    <row r="915" spans="1:26" ht="17.25" customHeight="1">
      <c r="A915" s="3"/>
      <c r="B915" s="3"/>
      <c r="C915" s="3"/>
      <c r="D915" s="3"/>
      <c r="E915" s="3"/>
      <c r="F915" s="3"/>
      <c r="G915" s="3"/>
      <c r="H915" s="3"/>
      <c r="I915" s="3"/>
      <c r="J915" s="3"/>
      <c r="K915" s="3"/>
      <c r="L915" s="4"/>
      <c r="M915" s="32"/>
      <c r="N915" s="32"/>
      <c r="O915" s="32"/>
      <c r="P915" s="32"/>
      <c r="Q915" s="32"/>
      <c r="R915" s="32"/>
      <c r="S915" s="32"/>
      <c r="T915" s="32"/>
      <c r="U915" s="32"/>
      <c r="V915" s="32"/>
      <c r="W915" s="32"/>
      <c r="X915" s="32"/>
      <c r="Y915" s="32"/>
      <c r="Z915" s="32"/>
    </row>
    <row r="916" spans="1:26" ht="17.25" customHeight="1">
      <c r="A916" s="3"/>
      <c r="B916" s="3"/>
      <c r="C916" s="3"/>
      <c r="D916" s="3"/>
      <c r="E916" s="3"/>
      <c r="F916" s="3"/>
      <c r="G916" s="3"/>
      <c r="H916" s="3"/>
      <c r="I916" s="3"/>
      <c r="J916" s="3"/>
      <c r="K916" s="3"/>
      <c r="L916" s="4"/>
      <c r="M916" s="32"/>
      <c r="N916" s="32"/>
      <c r="O916" s="32"/>
      <c r="P916" s="32"/>
      <c r="Q916" s="32"/>
      <c r="R916" s="32"/>
      <c r="S916" s="32"/>
      <c r="T916" s="32"/>
      <c r="U916" s="32"/>
      <c r="V916" s="32"/>
      <c r="W916" s="32"/>
      <c r="X916" s="32"/>
      <c r="Y916" s="32"/>
      <c r="Z916" s="32"/>
    </row>
    <row r="917" spans="1:26" ht="17.25" customHeight="1">
      <c r="A917" s="3"/>
      <c r="B917" s="3"/>
      <c r="C917" s="3"/>
      <c r="D917" s="3"/>
      <c r="E917" s="3"/>
      <c r="F917" s="3"/>
      <c r="G917" s="3"/>
      <c r="H917" s="3"/>
      <c r="I917" s="3"/>
      <c r="J917" s="3"/>
      <c r="K917" s="3"/>
      <c r="L917" s="4"/>
      <c r="M917" s="32"/>
      <c r="N917" s="32"/>
      <c r="O917" s="32"/>
      <c r="P917" s="32"/>
      <c r="Q917" s="32"/>
      <c r="R917" s="32"/>
      <c r="S917" s="32"/>
      <c r="T917" s="32"/>
      <c r="U917" s="32"/>
      <c r="V917" s="32"/>
      <c r="W917" s="32"/>
      <c r="X917" s="32"/>
      <c r="Y917" s="32"/>
      <c r="Z917" s="32"/>
    </row>
    <row r="918" spans="1:26" ht="17.25" customHeight="1">
      <c r="A918" s="3"/>
      <c r="B918" s="3"/>
      <c r="C918" s="3"/>
      <c r="D918" s="3"/>
      <c r="E918" s="3"/>
      <c r="F918" s="3"/>
      <c r="G918" s="3"/>
      <c r="H918" s="3"/>
      <c r="I918" s="3"/>
      <c r="J918" s="3"/>
      <c r="K918" s="3"/>
      <c r="L918" s="4"/>
      <c r="M918" s="32"/>
      <c r="N918" s="32"/>
      <c r="O918" s="32"/>
      <c r="P918" s="32"/>
      <c r="Q918" s="32"/>
      <c r="R918" s="32"/>
      <c r="S918" s="32"/>
      <c r="T918" s="32"/>
      <c r="U918" s="32"/>
      <c r="V918" s="32"/>
      <c r="W918" s="32"/>
      <c r="X918" s="32"/>
      <c r="Y918" s="32"/>
      <c r="Z918" s="32"/>
    </row>
    <row r="919" spans="1:26" ht="17.25" customHeight="1">
      <c r="A919" s="3"/>
      <c r="B919" s="3"/>
      <c r="C919" s="3"/>
      <c r="D919" s="3"/>
      <c r="E919" s="3"/>
      <c r="F919" s="3"/>
      <c r="G919" s="3"/>
      <c r="H919" s="3"/>
      <c r="I919" s="3"/>
      <c r="J919" s="3"/>
      <c r="K919" s="3"/>
      <c r="L919" s="4"/>
      <c r="M919" s="32"/>
      <c r="N919" s="32"/>
      <c r="O919" s="32"/>
      <c r="P919" s="32"/>
      <c r="Q919" s="32"/>
      <c r="R919" s="32"/>
      <c r="S919" s="32"/>
      <c r="T919" s="32"/>
      <c r="U919" s="32"/>
      <c r="V919" s="32"/>
      <c r="W919" s="32"/>
      <c r="X919" s="32"/>
      <c r="Y919" s="32"/>
      <c r="Z919" s="32"/>
    </row>
    <row r="920" spans="1:26" ht="17.25" customHeight="1">
      <c r="A920" s="3"/>
      <c r="B920" s="3"/>
      <c r="C920" s="3"/>
      <c r="D920" s="3"/>
      <c r="E920" s="3"/>
      <c r="F920" s="3"/>
      <c r="G920" s="3"/>
      <c r="H920" s="3"/>
      <c r="I920" s="3"/>
      <c r="J920" s="3"/>
      <c r="K920" s="3"/>
      <c r="L920" s="4"/>
      <c r="M920" s="32"/>
      <c r="N920" s="32"/>
      <c r="O920" s="32"/>
      <c r="P920" s="32"/>
      <c r="Q920" s="32"/>
      <c r="R920" s="32"/>
      <c r="S920" s="32"/>
      <c r="T920" s="32"/>
      <c r="U920" s="32"/>
      <c r="V920" s="32"/>
      <c r="W920" s="32"/>
      <c r="X920" s="32"/>
      <c r="Y920" s="32"/>
      <c r="Z920" s="32"/>
    </row>
    <row r="921" spans="1:26" ht="17.25" customHeight="1">
      <c r="A921" s="3"/>
      <c r="B921" s="3"/>
      <c r="C921" s="3"/>
      <c r="D921" s="3"/>
      <c r="E921" s="3"/>
      <c r="F921" s="3"/>
      <c r="G921" s="3"/>
      <c r="H921" s="3"/>
      <c r="I921" s="3"/>
      <c r="J921" s="3"/>
      <c r="K921" s="3"/>
      <c r="L921" s="4"/>
      <c r="M921" s="32"/>
      <c r="N921" s="32"/>
      <c r="O921" s="32"/>
      <c r="P921" s="32"/>
      <c r="Q921" s="32"/>
      <c r="R921" s="32"/>
      <c r="S921" s="32"/>
      <c r="T921" s="32"/>
      <c r="U921" s="32"/>
      <c r="V921" s="32"/>
      <c r="W921" s="32"/>
      <c r="X921" s="32"/>
      <c r="Y921" s="32"/>
      <c r="Z921" s="32"/>
    </row>
    <row r="922" spans="1:26" ht="17.25" customHeight="1">
      <c r="A922" s="3"/>
      <c r="B922" s="3"/>
      <c r="C922" s="3"/>
      <c r="D922" s="3"/>
      <c r="E922" s="3"/>
      <c r="F922" s="3"/>
      <c r="G922" s="3"/>
      <c r="H922" s="3"/>
      <c r="I922" s="3"/>
      <c r="J922" s="3"/>
      <c r="K922" s="3"/>
      <c r="L922" s="4"/>
      <c r="M922" s="32"/>
      <c r="N922" s="32"/>
      <c r="O922" s="32"/>
      <c r="P922" s="32"/>
      <c r="Q922" s="32"/>
      <c r="R922" s="32"/>
      <c r="S922" s="32"/>
      <c r="T922" s="32"/>
      <c r="U922" s="32"/>
      <c r="V922" s="32"/>
      <c r="W922" s="32"/>
      <c r="X922" s="32"/>
      <c r="Y922" s="32"/>
      <c r="Z922" s="32"/>
    </row>
    <row r="923" spans="1:26" ht="17.25" customHeight="1">
      <c r="A923" s="3"/>
      <c r="B923" s="3"/>
      <c r="C923" s="3"/>
      <c r="D923" s="3"/>
      <c r="E923" s="3"/>
      <c r="F923" s="3"/>
      <c r="G923" s="3"/>
      <c r="H923" s="3"/>
      <c r="I923" s="3"/>
      <c r="J923" s="3"/>
      <c r="K923" s="3"/>
      <c r="L923" s="4"/>
      <c r="M923" s="32"/>
      <c r="N923" s="32"/>
      <c r="O923" s="32"/>
      <c r="P923" s="32"/>
      <c r="Q923" s="32"/>
      <c r="R923" s="32"/>
      <c r="S923" s="32"/>
      <c r="T923" s="32"/>
      <c r="U923" s="32"/>
      <c r="V923" s="32"/>
      <c r="W923" s="32"/>
      <c r="X923" s="32"/>
      <c r="Y923" s="32"/>
      <c r="Z923" s="32"/>
    </row>
    <row r="924" spans="1:26" ht="17.25" customHeight="1">
      <c r="A924" s="3"/>
      <c r="B924" s="3"/>
      <c r="C924" s="3"/>
      <c r="D924" s="3"/>
      <c r="E924" s="3"/>
      <c r="F924" s="3"/>
      <c r="G924" s="3"/>
      <c r="H924" s="3"/>
      <c r="I924" s="3"/>
      <c r="J924" s="3"/>
      <c r="K924" s="3"/>
      <c r="L924" s="4"/>
      <c r="M924" s="32"/>
      <c r="N924" s="32"/>
      <c r="O924" s="32"/>
      <c r="P924" s="32"/>
      <c r="Q924" s="32"/>
      <c r="R924" s="32"/>
      <c r="S924" s="32"/>
      <c r="T924" s="32"/>
      <c r="U924" s="32"/>
      <c r="V924" s="32"/>
      <c r="W924" s="32"/>
      <c r="X924" s="32"/>
      <c r="Y924" s="32"/>
      <c r="Z924" s="32"/>
    </row>
    <row r="925" spans="1:26" ht="17.25" customHeight="1">
      <c r="A925" s="3"/>
      <c r="B925" s="3"/>
      <c r="C925" s="3"/>
      <c r="D925" s="3"/>
      <c r="E925" s="3"/>
      <c r="F925" s="3"/>
      <c r="G925" s="3"/>
      <c r="H925" s="3"/>
      <c r="I925" s="3"/>
      <c r="J925" s="3"/>
      <c r="K925" s="3"/>
      <c r="L925" s="4"/>
      <c r="M925" s="32"/>
      <c r="N925" s="32"/>
      <c r="O925" s="32"/>
      <c r="P925" s="32"/>
      <c r="Q925" s="32"/>
      <c r="R925" s="32"/>
      <c r="S925" s="32"/>
      <c r="T925" s="32"/>
      <c r="U925" s="32"/>
      <c r="V925" s="32"/>
      <c r="W925" s="32"/>
      <c r="X925" s="32"/>
      <c r="Y925" s="32"/>
      <c r="Z925" s="32"/>
    </row>
    <row r="926" spans="1:26" ht="17.25" customHeight="1">
      <c r="A926" s="3"/>
      <c r="B926" s="3"/>
      <c r="C926" s="3"/>
      <c r="D926" s="3"/>
      <c r="E926" s="3"/>
      <c r="F926" s="3"/>
      <c r="G926" s="3"/>
      <c r="H926" s="3"/>
      <c r="I926" s="3"/>
      <c r="J926" s="3"/>
      <c r="K926" s="3"/>
      <c r="L926" s="4"/>
      <c r="M926" s="32"/>
      <c r="N926" s="32"/>
      <c r="O926" s="32"/>
      <c r="P926" s="32"/>
      <c r="Q926" s="32"/>
      <c r="R926" s="32"/>
      <c r="S926" s="32"/>
      <c r="T926" s="32"/>
      <c r="U926" s="32"/>
      <c r="V926" s="32"/>
      <c r="W926" s="32"/>
      <c r="X926" s="32"/>
      <c r="Y926" s="32"/>
      <c r="Z926" s="32"/>
    </row>
    <row r="927" spans="1:26" ht="17.25" customHeight="1">
      <c r="A927" s="3"/>
      <c r="B927" s="3"/>
      <c r="C927" s="3"/>
      <c r="D927" s="3"/>
      <c r="E927" s="3"/>
      <c r="F927" s="3"/>
      <c r="G927" s="3"/>
      <c r="H927" s="3"/>
      <c r="I927" s="3"/>
      <c r="J927" s="3"/>
      <c r="K927" s="3"/>
      <c r="L927" s="4"/>
      <c r="M927" s="32"/>
      <c r="N927" s="32"/>
      <c r="O927" s="32"/>
      <c r="P927" s="32"/>
      <c r="Q927" s="32"/>
      <c r="R927" s="32"/>
      <c r="S927" s="32"/>
      <c r="T927" s="32"/>
      <c r="U927" s="32"/>
      <c r="V927" s="32"/>
      <c r="W927" s="32"/>
      <c r="X927" s="32"/>
      <c r="Y927" s="32"/>
      <c r="Z927" s="32"/>
    </row>
    <row r="928" spans="1:26" ht="17.25" customHeight="1">
      <c r="A928" s="3"/>
      <c r="B928" s="3"/>
      <c r="C928" s="3"/>
      <c r="D928" s="3"/>
      <c r="E928" s="3"/>
      <c r="F928" s="3"/>
      <c r="G928" s="3"/>
      <c r="H928" s="3"/>
      <c r="I928" s="3"/>
      <c r="J928" s="3"/>
      <c r="K928" s="3"/>
      <c r="L928" s="4"/>
      <c r="M928" s="32"/>
      <c r="N928" s="32"/>
      <c r="O928" s="32"/>
      <c r="P928" s="32"/>
      <c r="Q928" s="32"/>
      <c r="R928" s="32"/>
      <c r="S928" s="32"/>
      <c r="T928" s="32"/>
      <c r="U928" s="32"/>
      <c r="V928" s="32"/>
      <c r="W928" s="32"/>
      <c r="X928" s="32"/>
      <c r="Y928" s="32"/>
      <c r="Z928" s="32"/>
    </row>
    <row r="929" spans="1:26" ht="17.25" customHeight="1">
      <c r="A929" s="3"/>
      <c r="B929" s="3"/>
      <c r="C929" s="3"/>
      <c r="D929" s="3"/>
      <c r="E929" s="3"/>
      <c r="F929" s="3"/>
      <c r="G929" s="3"/>
      <c r="H929" s="3"/>
      <c r="I929" s="3"/>
      <c r="J929" s="3"/>
      <c r="K929" s="3"/>
      <c r="L929" s="4"/>
      <c r="M929" s="32"/>
      <c r="N929" s="32"/>
      <c r="O929" s="32"/>
      <c r="P929" s="32"/>
      <c r="Q929" s="32"/>
      <c r="R929" s="32"/>
      <c r="S929" s="32"/>
      <c r="T929" s="32"/>
      <c r="U929" s="32"/>
      <c r="V929" s="32"/>
      <c r="W929" s="32"/>
      <c r="X929" s="32"/>
      <c r="Y929" s="32"/>
      <c r="Z929" s="32"/>
    </row>
    <row r="930" spans="1:26" ht="17.25" customHeight="1">
      <c r="A930" s="3"/>
      <c r="B930" s="3"/>
      <c r="C930" s="3"/>
      <c r="D930" s="3"/>
      <c r="E930" s="3"/>
      <c r="F930" s="3"/>
      <c r="G930" s="3"/>
      <c r="H930" s="3"/>
      <c r="I930" s="3"/>
      <c r="J930" s="3"/>
      <c r="K930" s="3"/>
      <c r="L930" s="4"/>
      <c r="M930" s="32"/>
      <c r="N930" s="32"/>
      <c r="O930" s="32"/>
      <c r="P930" s="32"/>
      <c r="Q930" s="32"/>
      <c r="R930" s="32"/>
      <c r="S930" s="32"/>
      <c r="T930" s="32"/>
      <c r="U930" s="32"/>
      <c r="V930" s="32"/>
      <c r="W930" s="32"/>
      <c r="X930" s="32"/>
      <c r="Y930" s="32"/>
      <c r="Z930" s="32"/>
    </row>
    <row r="931" spans="1:26" ht="17.25" customHeight="1">
      <c r="A931" s="3"/>
      <c r="B931" s="3"/>
      <c r="C931" s="3"/>
      <c r="D931" s="3"/>
      <c r="E931" s="3"/>
      <c r="F931" s="3"/>
      <c r="G931" s="3"/>
      <c r="H931" s="3"/>
      <c r="I931" s="3"/>
      <c r="J931" s="3"/>
      <c r="K931" s="3"/>
      <c r="L931" s="4"/>
      <c r="M931" s="32"/>
      <c r="N931" s="32"/>
      <c r="O931" s="32"/>
      <c r="P931" s="32"/>
      <c r="Q931" s="32"/>
      <c r="R931" s="32"/>
      <c r="S931" s="32"/>
      <c r="T931" s="32"/>
      <c r="U931" s="32"/>
      <c r="V931" s="32"/>
      <c r="W931" s="32"/>
      <c r="X931" s="32"/>
      <c r="Y931" s="32"/>
      <c r="Z931" s="32"/>
    </row>
    <row r="932" spans="1:26" ht="17.25" customHeight="1">
      <c r="A932" s="3"/>
      <c r="B932" s="3"/>
      <c r="C932" s="3"/>
      <c r="D932" s="3"/>
      <c r="E932" s="3"/>
      <c r="F932" s="3"/>
      <c r="G932" s="3"/>
      <c r="H932" s="3"/>
      <c r="I932" s="3"/>
      <c r="J932" s="3"/>
      <c r="K932" s="3"/>
      <c r="L932" s="4"/>
      <c r="M932" s="32"/>
      <c r="N932" s="32"/>
      <c r="O932" s="32"/>
      <c r="P932" s="32"/>
      <c r="Q932" s="32"/>
      <c r="R932" s="32"/>
      <c r="S932" s="32"/>
      <c r="T932" s="32"/>
      <c r="U932" s="32"/>
      <c r="V932" s="32"/>
      <c r="W932" s="32"/>
      <c r="X932" s="32"/>
      <c r="Y932" s="32"/>
      <c r="Z932" s="32"/>
    </row>
    <row r="933" spans="1:26" ht="17.25" customHeight="1">
      <c r="A933" s="3"/>
      <c r="B933" s="3"/>
      <c r="C933" s="3"/>
      <c r="D933" s="3"/>
      <c r="E933" s="3"/>
      <c r="F933" s="3"/>
      <c r="G933" s="3"/>
      <c r="H933" s="3"/>
      <c r="I933" s="3"/>
      <c r="J933" s="3"/>
      <c r="K933" s="3"/>
      <c r="L933" s="4"/>
      <c r="M933" s="32"/>
      <c r="N933" s="32"/>
      <c r="O933" s="32"/>
      <c r="P933" s="32"/>
      <c r="Q933" s="32"/>
      <c r="R933" s="32"/>
      <c r="S933" s="32"/>
      <c r="T933" s="32"/>
      <c r="U933" s="32"/>
      <c r="V933" s="32"/>
      <c r="W933" s="32"/>
      <c r="X933" s="32"/>
      <c r="Y933" s="32"/>
      <c r="Z933" s="32"/>
    </row>
    <row r="934" spans="1:26" ht="17.25" customHeight="1">
      <c r="A934" s="3"/>
      <c r="B934" s="3"/>
      <c r="C934" s="3"/>
      <c r="D934" s="3"/>
      <c r="E934" s="3"/>
      <c r="F934" s="3"/>
      <c r="G934" s="3"/>
      <c r="H934" s="3"/>
      <c r="I934" s="3"/>
      <c r="J934" s="3"/>
      <c r="K934" s="3"/>
      <c r="L934" s="4"/>
      <c r="M934" s="32"/>
      <c r="N934" s="32"/>
      <c r="O934" s="32"/>
      <c r="P934" s="32"/>
      <c r="Q934" s="32"/>
      <c r="R934" s="32"/>
      <c r="S934" s="32"/>
      <c r="T934" s="32"/>
      <c r="U934" s="32"/>
      <c r="V934" s="32"/>
      <c r="W934" s="32"/>
      <c r="X934" s="32"/>
      <c r="Y934" s="32"/>
      <c r="Z934" s="32"/>
    </row>
    <row r="935" spans="1:26" ht="17.25" customHeight="1">
      <c r="A935" s="3"/>
      <c r="B935" s="3"/>
      <c r="C935" s="3"/>
      <c r="D935" s="3"/>
      <c r="E935" s="3"/>
      <c r="F935" s="3"/>
      <c r="G935" s="3"/>
      <c r="H935" s="3"/>
      <c r="I935" s="3"/>
      <c r="J935" s="3"/>
      <c r="K935" s="3"/>
      <c r="L935" s="4"/>
      <c r="M935" s="32"/>
      <c r="N935" s="32"/>
      <c r="O935" s="32"/>
      <c r="P935" s="32"/>
      <c r="Q935" s="32"/>
      <c r="R935" s="32"/>
      <c r="S935" s="32"/>
      <c r="T935" s="32"/>
      <c r="U935" s="32"/>
      <c r="V935" s="32"/>
      <c r="W935" s="32"/>
      <c r="X935" s="32"/>
      <c r="Y935" s="32"/>
      <c r="Z935" s="32"/>
    </row>
    <row r="936" spans="1:26" ht="17.25" customHeight="1">
      <c r="A936" s="3"/>
      <c r="B936" s="3"/>
      <c r="C936" s="3"/>
      <c r="D936" s="3"/>
      <c r="E936" s="3"/>
      <c r="F936" s="3"/>
      <c r="G936" s="3"/>
      <c r="H936" s="3"/>
      <c r="I936" s="3"/>
      <c r="J936" s="3"/>
      <c r="K936" s="3"/>
      <c r="L936" s="4"/>
      <c r="M936" s="32"/>
      <c r="N936" s="32"/>
      <c r="O936" s="32"/>
      <c r="P936" s="32"/>
      <c r="Q936" s="32"/>
      <c r="R936" s="32"/>
      <c r="S936" s="32"/>
      <c r="T936" s="32"/>
      <c r="U936" s="32"/>
      <c r="V936" s="32"/>
      <c r="W936" s="32"/>
      <c r="X936" s="32"/>
      <c r="Y936" s="32"/>
      <c r="Z936" s="32"/>
    </row>
    <row r="937" spans="1:26" ht="17.25" customHeight="1">
      <c r="A937" s="3"/>
      <c r="B937" s="3"/>
      <c r="C937" s="3"/>
      <c r="D937" s="3"/>
      <c r="E937" s="3"/>
      <c r="F937" s="3"/>
      <c r="G937" s="3"/>
      <c r="H937" s="3"/>
      <c r="I937" s="3"/>
      <c r="J937" s="3"/>
      <c r="K937" s="3"/>
      <c r="L937" s="4"/>
      <c r="M937" s="32"/>
      <c r="N937" s="32"/>
      <c r="O937" s="32"/>
      <c r="P937" s="32"/>
      <c r="Q937" s="32"/>
      <c r="R937" s="32"/>
      <c r="S937" s="32"/>
      <c r="T937" s="32"/>
      <c r="U937" s="32"/>
      <c r="V937" s="32"/>
      <c r="W937" s="32"/>
      <c r="X937" s="32"/>
      <c r="Y937" s="32"/>
      <c r="Z937" s="32"/>
    </row>
    <row r="938" spans="1:26" ht="17.25" customHeight="1">
      <c r="A938" s="3"/>
      <c r="B938" s="3"/>
      <c r="C938" s="3"/>
      <c r="D938" s="3"/>
      <c r="E938" s="3"/>
      <c r="F938" s="3"/>
      <c r="G938" s="3"/>
      <c r="H938" s="3"/>
      <c r="I938" s="3"/>
      <c r="J938" s="3"/>
      <c r="K938" s="3"/>
      <c r="L938" s="4"/>
      <c r="M938" s="32"/>
      <c r="N938" s="32"/>
      <c r="O938" s="32"/>
      <c r="P938" s="32"/>
      <c r="Q938" s="32"/>
      <c r="R938" s="32"/>
      <c r="S938" s="32"/>
      <c r="T938" s="32"/>
      <c r="U938" s="32"/>
      <c r="V938" s="32"/>
      <c r="W938" s="32"/>
      <c r="X938" s="32"/>
      <c r="Y938" s="32"/>
      <c r="Z938" s="32"/>
    </row>
    <row r="939" spans="1:26" ht="17.25" customHeight="1">
      <c r="A939" s="3"/>
      <c r="B939" s="3"/>
      <c r="C939" s="3"/>
      <c r="D939" s="3"/>
      <c r="E939" s="3"/>
      <c r="F939" s="3"/>
      <c r="G939" s="3"/>
      <c r="H939" s="3"/>
      <c r="I939" s="3"/>
      <c r="J939" s="3"/>
      <c r="K939" s="3"/>
      <c r="L939" s="4"/>
      <c r="M939" s="32"/>
      <c r="N939" s="32"/>
      <c r="O939" s="32"/>
      <c r="P939" s="32"/>
      <c r="Q939" s="32"/>
      <c r="R939" s="32"/>
      <c r="S939" s="32"/>
      <c r="T939" s="32"/>
      <c r="U939" s="32"/>
      <c r="V939" s="32"/>
      <c r="W939" s="32"/>
      <c r="X939" s="32"/>
      <c r="Y939" s="32"/>
      <c r="Z939" s="32"/>
    </row>
    <row r="940" spans="1:26" ht="17.25" customHeight="1">
      <c r="A940" s="3"/>
      <c r="B940" s="3"/>
      <c r="C940" s="3"/>
      <c r="D940" s="3"/>
      <c r="E940" s="3"/>
      <c r="F940" s="3"/>
      <c r="G940" s="3"/>
      <c r="H940" s="3"/>
      <c r="I940" s="3"/>
      <c r="J940" s="3"/>
      <c r="K940" s="3"/>
      <c r="L940" s="4"/>
      <c r="M940" s="32"/>
      <c r="N940" s="32"/>
      <c r="O940" s="32"/>
      <c r="P940" s="32"/>
      <c r="Q940" s="32"/>
      <c r="R940" s="32"/>
      <c r="S940" s="32"/>
      <c r="T940" s="32"/>
      <c r="U940" s="32"/>
      <c r="V940" s="32"/>
      <c r="W940" s="32"/>
      <c r="X940" s="32"/>
      <c r="Y940" s="32"/>
      <c r="Z940" s="32"/>
    </row>
    <row r="941" spans="1:26" ht="17.25" customHeight="1">
      <c r="A941" s="3"/>
      <c r="B941" s="3"/>
      <c r="C941" s="3"/>
      <c r="D941" s="3"/>
      <c r="E941" s="3"/>
      <c r="F941" s="3"/>
      <c r="G941" s="3"/>
      <c r="H941" s="3"/>
      <c r="I941" s="3"/>
      <c r="J941" s="3"/>
      <c r="K941" s="3"/>
      <c r="L941" s="4"/>
      <c r="M941" s="32"/>
      <c r="N941" s="32"/>
      <c r="O941" s="32"/>
      <c r="P941" s="32"/>
      <c r="Q941" s="32"/>
      <c r="R941" s="32"/>
      <c r="S941" s="32"/>
      <c r="T941" s="32"/>
      <c r="U941" s="32"/>
      <c r="V941" s="32"/>
      <c r="W941" s="32"/>
      <c r="X941" s="32"/>
      <c r="Y941" s="32"/>
      <c r="Z941" s="32"/>
    </row>
    <row r="942" spans="1:26" ht="17.25" customHeight="1">
      <c r="A942" s="3"/>
      <c r="B942" s="3"/>
      <c r="C942" s="3"/>
      <c r="D942" s="3"/>
      <c r="E942" s="3"/>
      <c r="F942" s="3"/>
      <c r="G942" s="3"/>
      <c r="H942" s="3"/>
      <c r="I942" s="3"/>
      <c r="J942" s="3"/>
      <c r="K942" s="3"/>
      <c r="L942" s="4"/>
      <c r="M942" s="32"/>
      <c r="N942" s="32"/>
      <c r="O942" s="32"/>
      <c r="P942" s="32"/>
      <c r="Q942" s="32"/>
      <c r="R942" s="32"/>
      <c r="S942" s="32"/>
      <c r="T942" s="32"/>
      <c r="U942" s="32"/>
      <c r="V942" s="32"/>
      <c r="W942" s="32"/>
      <c r="X942" s="32"/>
      <c r="Y942" s="32"/>
      <c r="Z942" s="32"/>
    </row>
    <row r="943" spans="1:26" ht="17.25" customHeight="1">
      <c r="A943" s="3"/>
      <c r="B943" s="3"/>
      <c r="C943" s="3"/>
      <c r="D943" s="3"/>
      <c r="E943" s="3"/>
      <c r="F943" s="3"/>
      <c r="G943" s="3"/>
      <c r="H943" s="3"/>
      <c r="I943" s="3"/>
      <c r="J943" s="3"/>
      <c r="K943" s="3"/>
      <c r="L943" s="4"/>
      <c r="M943" s="32"/>
      <c r="N943" s="32"/>
      <c r="O943" s="32"/>
      <c r="P943" s="32"/>
      <c r="Q943" s="32"/>
      <c r="R943" s="32"/>
      <c r="S943" s="32"/>
      <c r="T943" s="32"/>
      <c r="U943" s="32"/>
      <c r="V943" s="32"/>
      <c r="W943" s="32"/>
      <c r="X943" s="32"/>
      <c r="Y943" s="32"/>
      <c r="Z943" s="32"/>
    </row>
    <row r="944" spans="1:26" ht="17.25" customHeight="1">
      <c r="A944" s="3"/>
      <c r="B944" s="3"/>
      <c r="C944" s="3"/>
      <c r="D944" s="3"/>
      <c r="E944" s="3"/>
      <c r="F944" s="3"/>
      <c r="G944" s="3"/>
      <c r="H944" s="3"/>
      <c r="I944" s="3"/>
      <c r="J944" s="3"/>
      <c r="K944" s="3"/>
      <c r="L944" s="4"/>
      <c r="M944" s="32"/>
      <c r="N944" s="32"/>
      <c r="O944" s="32"/>
      <c r="P944" s="32"/>
      <c r="Q944" s="32"/>
      <c r="R944" s="32"/>
      <c r="S944" s="32"/>
      <c r="T944" s="32"/>
      <c r="U944" s="32"/>
      <c r="V944" s="32"/>
      <c r="W944" s="32"/>
      <c r="X944" s="32"/>
      <c r="Y944" s="32"/>
      <c r="Z944" s="32"/>
    </row>
    <row r="945" spans="1:26" ht="17.25" customHeight="1">
      <c r="A945" s="3"/>
      <c r="B945" s="3"/>
      <c r="C945" s="3"/>
      <c r="D945" s="3"/>
      <c r="E945" s="3"/>
      <c r="F945" s="3"/>
      <c r="G945" s="3"/>
      <c r="H945" s="3"/>
      <c r="I945" s="3"/>
      <c r="J945" s="3"/>
      <c r="K945" s="3"/>
      <c r="L945" s="4"/>
      <c r="M945" s="32"/>
      <c r="N945" s="32"/>
      <c r="O945" s="32"/>
      <c r="P945" s="32"/>
      <c r="Q945" s="32"/>
      <c r="R945" s="32"/>
      <c r="S945" s="32"/>
      <c r="T945" s="32"/>
      <c r="U945" s="32"/>
      <c r="V945" s="32"/>
      <c r="W945" s="32"/>
      <c r="X945" s="32"/>
      <c r="Y945" s="32"/>
      <c r="Z945" s="32"/>
    </row>
    <row r="946" spans="1:26" ht="17.25" customHeight="1">
      <c r="A946" s="3"/>
      <c r="B946" s="3"/>
      <c r="C946" s="3"/>
      <c r="D946" s="3"/>
      <c r="E946" s="3"/>
      <c r="F946" s="3"/>
      <c r="G946" s="3"/>
      <c r="H946" s="3"/>
      <c r="I946" s="3"/>
      <c r="J946" s="3"/>
      <c r="K946" s="3"/>
      <c r="L946" s="4"/>
      <c r="M946" s="32"/>
      <c r="N946" s="32"/>
      <c r="O946" s="32"/>
      <c r="P946" s="32"/>
      <c r="Q946" s="32"/>
      <c r="R946" s="32"/>
      <c r="S946" s="32"/>
      <c r="T946" s="32"/>
      <c r="U946" s="32"/>
      <c r="V946" s="32"/>
      <c r="W946" s="32"/>
      <c r="X946" s="32"/>
      <c r="Y946" s="32"/>
      <c r="Z946" s="32"/>
    </row>
    <row r="947" spans="1:26" ht="17.25" customHeight="1">
      <c r="A947" s="3"/>
      <c r="B947" s="3"/>
      <c r="C947" s="3"/>
      <c r="D947" s="3"/>
      <c r="E947" s="3"/>
      <c r="F947" s="3"/>
      <c r="G947" s="3"/>
      <c r="H947" s="3"/>
      <c r="I947" s="3"/>
      <c r="J947" s="3"/>
      <c r="K947" s="3"/>
      <c r="L947" s="4"/>
      <c r="M947" s="32"/>
      <c r="N947" s="32"/>
      <c r="O947" s="32"/>
      <c r="P947" s="32"/>
      <c r="Q947" s="32"/>
      <c r="R947" s="32"/>
      <c r="S947" s="32"/>
      <c r="T947" s="32"/>
      <c r="U947" s="32"/>
      <c r="V947" s="32"/>
      <c r="W947" s="32"/>
      <c r="X947" s="32"/>
      <c r="Y947" s="32"/>
      <c r="Z947" s="32"/>
    </row>
    <row r="948" spans="1:26" ht="17.25" customHeight="1">
      <c r="A948" s="3"/>
      <c r="B948" s="3"/>
      <c r="C948" s="3"/>
      <c r="D948" s="3"/>
      <c r="E948" s="3"/>
      <c r="F948" s="3"/>
      <c r="G948" s="3"/>
      <c r="H948" s="3"/>
      <c r="I948" s="3"/>
      <c r="J948" s="3"/>
      <c r="K948" s="3"/>
      <c r="L948" s="4"/>
      <c r="M948" s="32"/>
      <c r="N948" s="32"/>
      <c r="O948" s="32"/>
      <c r="P948" s="32"/>
      <c r="Q948" s="32"/>
      <c r="R948" s="32"/>
      <c r="S948" s="32"/>
      <c r="T948" s="32"/>
      <c r="U948" s="32"/>
      <c r="V948" s="32"/>
      <c r="W948" s="32"/>
      <c r="X948" s="32"/>
      <c r="Y948" s="32"/>
      <c r="Z948" s="32"/>
    </row>
    <row r="949" spans="1:26" ht="17.25" customHeight="1">
      <c r="A949" s="3"/>
      <c r="B949" s="3"/>
      <c r="C949" s="3"/>
      <c r="D949" s="3"/>
      <c r="E949" s="3"/>
      <c r="F949" s="3"/>
      <c r="G949" s="3"/>
      <c r="H949" s="3"/>
      <c r="I949" s="3"/>
      <c r="J949" s="3"/>
      <c r="K949" s="3"/>
      <c r="L949" s="4"/>
      <c r="M949" s="32"/>
      <c r="N949" s="32"/>
      <c r="O949" s="32"/>
      <c r="P949" s="32"/>
      <c r="Q949" s="32"/>
      <c r="R949" s="32"/>
      <c r="S949" s="32"/>
      <c r="T949" s="32"/>
      <c r="U949" s="32"/>
      <c r="V949" s="32"/>
      <c r="W949" s="32"/>
      <c r="X949" s="32"/>
      <c r="Y949" s="32"/>
      <c r="Z949" s="32"/>
    </row>
    <row r="950" spans="1:26" ht="17.25" customHeight="1">
      <c r="A950" s="3"/>
      <c r="B950" s="3"/>
      <c r="C950" s="3"/>
      <c r="D950" s="3"/>
      <c r="E950" s="3"/>
      <c r="F950" s="3"/>
      <c r="G950" s="3"/>
      <c r="H950" s="3"/>
      <c r="I950" s="3"/>
      <c r="J950" s="3"/>
      <c r="K950" s="3"/>
      <c r="L950" s="4"/>
      <c r="M950" s="32"/>
      <c r="N950" s="32"/>
      <c r="O950" s="32"/>
      <c r="P950" s="32"/>
      <c r="Q950" s="32"/>
      <c r="R950" s="32"/>
      <c r="S950" s="32"/>
      <c r="T950" s="32"/>
      <c r="U950" s="32"/>
      <c r="V950" s="32"/>
      <c r="W950" s="32"/>
      <c r="X950" s="32"/>
      <c r="Y950" s="32"/>
      <c r="Z950" s="32"/>
    </row>
    <row r="951" spans="1:26" ht="17.25" customHeight="1">
      <c r="A951" s="3"/>
      <c r="B951" s="3"/>
      <c r="C951" s="3"/>
      <c r="D951" s="3"/>
      <c r="E951" s="3"/>
      <c r="F951" s="3"/>
      <c r="G951" s="3"/>
      <c r="H951" s="3"/>
      <c r="I951" s="3"/>
      <c r="J951" s="3"/>
      <c r="K951" s="3"/>
      <c r="L951" s="4"/>
      <c r="M951" s="32"/>
      <c r="N951" s="32"/>
      <c r="O951" s="32"/>
      <c r="P951" s="32"/>
      <c r="Q951" s="32"/>
      <c r="R951" s="32"/>
      <c r="S951" s="32"/>
      <c r="T951" s="32"/>
      <c r="U951" s="32"/>
      <c r="V951" s="32"/>
      <c r="W951" s="32"/>
      <c r="X951" s="32"/>
      <c r="Y951" s="32"/>
      <c r="Z951" s="32"/>
    </row>
    <row r="952" spans="1:26" ht="17.25" customHeight="1">
      <c r="A952" s="3"/>
      <c r="B952" s="3"/>
      <c r="C952" s="3"/>
      <c r="D952" s="3"/>
      <c r="E952" s="3"/>
      <c r="F952" s="3"/>
      <c r="G952" s="3"/>
      <c r="H952" s="3"/>
      <c r="I952" s="3"/>
      <c r="J952" s="3"/>
      <c r="K952" s="3"/>
      <c r="L952" s="4"/>
      <c r="M952" s="32"/>
      <c r="N952" s="32"/>
      <c r="O952" s="32"/>
      <c r="P952" s="32"/>
      <c r="Q952" s="32"/>
      <c r="R952" s="32"/>
      <c r="S952" s="32"/>
      <c r="T952" s="32"/>
      <c r="U952" s="32"/>
      <c r="V952" s="32"/>
      <c r="W952" s="32"/>
      <c r="X952" s="32"/>
      <c r="Y952" s="32"/>
      <c r="Z952" s="32"/>
    </row>
    <row r="953" spans="1:26" ht="17.25" customHeight="1">
      <c r="A953" s="3"/>
      <c r="B953" s="3"/>
      <c r="C953" s="3"/>
      <c r="D953" s="3"/>
      <c r="E953" s="3"/>
      <c r="F953" s="3"/>
      <c r="G953" s="3"/>
      <c r="H953" s="3"/>
      <c r="I953" s="3"/>
      <c r="J953" s="3"/>
      <c r="K953" s="3"/>
      <c r="L953" s="4"/>
      <c r="M953" s="32"/>
      <c r="N953" s="32"/>
      <c r="O953" s="32"/>
      <c r="P953" s="32"/>
      <c r="Q953" s="32"/>
      <c r="R953" s="32"/>
      <c r="S953" s="32"/>
      <c r="T953" s="32"/>
      <c r="U953" s="32"/>
      <c r="V953" s="32"/>
      <c r="W953" s="32"/>
      <c r="X953" s="32"/>
      <c r="Y953" s="32"/>
      <c r="Z953" s="32"/>
    </row>
    <row r="954" spans="1:26" ht="17.25" customHeight="1">
      <c r="A954" s="3"/>
      <c r="B954" s="3"/>
      <c r="C954" s="3"/>
      <c r="D954" s="3"/>
      <c r="E954" s="3"/>
      <c r="F954" s="3"/>
      <c r="G954" s="3"/>
      <c r="H954" s="3"/>
      <c r="I954" s="3"/>
      <c r="J954" s="3"/>
      <c r="K954" s="3"/>
      <c r="L954" s="4"/>
      <c r="M954" s="32"/>
      <c r="N954" s="32"/>
      <c r="O954" s="32"/>
      <c r="P954" s="32"/>
      <c r="Q954" s="32"/>
      <c r="R954" s="32"/>
      <c r="S954" s="32"/>
      <c r="T954" s="32"/>
      <c r="U954" s="32"/>
      <c r="V954" s="32"/>
      <c r="W954" s="32"/>
      <c r="X954" s="32"/>
      <c r="Y954" s="32"/>
      <c r="Z954" s="32"/>
    </row>
    <row r="955" spans="1:26" ht="17.25" customHeight="1">
      <c r="A955" s="3"/>
      <c r="B955" s="3"/>
      <c r="C955" s="3"/>
      <c r="D955" s="3"/>
      <c r="E955" s="3"/>
      <c r="F955" s="3"/>
      <c r="G955" s="3"/>
      <c r="H955" s="3"/>
      <c r="I955" s="3"/>
      <c r="J955" s="3"/>
      <c r="K955" s="3"/>
      <c r="L955" s="4"/>
      <c r="M955" s="32"/>
      <c r="N955" s="32"/>
      <c r="O955" s="32"/>
      <c r="P955" s="32"/>
      <c r="Q955" s="32"/>
      <c r="R955" s="32"/>
      <c r="S955" s="32"/>
      <c r="T955" s="32"/>
      <c r="U955" s="32"/>
      <c r="V955" s="32"/>
      <c r="W955" s="32"/>
      <c r="X955" s="32"/>
      <c r="Y955" s="32"/>
      <c r="Z955" s="32"/>
    </row>
    <row r="956" spans="1:26" ht="17.25" customHeight="1">
      <c r="A956" s="3"/>
      <c r="B956" s="3"/>
      <c r="C956" s="3"/>
      <c r="D956" s="3"/>
      <c r="E956" s="3"/>
      <c r="F956" s="3"/>
      <c r="G956" s="3"/>
      <c r="H956" s="3"/>
      <c r="I956" s="3"/>
      <c r="J956" s="3"/>
      <c r="K956" s="3"/>
      <c r="L956" s="4"/>
      <c r="M956" s="32"/>
      <c r="N956" s="32"/>
      <c r="O956" s="32"/>
      <c r="P956" s="32"/>
      <c r="Q956" s="32"/>
      <c r="R956" s="32"/>
      <c r="S956" s="32"/>
      <c r="T956" s="32"/>
      <c r="U956" s="32"/>
      <c r="V956" s="32"/>
      <c r="W956" s="32"/>
      <c r="X956" s="32"/>
      <c r="Y956" s="32"/>
      <c r="Z956" s="32"/>
    </row>
    <row r="957" spans="1:26" ht="17.25" customHeight="1">
      <c r="A957" s="3"/>
      <c r="B957" s="3"/>
      <c r="C957" s="3"/>
      <c r="D957" s="3"/>
      <c r="E957" s="3"/>
      <c r="F957" s="3"/>
      <c r="G957" s="3"/>
      <c r="H957" s="3"/>
      <c r="I957" s="3"/>
      <c r="J957" s="3"/>
      <c r="K957" s="3"/>
      <c r="L957" s="4"/>
      <c r="M957" s="32"/>
      <c r="N957" s="32"/>
      <c r="O957" s="32"/>
      <c r="P957" s="32"/>
      <c r="Q957" s="32"/>
      <c r="R957" s="32"/>
      <c r="S957" s="32"/>
      <c r="T957" s="32"/>
      <c r="U957" s="32"/>
      <c r="V957" s="32"/>
      <c r="W957" s="32"/>
      <c r="X957" s="32"/>
      <c r="Y957" s="32"/>
      <c r="Z957" s="32"/>
    </row>
    <row r="958" spans="1:26" ht="17.25" customHeight="1">
      <c r="A958" s="3"/>
      <c r="B958" s="3"/>
      <c r="C958" s="3"/>
      <c r="D958" s="3"/>
      <c r="E958" s="3"/>
      <c r="F958" s="3"/>
      <c r="G958" s="3"/>
      <c r="H958" s="3"/>
      <c r="I958" s="3"/>
      <c r="J958" s="3"/>
      <c r="K958" s="3"/>
      <c r="L958" s="4"/>
      <c r="M958" s="32"/>
      <c r="N958" s="32"/>
      <c r="O958" s="32"/>
      <c r="P958" s="32"/>
      <c r="Q958" s="32"/>
      <c r="R958" s="32"/>
      <c r="S958" s="32"/>
      <c r="T958" s="32"/>
      <c r="U958" s="32"/>
      <c r="V958" s="32"/>
      <c r="W958" s="32"/>
      <c r="X958" s="32"/>
      <c r="Y958" s="32"/>
      <c r="Z958" s="32"/>
    </row>
    <row r="959" spans="1:26" ht="17.25" customHeight="1">
      <c r="A959" s="3"/>
      <c r="B959" s="3"/>
      <c r="C959" s="3"/>
      <c r="D959" s="3"/>
      <c r="E959" s="3"/>
      <c r="F959" s="3"/>
      <c r="G959" s="3"/>
      <c r="H959" s="3"/>
      <c r="I959" s="3"/>
      <c r="J959" s="3"/>
      <c r="K959" s="3"/>
      <c r="L959" s="4"/>
      <c r="M959" s="32"/>
      <c r="N959" s="32"/>
      <c r="O959" s="32"/>
      <c r="P959" s="32"/>
      <c r="Q959" s="32"/>
      <c r="R959" s="32"/>
      <c r="S959" s="32"/>
      <c r="T959" s="32"/>
      <c r="U959" s="32"/>
      <c r="V959" s="32"/>
      <c r="W959" s="32"/>
      <c r="X959" s="32"/>
      <c r="Y959" s="32"/>
      <c r="Z959" s="32"/>
    </row>
    <row r="960" spans="1:26" ht="17.25" customHeight="1">
      <c r="A960" s="3"/>
      <c r="B960" s="3"/>
      <c r="C960" s="3"/>
      <c r="D960" s="3"/>
      <c r="E960" s="3"/>
      <c r="F960" s="3"/>
      <c r="G960" s="3"/>
      <c r="H960" s="3"/>
      <c r="I960" s="3"/>
      <c r="J960" s="3"/>
      <c r="K960" s="3"/>
      <c r="L960" s="4"/>
      <c r="M960" s="32"/>
      <c r="N960" s="32"/>
      <c r="O960" s="32"/>
      <c r="P960" s="32"/>
      <c r="Q960" s="32"/>
      <c r="R960" s="32"/>
      <c r="S960" s="32"/>
      <c r="T960" s="32"/>
      <c r="U960" s="32"/>
      <c r="V960" s="32"/>
      <c r="W960" s="32"/>
      <c r="X960" s="32"/>
      <c r="Y960" s="32"/>
      <c r="Z960" s="32"/>
    </row>
    <row r="961" spans="1:26" ht="17.25" customHeight="1">
      <c r="A961" s="3"/>
      <c r="B961" s="3"/>
      <c r="C961" s="3"/>
      <c r="D961" s="3"/>
      <c r="E961" s="3"/>
      <c r="F961" s="3"/>
      <c r="G961" s="3"/>
      <c r="H961" s="3"/>
      <c r="I961" s="3"/>
      <c r="J961" s="3"/>
      <c r="K961" s="3"/>
      <c r="L961" s="4"/>
      <c r="M961" s="32"/>
      <c r="N961" s="32"/>
      <c r="O961" s="32"/>
      <c r="P961" s="32"/>
      <c r="Q961" s="32"/>
      <c r="R961" s="32"/>
      <c r="S961" s="32"/>
      <c r="T961" s="32"/>
      <c r="U961" s="32"/>
      <c r="V961" s="32"/>
      <c r="W961" s="32"/>
      <c r="X961" s="32"/>
      <c r="Y961" s="32"/>
      <c r="Z961" s="32"/>
    </row>
    <row r="962" spans="1:26" ht="17.25" customHeight="1">
      <c r="A962" s="3"/>
      <c r="B962" s="3"/>
      <c r="C962" s="3"/>
      <c r="D962" s="3"/>
      <c r="E962" s="3"/>
      <c r="F962" s="3"/>
      <c r="G962" s="3"/>
      <c r="H962" s="3"/>
      <c r="I962" s="3"/>
      <c r="J962" s="3"/>
      <c r="K962" s="3"/>
      <c r="L962" s="4"/>
      <c r="M962" s="32"/>
      <c r="N962" s="32"/>
      <c r="O962" s="32"/>
      <c r="P962" s="32"/>
      <c r="Q962" s="32"/>
      <c r="R962" s="32"/>
      <c r="S962" s="32"/>
      <c r="T962" s="32"/>
      <c r="U962" s="32"/>
      <c r="V962" s="32"/>
      <c r="W962" s="32"/>
      <c r="X962" s="32"/>
      <c r="Y962" s="32"/>
      <c r="Z962" s="32"/>
    </row>
    <row r="963" spans="1:26" ht="17.25" customHeight="1">
      <c r="A963" s="3"/>
      <c r="B963" s="3"/>
      <c r="C963" s="3"/>
      <c r="D963" s="3"/>
      <c r="E963" s="3"/>
      <c r="F963" s="3"/>
      <c r="G963" s="3"/>
      <c r="H963" s="3"/>
      <c r="I963" s="3"/>
      <c r="J963" s="3"/>
      <c r="K963" s="3"/>
      <c r="L963" s="4"/>
      <c r="M963" s="32"/>
      <c r="N963" s="32"/>
      <c r="O963" s="32"/>
      <c r="P963" s="32"/>
      <c r="Q963" s="32"/>
      <c r="R963" s="32"/>
      <c r="S963" s="32"/>
      <c r="T963" s="32"/>
      <c r="U963" s="32"/>
      <c r="V963" s="32"/>
      <c r="W963" s="32"/>
      <c r="X963" s="32"/>
      <c r="Y963" s="32"/>
      <c r="Z963" s="32"/>
    </row>
    <row r="964" spans="1:26" ht="17.25" customHeight="1">
      <c r="A964" s="3"/>
      <c r="B964" s="3"/>
      <c r="C964" s="3"/>
      <c r="D964" s="3"/>
      <c r="E964" s="3"/>
      <c r="F964" s="3"/>
      <c r="G964" s="3"/>
      <c r="H964" s="3"/>
      <c r="I964" s="3"/>
      <c r="J964" s="3"/>
      <c r="K964" s="3"/>
      <c r="L964" s="4"/>
      <c r="M964" s="32"/>
      <c r="N964" s="32"/>
      <c r="O964" s="32"/>
      <c r="P964" s="32"/>
      <c r="Q964" s="32"/>
      <c r="R964" s="32"/>
      <c r="S964" s="32"/>
      <c r="T964" s="32"/>
      <c r="U964" s="32"/>
      <c r="V964" s="32"/>
      <c r="W964" s="32"/>
      <c r="X964" s="32"/>
      <c r="Y964" s="32"/>
      <c r="Z964" s="32"/>
    </row>
    <row r="965" spans="1:26" ht="17.25" customHeight="1">
      <c r="A965" s="3"/>
      <c r="B965" s="3"/>
      <c r="C965" s="3"/>
      <c r="D965" s="3"/>
      <c r="E965" s="3"/>
      <c r="F965" s="3"/>
      <c r="G965" s="3"/>
      <c r="H965" s="3"/>
      <c r="I965" s="3"/>
      <c r="J965" s="3"/>
      <c r="K965" s="3"/>
      <c r="L965" s="4"/>
      <c r="M965" s="32"/>
      <c r="N965" s="32"/>
      <c r="O965" s="32"/>
      <c r="P965" s="32"/>
      <c r="Q965" s="32"/>
      <c r="R965" s="32"/>
      <c r="S965" s="32"/>
      <c r="T965" s="32"/>
      <c r="U965" s="32"/>
      <c r="V965" s="32"/>
      <c r="W965" s="32"/>
      <c r="X965" s="32"/>
      <c r="Y965" s="32"/>
      <c r="Z965" s="32"/>
    </row>
    <row r="966" spans="1:26" ht="17.25" customHeight="1">
      <c r="A966" s="3"/>
      <c r="B966" s="3"/>
      <c r="C966" s="3"/>
      <c r="D966" s="3"/>
      <c r="E966" s="3"/>
      <c r="F966" s="3"/>
      <c r="G966" s="3"/>
      <c r="H966" s="3"/>
      <c r="I966" s="3"/>
      <c r="J966" s="3"/>
      <c r="K966" s="3"/>
      <c r="L966" s="4"/>
      <c r="M966" s="32"/>
      <c r="N966" s="32"/>
      <c r="O966" s="32"/>
      <c r="P966" s="32"/>
      <c r="Q966" s="32"/>
      <c r="R966" s="32"/>
      <c r="S966" s="32"/>
      <c r="T966" s="32"/>
      <c r="U966" s="32"/>
      <c r="V966" s="32"/>
      <c r="W966" s="32"/>
      <c r="X966" s="32"/>
      <c r="Y966" s="32"/>
      <c r="Z966" s="32"/>
    </row>
    <row r="967" spans="1:26" ht="17.25" customHeight="1">
      <c r="A967" s="3"/>
      <c r="B967" s="3"/>
      <c r="C967" s="3"/>
      <c r="D967" s="3"/>
      <c r="E967" s="3"/>
      <c r="F967" s="3"/>
      <c r="G967" s="3"/>
      <c r="H967" s="3"/>
      <c r="I967" s="3"/>
      <c r="J967" s="3"/>
      <c r="K967" s="3"/>
      <c r="L967" s="4"/>
      <c r="M967" s="32"/>
      <c r="N967" s="32"/>
      <c r="O967" s="32"/>
      <c r="P967" s="32"/>
      <c r="Q967" s="32"/>
      <c r="R967" s="32"/>
      <c r="S967" s="32"/>
      <c r="T967" s="32"/>
      <c r="U967" s="32"/>
      <c r="V967" s="32"/>
      <c r="W967" s="32"/>
      <c r="X967" s="32"/>
      <c r="Y967" s="32"/>
      <c r="Z967" s="32"/>
    </row>
    <row r="968" spans="1:26" ht="17.25" customHeight="1">
      <c r="A968" s="3"/>
      <c r="B968" s="3"/>
      <c r="C968" s="3"/>
      <c r="D968" s="3"/>
      <c r="E968" s="3"/>
      <c r="F968" s="3"/>
      <c r="G968" s="3"/>
      <c r="H968" s="3"/>
      <c r="I968" s="3"/>
      <c r="J968" s="3"/>
      <c r="K968" s="3"/>
      <c r="L968" s="4"/>
      <c r="M968" s="32"/>
      <c r="N968" s="32"/>
      <c r="O968" s="32"/>
      <c r="P968" s="32"/>
      <c r="Q968" s="32"/>
      <c r="R968" s="32"/>
      <c r="S968" s="32"/>
      <c r="T968" s="32"/>
      <c r="U968" s="32"/>
      <c r="V968" s="32"/>
      <c r="W968" s="32"/>
      <c r="X968" s="32"/>
      <c r="Y968" s="32"/>
      <c r="Z968" s="32"/>
    </row>
    <row r="969" spans="1:26" ht="17.25" customHeight="1">
      <c r="A969" s="3"/>
      <c r="B969" s="3"/>
      <c r="C969" s="3"/>
      <c r="D969" s="3"/>
      <c r="E969" s="3"/>
      <c r="F969" s="3"/>
      <c r="G969" s="3"/>
      <c r="H969" s="3"/>
      <c r="I969" s="3"/>
      <c r="J969" s="3"/>
      <c r="K969" s="3"/>
      <c r="L969" s="4"/>
      <c r="M969" s="32"/>
      <c r="N969" s="32"/>
      <c r="O969" s="32"/>
      <c r="P969" s="32"/>
      <c r="Q969" s="32"/>
      <c r="R969" s="32"/>
      <c r="S969" s="32"/>
      <c r="T969" s="32"/>
      <c r="U969" s="32"/>
      <c r="V969" s="32"/>
      <c r="W969" s="32"/>
      <c r="X969" s="32"/>
      <c r="Y969" s="32"/>
      <c r="Z969" s="32"/>
    </row>
    <row r="970" spans="1:26" ht="17.25" customHeight="1">
      <c r="A970" s="3"/>
      <c r="B970" s="3"/>
      <c r="C970" s="3"/>
      <c r="D970" s="3"/>
      <c r="E970" s="3"/>
      <c r="F970" s="3"/>
      <c r="G970" s="3"/>
      <c r="H970" s="3"/>
      <c r="I970" s="3"/>
      <c r="J970" s="3"/>
      <c r="K970" s="3"/>
      <c r="L970" s="4"/>
      <c r="M970" s="32"/>
      <c r="N970" s="32"/>
      <c r="O970" s="32"/>
      <c r="P970" s="32"/>
      <c r="Q970" s="32"/>
      <c r="R970" s="32"/>
      <c r="S970" s="32"/>
      <c r="T970" s="32"/>
      <c r="U970" s="32"/>
      <c r="V970" s="32"/>
      <c r="W970" s="32"/>
      <c r="X970" s="32"/>
      <c r="Y970" s="32"/>
      <c r="Z970" s="32"/>
    </row>
    <row r="971" spans="1:26" ht="17.25" customHeight="1">
      <c r="A971" s="3"/>
      <c r="B971" s="3"/>
      <c r="C971" s="3"/>
      <c r="D971" s="3"/>
      <c r="E971" s="3"/>
      <c r="F971" s="3"/>
      <c r="G971" s="3"/>
      <c r="H971" s="3"/>
      <c r="I971" s="3"/>
      <c r="J971" s="3"/>
      <c r="K971" s="3"/>
      <c r="L971" s="4"/>
      <c r="M971" s="32"/>
      <c r="N971" s="32"/>
      <c r="O971" s="32"/>
      <c r="P971" s="32"/>
      <c r="Q971" s="32"/>
      <c r="R971" s="32"/>
      <c r="S971" s="32"/>
      <c r="T971" s="32"/>
      <c r="U971" s="32"/>
      <c r="V971" s="32"/>
      <c r="W971" s="32"/>
      <c r="X971" s="32"/>
      <c r="Y971" s="32"/>
      <c r="Z971" s="32"/>
    </row>
    <row r="972" spans="1:26" ht="17.25" customHeight="1">
      <c r="A972" s="3"/>
      <c r="B972" s="3"/>
      <c r="C972" s="3"/>
      <c r="D972" s="3"/>
      <c r="E972" s="3"/>
      <c r="F972" s="3"/>
      <c r="G972" s="3"/>
      <c r="H972" s="3"/>
      <c r="I972" s="3"/>
      <c r="J972" s="3"/>
      <c r="K972" s="3"/>
      <c r="L972" s="4"/>
      <c r="M972" s="32"/>
      <c r="N972" s="32"/>
      <c r="O972" s="32"/>
      <c r="P972" s="32"/>
      <c r="Q972" s="32"/>
      <c r="R972" s="32"/>
      <c r="S972" s="32"/>
      <c r="T972" s="32"/>
      <c r="U972" s="32"/>
      <c r="V972" s="32"/>
      <c r="W972" s="32"/>
      <c r="X972" s="32"/>
      <c r="Y972" s="32"/>
      <c r="Z972" s="32"/>
    </row>
    <row r="973" spans="1:26" ht="17.25" customHeight="1">
      <c r="A973" s="3"/>
      <c r="B973" s="3"/>
      <c r="C973" s="3"/>
      <c r="D973" s="3"/>
      <c r="E973" s="3"/>
      <c r="F973" s="3"/>
      <c r="G973" s="3"/>
      <c r="H973" s="3"/>
      <c r="I973" s="3"/>
      <c r="J973" s="3"/>
      <c r="K973" s="3"/>
      <c r="L973" s="4"/>
      <c r="M973" s="32"/>
      <c r="N973" s="32"/>
      <c r="O973" s="32"/>
      <c r="P973" s="32"/>
      <c r="Q973" s="32"/>
      <c r="R973" s="32"/>
      <c r="S973" s="32"/>
      <c r="T973" s="32"/>
      <c r="U973" s="32"/>
      <c r="V973" s="32"/>
      <c r="W973" s="32"/>
      <c r="X973" s="32"/>
      <c r="Y973" s="32"/>
      <c r="Z973" s="32"/>
    </row>
    <row r="974" spans="1:26" ht="17.25" customHeight="1">
      <c r="A974" s="3"/>
      <c r="B974" s="3"/>
      <c r="C974" s="3"/>
      <c r="D974" s="3"/>
      <c r="E974" s="3"/>
      <c r="F974" s="3"/>
      <c r="G974" s="3"/>
      <c r="H974" s="3"/>
      <c r="I974" s="3"/>
      <c r="J974" s="3"/>
      <c r="K974" s="3"/>
      <c r="L974" s="4"/>
      <c r="M974" s="32"/>
      <c r="N974" s="32"/>
      <c r="O974" s="32"/>
      <c r="P974" s="32"/>
      <c r="Q974" s="32"/>
      <c r="R974" s="32"/>
      <c r="S974" s="32"/>
      <c r="T974" s="32"/>
      <c r="U974" s="32"/>
      <c r="V974" s="32"/>
      <c r="W974" s="32"/>
      <c r="X974" s="32"/>
      <c r="Y974" s="32"/>
      <c r="Z974" s="32"/>
    </row>
    <row r="975" spans="1:26" ht="17.25" customHeight="1">
      <c r="A975" s="3"/>
      <c r="B975" s="3"/>
      <c r="C975" s="3"/>
      <c r="D975" s="3"/>
      <c r="E975" s="3"/>
      <c r="F975" s="3"/>
      <c r="G975" s="3"/>
      <c r="H975" s="3"/>
      <c r="I975" s="3"/>
      <c r="J975" s="3"/>
      <c r="K975" s="3"/>
      <c r="L975" s="4"/>
      <c r="M975" s="32"/>
      <c r="N975" s="32"/>
      <c r="O975" s="32"/>
      <c r="P975" s="32"/>
      <c r="Q975" s="32"/>
      <c r="R975" s="32"/>
      <c r="S975" s="32"/>
      <c r="T975" s="32"/>
      <c r="U975" s="32"/>
      <c r="V975" s="32"/>
      <c r="W975" s="32"/>
      <c r="X975" s="32"/>
      <c r="Y975" s="32"/>
      <c r="Z975" s="32"/>
    </row>
    <row r="976" spans="1:26" ht="17.25" customHeight="1">
      <c r="A976" s="3"/>
      <c r="B976" s="3"/>
      <c r="C976" s="3"/>
      <c r="D976" s="3"/>
      <c r="E976" s="3"/>
      <c r="F976" s="3"/>
      <c r="G976" s="3"/>
      <c r="H976" s="3"/>
      <c r="I976" s="3"/>
      <c r="J976" s="3"/>
      <c r="K976" s="3"/>
      <c r="L976" s="4"/>
      <c r="M976" s="32"/>
      <c r="N976" s="32"/>
      <c r="O976" s="32"/>
      <c r="P976" s="32"/>
      <c r="Q976" s="32"/>
      <c r="R976" s="32"/>
      <c r="S976" s="32"/>
      <c r="T976" s="32"/>
      <c r="U976" s="32"/>
      <c r="V976" s="32"/>
      <c r="W976" s="32"/>
      <c r="X976" s="32"/>
      <c r="Y976" s="32"/>
      <c r="Z976" s="32"/>
    </row>
    <row r="977" spans="1:26" ht="17.25" customHeight="1">
      <c r="A977" s="3"/>
      <c r="B977" s="3"/>
      <c r="C977" s="3"/>
      <c r="D977" s="3"/>
      <c r="E977" s="3"/>
      <c r="F977" s="3"/>
      <c r="G977" s="3"/>
      <c r="H977" s="3"/>
      <c r="I977" s="3"/>
      <c r="J977" s="3"/>
      <c r="K977" s="3"/>
      <c r="L977" s="4"/>
      <c r="M977" s="32"/>
      <c r="N977" s="32"/>
      <c r="O977" s="32"/>
      <c r="P977" s="32"/>
      <c r="Q977" s="32"/>
      <c r="R977" s="32"/>
      <c r="S977" s="32"/>
      <c r="T977" s="32"/>
      <c r="U977" s="32"/>
      <c r="V977" s="32"/>
      <c r="W977" s="32"/>
      <c r="X977" s="32"/>
      <c r="Y977" s="32"/>
      <c r="Z977" s="32"/>
    </row>
    <row r="978" spans="1:26" ht="17.25" customHeight="1">
      <c r="A978" s="3"/>
      <c r="B978" s="3"/>
      <c r="C978" s="3"/>
      <c r="D978" s="3"/>
      <c r="E978" s="3"/>
      <c r="F978" s="3"/>
      <c r="G978" s="3"/>
      <c r="H978" s="3"/>
      <c r="I978" s="3"/>
      <c r="J978" s="3"/>
      <c r="K978" s="3"/>
      <c r="L978" s="4"/>
      <c r="M978" s="32"/>
      <c r="N978" s="32"/>
      <c r="O978" s="32"/>
      <c r="P978" s="32"/>
      <c r="Q978" s="32"/>
      <c r="R978" s="32"/>
      <c r="S978" s="32"/>
      <c r="T978" s="32"/>
      <c r="U978" s="32"/>
      <c r="V978" s="32"/>
      <c r="W978" s="32"/>
      <c r="X978" s="32"/>
      <c r="Y978" s="32"/>
      <c r="Z978" s="32"/>
    </row>
    <row r="979" spans="1:26" ht="17.25" customHeight="1">
      <c r="A979" s="3"/>
      <c r="B979" s="3"/>
      <c r="C979" s="3"/>
      <c r="D979" s="3"/>
      <c r="E979" s="3"/>
      <c r="F979" s="3"/>
      <c r="G979" s="3"/>
      <c r="H979" s="3"/>
      <c r="I979" s="3"/>
      <c r="J979" s="3"/>
      <c r="K979" s="3"/>
      <c r="L979" s="4"/>
      <c r="M979" s="32"/>
      <c r="N979" s="32"/>
      <c r="O979" s="32"/>
      <c r="P979" s="32"/>
      <c r="Q979" s="32"/>
      <c r="R979" s="32"/>
      <c r="S979" s="32"/>
      <c r="T979" s="32"/>
      <c r="U979" s="32"/>
      <c r="V979" s="32"/>
      <c r="W979" s="32"/>
      <c r="X979" s="32"/>
      <c r="Y979" s="32"/>
      <c r="Z979" s="32"/>
    </row>
    <row r="980" spans="1:26" ht="17.25" customHeight="1">
      <c r="A980" s="3"/>
      <c r="B980" s="3"/>
      <c r="C980" s="3"/>
      <c r="D980" s="3"/>
      <c r="E980" s="3"/>
      <c r="F980" s="3"/>
      <c r="G980" s="3"/>
      <c r="H980" s="3"/>
      <c r="I980" s="3"/>
      <c r="J980" s="3"/>
      <c r="K980" s="3"/>
      <c r="L980" s="4"/>
      <c r="M980" s="32"/>
      <c r="N980" s="32"/>
      <c r="O980" s="32"/>
      <c r="P980" s="32"/>
      <c r="Q980" s="32"/>
      <c r="R980" s="32"/>
      <c r="S980" s="32"/>
      <c r="T980" s="32"/>
      <c r="U980" s="32"/>
      <c r="V980" s="32"/>
      <c r="W980" s="32"/>
      <c r="X980" s="32"/>
      <c r="Y980" s="32"/>
      <c r="Z980" s="32"/>
    </row>
    <row r="981" spans="1:26" ht="17.25" customHeight="1">
      <c r="A981" s="3"/>
      <c r="B981" s="3"/>
      <c r="C981" s="3"/>
      <c r="D981" s="3"/>
      <c r="E981" s="3"/>
      <c r="F981" s="3"/>
      <c r="G981" s="3"/>
      <c r="H981" s="3"/>
      <c r="I981" s="3"/>
      <c r="J981" s="3"/>
      <c r="K981" s="3"/>
      <c r="L981" s="4"/>
      <c r="M981" s="32"/>
      <c r="N981" s="32"/>
      <c r="O981" s="32"/>
      <c r="P981" s="32"/>
      <c r="Q981" s="32"/>
      <c r="R981" s="32"/>
      <c r="S981" s="32"/>
      <c r="T981" s="32"/>
      <c r="U981" s="32"/>
      <c r="V981" s="32"/>
      <c r="W981" s="32"/>
      <c r="X981" s="32"/>
      <c r="Y981" s="32"/>
      <c r="Z981" s="32"/>
    </row>
    <row r="982" spans="1:26" ht="17.25" customHeight="1">
      <c r="A982" s="3"/>
      <c r="B982" s="3"/>
      <c r="C982" s="3"/>
      <c r="D982" s="3"/>
      <c r="E982" s="3"/>
      <c r="F982" s="3"/>
      <c r="G982" s="3"/>
      <c r="H982" s="3"/>
      <c r="I982" s="3"/>
      <c r="J982" s="3"/>
      <c r="K982" s="3"/>
      <c r="L982" s="4"/>
      <c r="M982" s="32"/>
      <c r="N982" s="32"/>
      <c r="O982" s="32"/>
      <c r="P982" s="32"/>
      <c r="Q982" s="32"/>
      <c r="R982" s="32"/>
      <c r="S982" s="32"/>
      <c r="T982" s="32"/>
      <c r="U982" s="32"/>
      <c r="V982" s="32"/>
      <c r="W982" s="32"/>
      <c r="X982" s="32"/>
      <c r="Y982" s="32"/>
      <c r="Z982" s="32"/>
    </row>
    <row r="983" spans="1:26" ht="17.25" customHeight="1">
      <c r="A983" s="3"/>
      <c r="B983" s="3"/>
      <c r="C983" s="3"/>
      <c r="D983" s="3"/>
      <c r="E983" s="3"/>
      <c r="F983" s="3"/>
      <c r="G983" s="3"/>
      <c r="H983" s="3"/>
      <c r="I983" s="3"/>
      <c r="J983" s="3"/>
      <c r="K983" s="3"/>
      <c r="L983" s="4"/>
      <c r="M983" s="32"/>
      <c r="N983" s="32"/>
      <c r="O983" s="32"/>
      <c r="P983" s="32"/>
      <c r="Q983" s="32"/>
      <c r="R983" s="32"/>
      <c r="S983" s="32"/>
      <c r="T983" s="32"/>
      <c r="U983" s="32"/>
      <c r="V983" s="32"/>
      <c r="W983" s="32"/>
      <c r="X983" s="32"/>
      <c r="Y983" s="32"/>
      <c r="Z983" s="32"/>
    </row>
    <row r="984" spans="1:26" ht="17.25" customHeight="1">
      <c r="A984" s="3"/>
      <c r="B984" s="3"/>
      <c r="C984" s="3"/>
      <c r="D984" s="3"/>
      <c r="E984" s="3"/>
      <c r="F984" s="3"/>
      <c r="G984" s="3"/>
      <c r="H984" s="3"/>
      <c r="I984" s="3"/>
      <c r="J984" s="3"/>
      <c r="K984" s="3"/>
      <c r="L984" s="4"/>
      <c r="M984" s="32"/>
      <c r="N984" s="32"/>
      <c r="O984" s="32"/>
      <c r="P984" s="32"/>
      <c r="Q984" s="32"/>
      <c r="R984" s="32"/>
      <c r="S984" s="32"/>
      <c r="T984" s="32"/>
      <c r="U984" s="32"/>
      <c r="V984" s="32"/>
      <c r="W984" s="32"/>
      <c r="X984" s="32"/>
      <c r="Y984" s="32"/>
      <c r="Z984" s="32"/>
    </row>
    <row r="985" spans="1:26" ht="17.25" customHeight="1">
      <c r="A985" s="3"/>
      <c r="B985" s="3"/>
      <c r="C985" s="3"/>
      <c r="D985" s="3"/>
      <c r="E985" s="3"/>
      <c r="F985" s="3"/>
      <c r="G985" s="3"/>
      <c r="H985" s="3"/>
      <c r="I985" s="3"/>
      <c r="J985" s="3"/>
      <c r="K985" s="3"/>
      <c r="L985" s="4"/>
      <c r="M985" s="32"/>
      <c r="N985" s="32"/>
      <c r="O985" s="32"/>
      <c r="P985" s="32"/>
      <c r="Q985" s="32"/>
      <c r="R985" s="32"/>
      <c r="S985" s="32"/>
      <c r="T985" s="32"/>
      <c r="U985" s="32"/>
      <c r="V985" s="32"/>
      <c r="W985" s="32"/>
      <c r="X985" s="32"/>
      <c r="Y985" s="32"/>
      <c r="Z985" s="32"/>
    </row>
    <row r="986" spans="1:26" ht="17.25" customHeight="1">
      <c r="A986" s="3"/>
      <c r="B986" s="3"/>
      <c r="C986" s="3"/>
      <c r="D986" s="3"/>
      <c r="E986" s="3"/>
      <c r="F986" s="3"/>
      <c r="G986" s="3"/>
      <c r="H986" s="3"/>
      <c r="I986" s="3"/>
      <c r="J986" s="3"/>
      <c r="K986" s="3"/>
      <c r="L986" s="4"/>
      <c r="M986" s="32"/>
      <c r="N986" s="32"/>
      <c r="O986" s="32"/>
      <c r="P986" s="32"/>
      <c r="Q986" s="32"/>
      <c r="R986" s="32"/>
      <c r="S986" s="32"/>
      <c r="T986" s="32"/>
      <c r="U986" s="32"/>
      <c r="V986" s="32"/>
      <c r="W986" s="32"/>
      <c r="X986" s="32"/>
      <c r="Y986" s="32"/>
      <c r="Z986" s="32"/>
    </row>
    <row r="987" spans="1:26" ht="17.25" customHeight="1">
      <c r="A987" s="3"/>
      <c r="B987" s="3"/>
      <c r="C987" s="3"/>
      <c r="D987" s="3"/>
      <c r="E987" s="3"/>
      <c r="F987" s="3"/>
      <c r="G987" s="3"/>
      <c r="H987" s="3"/>
      <c r="I987" s="3"/>
      <c r="J987" s="3"/>
      <c r="K987" s="3"/>
      <c r="L987" s="4"/>
      <c r="M987" s="32"/>
      <c r="N987" s="32"/>
      <c r="O987" s="32"/>
      <c r="P987" s="32"/>
      <c r="Q987" s="32"/>
      <c r="R987" s="32"/>
      <c r="S987" s="32"/>
      <c r="T987" s="32"/>
      <c r="U987" s="32"/>
      <c r="V987" s="32"/>
      <c r="W987" s="32"/>
      <c r="X987" s="32"/>
      <c r="Y987" s="32"/>
      <c r="Z987" s="32"/>
    </row>
    <row r="988" spans="1:26" ht="17.25" customHeight="1">
      <c r="A988" s="3"/>
      <c r="B988" s="3"/>
      <c r="C988" s="3"/>
      <c r="D988" s="3"/>
      <c r="E988" s="3"/>
      <c r="F988" s="3"/>
      <c r="G988" s="3"/>
      <c r="H988" s="3"/>
      <c r="I988" s="3"/>
      <c r="J988" s="3"/>
      <c r="K988" s="3"/>
      <c r="L988" s="4"/>
      <c r="M988" s="32"/>
      <c r="N988" s="32"/>
      <c r="O988" s="32"/>
      <c r="P988" s="32"/>
      <c r="Q988" s="32"/>
      <c r="R988" s="32"/>
      <c r="S988" s="32"/>
      <c r="T988" s="32"/>
      <c r="U988" s="32"/>
      <c r="V988" s="32"/>
      <c r="W988" s="32"/>
      <c r="X988" s="32"/>
      <c r="Y988" s="32"/>
      <c r="Z988" s="32"/>
    </row>
    <row r="989" spans="1:26" ht="17.25" customHeight="1">
      <c r="A989" s="3"/>
      <c r="B989" s="3"/>
      <c r="C989" s="3"/>
      <c r="D989" s="3"/>
      <c r="E989" s="3"/>
      <c r="F989" s="3"/>
      <c r="G989" s="3"/>
      <c r="H989" s="3"/>
      <c r="I989" s="3"/>
      <c r="J989" s="3"/>
      <c r="K989" s="3"/>
      <c r="L989" s="4"/>
      <c r="M989" s="32"/>
      <c r="N989" s="32"/>
      <c r="O989" s="32"/>
      <c r="P989" s="32"/>
      <c r="Q989" s="32"/>
      <c r="R989" s="32"/>
      <c r="S989" s="32"/>
      <c r="T989" s="32"/>
      <c r="U989" s="32"/>
      <c r="V989" s="32"/>
      <c r="W989" s="32"/>
      <c r="X989" s="32"/>
      <c r="Y989" s="32"/>
      <c r="Z989" s="32"/>
    </row>
    <row r="990" spans="1:26" ht="17.25" customHeight="1">
      <c r="A990" s="3"/>
      <c r="B990" s="3"/>
      <c r="C990" s="3"/>
      <c r="D990" s="3"/>
      <c r="E990" s="3"/>
      <c r="F990" s="3"/>
      <c r="G990" s="3"/>
      <c r="H990" s="3"/>
      <c r="I990" s="3"/>
      <c r="J990" s="3"/>
      <c r="K990" s="3"/>
      <c r="L990" s="4"/>
      <c r="M990" s="32"/>
      <c r="N990" s="32"/>
      <c r="O990" s="32"/>
      <c r="P990" s="32"/>
      <c r="Q990" s="32"/>
      <c r="R990" s="32"/>
      <c r="S990" s="32"/>
      <c r="T990" s="32"/>
      <c r="U990" s="32"/>
      <c r="V990" s="32"/>
      <c r="W990" s="32"/>
      <c r="X990" s="32"/>
      <c r="Y990" s="32"/>
      <c r="Z990" s="32"/>
    </row>
    <row r="991" spans="1:26" ht="17.25" customHeight="1">
      <c r="A991" s="3"/>
      <c r="B991" s="3"/>
      <c r="C991" s="3"/>
      <c r="D991" s="3"/>
      <c r="E991" s="3"/>
      <c r="F991" s="3"/>
      <c r="G991" s="3"/>
      <c r="H991" s="3"/>
      <c r="I991" s="3"/>
      <c r="J991" s="3"/>
      <c r="K991" s="3"/>
      <c r="L991" s="4"/>
      <c r="M991" s="32"/>
      <c r="N991" s="32"/>
      <c r="O991" s="32"/>
      <c r="P991" s="32"/>
      <c r="Q991" s="32"/>
      <c r="R991" s="32"/>
      <c r="S991" s="32"/>
      <c r="T991" s="32"/>
      <c r="U991" s="32"/>
      <c r="V991" s="32"/>
      <c r="W991" s="32"/>
      <c r="X991" s="32"/>
      <c r="Y991" s="32"/>
      <c r="Z991" s="32"/>
    </row>
    <row r="992" spans="1:26" ht="17.25" customHeight="1">
      <c r="A992" s="3"/>
      <c r="B992" s="3"/>
      <c r="C992" s="3"/>
      <c r="D992" s="3"/>
      <c r="E992" s="3"/>
      <c r="F992" s="3"/>
      <c r="G992" s="3"/>
      <c r="H992" s="3"/>
      <c r="I992" s="3"/>
      <c r="J992" s="3"/>
      <c r="K992" s="3"/>
      <c r="L992" s="4"/>
      <c r="M992" s="32"/>
      <c r="N992" s="32"/>
      <c r="O992" s="32"/>
      <c r="P992" s="32"/>
      <c r="Q992" s="32"/>
      <c r="R992" s="32"/>
      <c r="S992" s="32"/>
      <c r="T992" s="32"/>
      <c r="U992" s="32"/>
      <c r="V992" s="32"/>
      <c r="W992" s="32"/>
      <c r="X992" s="32"/>
      <c r="Y992" s="32"/>
      <c r="Z992" s="32"/>
    </row>
    <row r="993" spans="1:26" ht="17.25" customHeight="1">
      <c r="A993" s="3"/>
      <c r="B993" s="3"/>
      <c r="C993" s="3"/>
      <c r="D993" s="3"/>
      <c r="E993" s="3"/>
      <c r="F993" s="3"/>
      <c r="G993" s="3"/>
      <c r="H993" s="3"/>
      <c r="I993" s="3"/>
      <c r="J993" s="3"/>
      <c r="K993" s="3"/>
      <c r="L993" s="4"/>
      <c r="M993" s="32"/>
      <c r="N993" s="32"/>
      <c r="O993" s="32"/>
      <c r="P993" s="32"/>
      <c r="Q993" s="32"/>
      <c r="R993" s="32"/>
      <c r="S993" s="32"/>
      <c r="T993" s="32"/>
      <c r="U993" s="32"/>
      <c r="V993" s="32"/>
      <c r="W993" s="32"/>
      <c r="X993" s="32"/>
      <c r="Y993" s="32"/>
      <c r="Z993" s="32"/>
    </row>
    <row r="994" spans="1:26" ht="17.25" customHeight="1">
      <c r="A994" s="3"/>
      <c r="B994" s="3"/>
      <c r="C994" s="3"/>
      <c r="D994" s="3"/>
      <c r="E994" s="3"/>
      <c r="F994" s="3"/>
      <c r="G994" s="3"/>
      <c r="H994" s="3"/>
      <c r="I994" s="3"/>
      <c r="J994" s="3"/>
      <c r="K994" s="3"/>
      <c r="L994" s="4"/>
      <c r="M994" s="32"/>
      <c r="N994" s="32"/>
      <c r="O994" s="32"/>
      <c r="P994" s="32"/>
      <c r="Q994" s="32"/>
      <c r="R994" s="32"/>
      <c r="S994" s="32"/>
      <c r="T994" s="32"/>
      <c r="U994" s="32"/>
      <c r="V994" s="32"/>
      <c r="W994" s="32"/>
      <c r="X994" s="32"/>
      <c r="Y994" s="32"/>
      <c r="Z994" s="32"/>
    </row>
    <row r="995" spans="1:26" ht="17.25" customHeight="1">
      <c r="A995" s="3"/>
      <c r="B995" s="3"/>
      <c r="C995" s="3"/>
      <c r="D995" s="3"/>
      <c r="E995" s="3"/>
      <c r="F995" s="3"/>
      <c r="G995" s="3"/>
      <c r="H995" s="3"/>
      <c r="I995" s="3"/>
      <c r="J995" s="3"/>
      <c r="K995" s="3"/>
      <c r="L995" s="4"/>
      <c r="M995" s="32"/>
      <c r="N995" s="32"/>
      <c r="O995" s="32"/>
      <c r="P995" s="32"/>
      <c r="Q995" s="32"/>
      <c r="R995" s="32"/>
      <c r="S995" s="32"/>
      <c r="T995" s="32"/>
      <c r="U995" s="32"/>
      <c r="V995" s="32"/>
      <c r="W995" s="32"/>
      <c r="X995" s="32"/>
      <c r="Y995" s="32"/>
      <c r="Z995" s="32"/>
    </row>
    <row r="996" spans="1:26" ht="17.25" customHeight="1">
      <c r="A996" s="3"/>
      <c r="B996" s="3"/>
      <c r="C996" s="3"/>
      <c r="D996" s="3"/>
      <c r="E996" s="3"/>
      <c r="F996" s="3"/>
      <c r="G996" s="3"/>
      <c r="H996" s="3"/>
      <c r="I996" s="3"/>
      <c r="J996" s="3"/>
      <c r="K996" s="3"/>
      <c r="L996" s="4"/>
      <c r="M996" s="32"/>
      <c r="N996" s="32"/>
      <c r="O996" s="32"/>
      <c r="P996" s="32"/>
      <c r="Q996" s="32"/>
      <c r="R996" s="32"/>
      <c r="S996" s="32"/>
      <c r="T996" s="32"/>
      <c r="U996" s="32"/>
      <c r="V996" s="32"/>
      <c r="W996" s="32"/>
      <c r="X996" s="32"/>
      <c r="Y996" s="32"/>
      <c r="Z996" s="32"/>
    </row>
    <row r="997" spans="1:26" ht="17.25" customHeight="1">
      <c r="A997" s="3"/>
      <c r="B997" s="3"/>
      <c r="C997" s="3"/>
      <c r="D997" s="3"/>
      <c r="E997" s="3"/>
      <c r="F997" s="3"/>
      <c r="G997" s="3"/>
      <c r="H997" s="3"/>
      <c r="I997" s="3"/>
      <c r="J997" s="3"/>
      <c r="K997" s="3"/>
      <c r="L997" s="4"/>
      <c r="M997" s="32"/>
      <c r="N997" s="32"/>
      <c r="O997" s="32"/>
      <c r="P997" s="32"/>
      <c r="Q997" s="32"/>
      <c r="R997" s="32"/>
      <c r="S997" s="32"/>
      <c r="T997" s="32"/>
      <c r="U997" s="32"/>
      <c r="V997" s="32"/>
      <c r="W997" s="32"/>
      <c r="X997" s="32"/>
      <c r="Y997" s="32"/>
      <c r="Z997" s="32"/>
    </row>
    <row r="998" spans="1:26" ht="17.25" customHeight="1">
      <c r="A998" s="3"/>
      <c r="B998" s="3"/>
      <c r="C998" s="3"/>
      <c r="D998" s="3"/>
      <c r="E998" s="3"/>
      <c r="F998" s="3"/>
      <c r="G998" s="3"/>
      <c r="H998" s="3"/>
      <c r="I998" s="3"/>
      <c r="J998" s="3"/>
      <c r="K998" s="3"/>
      <c r="L998" s="4"/>
      <c r="M998" s="32"/>
      <c r="N998" s="32"/>
      <c r="O998" s="32"/>
      <c r="P998" s="32"/>
      <c r="Q998" s="32"/>
      <c r="R998" s="32"/>
      <c r="S998" s="32"/>
      <c r="T998" s="32"/>
      <c r="U998" s="32"/>
      <c r="V998" s="32"/>
      <c r="W998" s="32"/>
      <c r="X998" s="32"/>
      <c r="Y998" s="32"/>
      <c r="Z998" s="32"/>
    </row>
    <row r="999" spans="1:26" ht="17.25" customHeight="1">
      <c r="A999" s="3"/>
      <c r="B999" s="3"/>
      <c r="C999" s="3"/>
      <c r="D999" s="3"/>
      <c r="E999" s="3"/>
      <c r="F999" s="3"/>
      <c r="G999" s="3"/>
      <c r="H999" s="3"/>
      <c r="I999" s="3"/>
      <c r="J999" s="3"/>
      <c r="K999" s="3"/>
      <c r="L999" s="4"/>
      <c r="M999" s="32"/>
      <c r="N999" s="32"/>
      <c r="O999" s="32"/>
      <c r="P999" s="32"/>
      <c r="Q999" s="32"/>
      <c r="R999" s="32"/>
      <c r="S999" s="32"/>
      <c r="T999" s="32"/>
      <c r="U999" s="32"/>
      <c r="V999" s="32"/>
      <c r="W999" s="32"/>
      <c r="X999" s="32"/>
      <c r="Y999" s="32"/>
      <c r="Z999" s="32"/>
    </row>
    <row r="1000" spans="1:26" ht="17.25" customHeight="1">
      <c r="A1000" s="3"/>
      <c r="B1000" s="3"/>
      <c r="C1000" s="3"/>
      <c r="D1000" s="3"/>
      <c r="E1000" s="3"/>
      <c r="F1000" s="3"/>
      <c r="G1000" s="3"/>
      <c r="H1000" s="3"/>
      <c r="I1000" s="3"/>
      <c r="J1000" s="3"/>
      <c r="K1000" s="3"/>
      <c r="L1000" s="4"/>
      <c r="M1000" s="32"/>
      <c r="N1000" s="32"/>
      <c r="O1000" s="32"/>
      <c r="P1000" s="32"/>
      <c r="Q1000" s="32"/>
      <c r="R1000" s="32"/>
      <c r="S1000" s="32"/>
      <c r="T1000" s="32"/>
      <c r="U1000" s="32"/>
      <c r="V1000" s="32"/>
      <c r="W1000" s="32"/>
      <c r="X1000" s="32"/>
      <c r="Y1000" s="32"/>
      <c r="Z1000" s="32"/>
    </row>
  </sheetData>
  <mergeCells count="18">
    <mergeCell ref="B2:D2"/>
    <mergeCell ref="H2:L2"/>
    <mergeCell ref="B3:B4"/>
    <mergeCell ref="C3:C4"/>
    <mergeCell ref="D3:E3"/>
    <mergeCell ref="L3:L4"/>
    <mergeCell ref="M3:M4"/>
    <mergeCell ref="K37:K38"/>
    <mergeCell ref="L37:L38"/>
    <mergeCell ref="M37:M38"/>
    <mergeCell ref="L39:M39"/>
    <mergeCell ref="I37:I38"/>
    <mergeCell ref="J37:J38"/>
    <mergeCell ref="A3:A4"/>
    <mergeCell ref="A37:A38"/>
    <mergeCell ref="F37:F38"/>
    <mergeCell ref="G37:G38"/>
    <mergeCell ref="H37:H38"/>
  </mergeCells>
  <phoneticPr fontId="15" type="noConversion"/>
  <pageMargins left="0.46" right="0.1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3</vt:i4>
      </vt:variant>
    </vt:vector>
  </HeadingPairs>
  <TitlesOfParts>
    <vt:vector size="3" baseType="lpstr">
      <vt:lpstr>sheet</vt:lpstr>
      <vt:lpstr>계좌(노임)</vt:lpstr>
      <vt:lpstr>계좌(장비)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Kenny</cp:lastModifiedBy>
  <cp:lastPrinted>2026-04-10T04:16:40Z</cp:lastPrinted>
  <dcterms:created xsi:type="dcterms:W3CDTF">2019-03-27T01:30:49Z</dcterms:created>
  <dcterms:modified xsi:type="dcterms:W3CDTF">2026-06-17T11:22:53Z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_Rate" linkTarget="Prop_Matl_Rate">
    <vt:lpwstr>#REF!</vt:lpwstr>
  </property>
  <property fmtid="{D5CDD505-2E9C-101B-9397-08002B2CF9AE}" pid="3" name="MD_Rate" linkTarget="Prop_MD_Rate">
    <vt:lpwstr>#REF!</vt:lpwstr>
  </property>
</Properties>
</file>